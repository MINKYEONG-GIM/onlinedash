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_MINKYEONG07\Desktop\2601 온라인상품등록 대시보드\inventory_dashboard\DB\"/>
    </mc:Choice>
  </mc:AlternateContent>
  <xr:revisionPtr revIDLastSave="0" documentId="13_ncr:1_{865C52A8-E783-4B32-AD8D-C009AEFCD985}" xr6:coauthVersionLast="36" xr6:coauthVersionMax="47" xr10:uidLastSave="{00000000-0000-0000-0000-000000000000}"/>
  <bookViews>
    <workbookView xWindow="28680" yWindow="-120" windowWidth="29040" windowHeight="15720" tabRatio="805" firstSheet="3" activeTab="3" xr2:uid="{00000000-000D-0000-FFFF-FFFF00000000}"/>
  </bookViews>
  <sheets>
    <sheet name="모델촬영리스트" sheetId="7" state="hidden" r:id="rId1"/>
    <sheet name="배너촬영리스트" sheetId="6" state="hidden" r:id="rId2"/>
    <sheet name="RM시즌체크판" sheetId="10" state="hidden" r:id="rId3"/>
    <sheet name="WH등록판" sheetId="11" r:id="rId4"/>
  </sheets>
  <definedNames>
    <definedName name="_xlnm._FilterDatabase" localSheetId="2" hidden="1">RM시즌체크판!$B$6:$O$362</definedName>
    <definedName name="_xlnm._FilterDatabase" localSheetId="3" hidden="1">WH등록판!$A$1:$AK$396</definedName>
  </definedNames>
  <calcPr calcId="191029" concurrentManualCount="2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0" l="1"/>
  <c r="B7" i="10"/>
  <c r="D7" i="10"/>
  <c r="E7" i="10"/>
  <c r="F7" i="10"/>
  <c r="G7" i="10"/>
  <c r="H7" i="10" a="1"/>
  <c r="H7" i="10" s="1"/>
  <c r="I7" i="10" a="1"/>
  <c r="I7" i="10" s="1"/>
  <c r="J7" i="10" a="1"/>
  <c r="J7" i="10" s="1"/>
  <c r="K7" i="10" a="1"/>
  <c r="K7" i="10" s="1"/>
  <c r="L7" i="10" a="1"/>
  <c r="L7" i="10" s="1"/>
  <c r="M7" i="10" a="1"/>
  <c r="M7" i="10" s="1"/>
  <c r="N7" i="10"/>
  <c r="O7" i="10"/>
  <c r="P7" i="10"/>
  <c r="B8" i="10"/>
  <c r="D8" i="10"/>
  <c r="E8" i="10"/>
  <c r="F8" i="10"/>
  <c r="G8" i="10"/>
  <c r="H8" i="10" a="1"/>
  <c r="H8" i="10" s="1"/>
  <c r="I8" i="10" a="1"/>
  <c r="I8" i="10" s="1"/>
  <c r="J8" i="10" a="1"/>
  <c r="J8" i="10" s="1"/>
  <c r="K8" i="10" a="1"/>
  <c r="K8" i="10" s="1"/>
  <c r="L8" i="10" a="1"/>
  <c r="L8" i="10" s="1"/>
  <c r="M8" i="10" a="1"/>
  <c r="M8" i="10" s="1"/>
  <c r="N8" i="10"/>
  <c r="O8" i="10"/>
  <c r="P8" i="10"/>
  <c r="B9" i="10"/>
  <c r="D9" i="10"/>
  <c r="E9" i="10"/>
  <c r="F9" i="10"/>
  <c r="G9" i="10"/>
  <c r="H9" i="10" a="1"/>
  <c r="H9" i="10" s="1"/>
  <c r="I9" i="10" a="1"/>
  <c r="I9" i="10" s="1"/>
  <c r="J9" i="10" a="1"/>
  <c r="J9" i="10" s="1"/>
  <c r="K9" i="10" a="1"/>
  <c r="K9" i="10" s="1"/>
  <c r="L9" i="10" a="1"/>
  <c r="L9" i="10" s="1"/>
  <c r="M9" i="10" a="1"/>
  <c r="M9" i="10" s="1"/>
  <c r="N9" i="10"/>
  <c r="O9" i="10"/>
  <c r="P9" i="10"/>
  <c r="B10" i="10"/>
  <c r="M2" i="10"/>
  <c r="D10" i="10"/>
  <c r="E10" i="10"/>
  <c r="F10" i="10"/>
  <c r="G10" i="10"/>
  <c r="H10" i="10" a="1"/>
  <c r="H10" i="10" s="1"/>
  <c r="I10" i="10" a="1"/>
  <c r="I10" i="10" s="1"/>
  <c r="J10" i="10" a="1"/>
  <c r="J10" i="10" s="1"/>
  <c r="K10" i="10" a="1"/>
  <c r="K10" i="10" s="1"/>
  <c r="L10" i="10" a="1"/>
  <c r="L10" i="10" s="1"/>
  <c r="M10" i="10" a="1"/>
  <c r="M10" i="10" s="1"/>
  <c r="N10" i="10"/>
  <c r="O10" i="10"/>
  <c r="P10" i="10"/>
  <c r="B11" i="10"/>
  <c r="D11" i="10"/>
  <c r="E11" i="10"/>
  <c r="F11" i="10"/>
  <c r="G11" i="10"/>
  <c r="H11" i="10" a="1"/>
  <c r="H11" i="10" s="1"/>
  <c r="I11" i="10" a="1"/>
  <c r="I11" i="10" s="1"/>
  <c r="J11" i="10" a="1"/>
  <c r="J11" i="10" s="1"/>
  <c r="K11" i="10" a="1"/>
  <c r="K11" i="10" s="1"/>
  <c r="L11" i="10" a="1"/>
  <c r="L11" i="10" s="1"/>
  <c r="M11" i="10" a="1"/>
  <c r="M11" i="10" s="1"/>
  <c r="N11" i="10"/>
  <c r="O11" i="10"/>
  <c r="P11" i="10"/>
  <c r="B12" i="10"/>
  <c r="D12" i="10"/>
  <c r="E12" i="10"/>
  <c r="F12" i="10"/>
  <c r="G12" i="10"/>
  <c r="H12" i="10" a="1"/>
  <c r="H12" i="10" s="1"/>
  <c r="I12" i="10" a="1"/>
  <c r="I12" i="10" s="1"/>
  <c r="J12" i="10" a="1"/>
  <c r="J12" i="10" s="1"/>
  <c r="K12" i="10" a="1"/>
  <c r="K12" i="10" s="1"/>
  <c r="L12" i="10" a="1"/>
  <c r="L12" i="10" s="1"/>
  <c r="M12" i="10" a="1"/>
  <c r="M12" i="10" s="1"/>
  <c r="N12" i="10"/>
  <c r="O12" i="10"/>
  <c r="P12" i="10"/>
  <c r="B13" i="10"/>
  <c r="D13" i="10"/>
  <c r="E13" i="10"/>
  <c r="F13" i="10"/>
  <c r="G13" i="10"/>
  <c r="H13" i="10" a="1"/>
  <c r="H13" i="10" s="1"/>
  <c r="I13" i="10" a="1"/>
  <c r="I13" i="10" s="1"/>
  <c r="J13" i="10" a="1"/>
  <c r="J13" i="10" s="1"/>
  <c r="K13" i="10" a="1"/>
  <c r="K13" i="10" s="1"/>
  <c r="L13" i="10" a="1"/>
  <c r="L13" i="10" s="1"/>
  <c r="M13" i="10" a="1"/>
  <c r="M13" i="10" s="1"/>
  <c r="N13" i="10"/>
  <c r="O13" i="10"/>
  <c r="P13" i="10"/>
  <c r="B14" i="10"/>
  <c r="D14" i="10"/>
  <c r="E14" i="10"/>
  <c r="F14" i="10"/>
  <c r="G14" i="10"/>
  <c r="H14" i="10" a="1"/>
  <c r="H14" i="10" s="1"/>
  <c r="I14" i="10" a="1"/>
  <c r="I14" i="10" s="1"/>
  <c r="J14" i="10" a="1"/>
  <c r="J14" i="10" s="1"/>
  <c r="K14" i="10" a="1"/>
  <c r="K14" i="10" s="1"/>
  <c r="L14" i="10" a="1"/>
  <c r="L14" i="10" s="1"/>
  <c r="M14" i="10" a="1"/>
  <c r="M14" i="10" s="1"/>
  <c r="N14" i="10"/>
  <c r="O14" i="10"/>
  <c r="P14" i="10"/>
  <c r="B15" i="10"/>
  <c r="D15" i="10"/>
  <c r="E15" i="10"/>
  <c r="F15" i="10"/>
  <c r="G15" i="10"/>
  <c r="H15" i="10" a="1"/>
  <c r="H15" i="10" s="1"/>
  <c r="I15" i="10" a="1"/>
  <c r="I15" i="10" s="1"/>
  <c r="J15" i="10" a="1"/>
  <c r="J15" i="10" s="1"/>
  <c r="K15" i="10" a="1"/>
  <c r="K15" i="10" s="1"/>
  <c r="L15" i="10" a="1"/>
  <c r="L15" i="10" s="1"/>
  <c r="M15" i="10" a="1"/>
  <c r="M15" i="10" s="1"/>
  <c r="N15" i="10"/>
  <c r="O15" i="10"/>
  <c r="P15" i="10"/>
  <c r="B16" i="10"/>
  <c r="D16" i="10"/>
  <c r="E16" i="10"/>
  <c r="F16" i="10"/>
  <c r="G16" i="10"/>
  <c r="H16" i="10" a="1"/>
  <c r="H16" i="10" s="1"/>
  <c r="I16" i="10" a="1"/>
  <c r="I16" i="10" s="1"/>
  <c r="J16" i="10" a="1"/>
  <c r="J16" i="10" s="1"/>
  <c r="K16" i="10" a="1"/>
  <c r="K16" i="10" s="1"/>
  <c r="L16" i="10" a="1"/>
  <c r="L16" i="10" s="1"/>
  <c r="M16" i="10" a="1"/>
  <c r="M16" i="10" s="1"/>
  <c r="N16" i="10"/>
  <c r="O16" i="10"/>
  <c r="P16" i="10"/>
  <c r="B17" i="10"/>
  <c r="D17" i="10"/>
  <c r="E17" i="10"/>
  <c r="F17" i="10"/>
  <c r="G17" i="10"/>
  <c r="H17" i="10" a="1"/>
  <c r="H17" i="10" s="1"/>
  <c r="I17" i="10" a="1"/>
  <c r="I17" i="10" s="1"/>
  <c r="J17" i="10" a="1"/>
  <c r="J17" i="10" s="1"/>
  <c r="K17" i="10" a="1"/>
  <c r="K17" i="10" s="1"/>
  <c r="L17" i="10" a="1"/>
  <c r="L17" i="10" s="1"/>
  <c r="M17" i="10" a="1"/>
  <c r="M17" i="10" s="1"/>
  <c r="N17" i="10"/>
  <c r="O17" i="10"/>
  <c r="P17" i="10"/>
  <c r="B18" i="10"/>
  <c r="D18" i="10"/>
  <c r="E18" i="10"/>
  <c r="F18" i="10"/>
  <c r="G18" i="10"/>
  <c r="H18" i="10" a="1"/>
  <c r="H18" i="10" s="1"/>
  <c r="I18" i="10" a="1"/>
  <c r="I18" i="10" s="1"/>
  <c r="J18" i="10" a="1"/>
  <c r="J18" i="10" s="1"/>
  <c r="K18" i="10" a="1"/>
  <c r="K18" i="10" s="1"/>
  <c r="L18" i="10" a="1"/>
  <c r="L18" i="10" s="1"/>
  <c r="M18" i="10" a="1"/>
  <c r="M18" i="10" s="1"/>
  <c r="N18" i="10"/>
  <c r="O18" i="10"/>
  <c r="P18" i="10"/>
  <c r="B19" i="10"/>
  <c r="D19" i="10"/>
  <c r="E19" i="10"/>
  <c r="F19" i="10"/>
  <c r="G19" i="10"/>
  <c r="H19" i="10" a="1"/>
  <c r="H19" i="10" s="1"/>
  <c r="I19" i="10" a="1"/>
  <c r="I19" i="10" s="1"/>
  <c r="J19" i="10" a="1"/>
  <c r="J19" i="10" s="1"/>
  <c r="K19" i="10" a="1"/>
  <c r="K19" i="10" s="1"/>
  <c r="L19" i="10" a="1"/>
  <c r="L19" i="10" s="1"/>
  <c r="M19" i="10" a="1"/>
  <c r="M19" i="10" s="1"/>
  <c r="N19" i="10"/>
  <c r="O19" i="10"/>
  <c r="P19" i="10"/>
  <c r="B20" i="10"/>
  <c r="D20" i="10"/>
  <c r="E20" i="10"/>
  <c r="F20" i="10"/>
  <c r="G20" i="10"/>
  <c r="H20" i="10" a="1"/>
  <c r="H20" i="10" s="1"/>
  <c r="I20" i="10" a="1"/>
  <c r="I20" i="10" s="1"/>
  <c r="J20" i="10" a="1"/>
  <c r="J20" i="10" s="1"/>
  <c r="K20" i="10" a="1"/>
  <c r="K20" i="10" s="1"/>
  <c r="L20" i="10" a="1"/>
  <c r="L20" i="10" s="1"/>
  <c r="M20" i="10" a="1"/>
  <c r="M20" i="10" s="1"/>
  <c r="N20" i="10"/>
  <c r="O20" i="10"/>
  <c r="P20" i="10"/>
  <c r="B21" i="10"/>
  <c r="D21" i="10"/>
  <c r="E21" i="10"/>
  <c r="F21" i="10"/>
  <c r="G21" i="10"/>
  <c r="H21" i="10" a="1"/>
  <c r="H21" i="10" s="1"/>
  <c r="I21" i="10" a="1"/>
  <c r="I21" i="10" s="1"/>
  <c r="J21" i="10" a="1"/>
  <c r="J21" i="10" s="1"/>
  <c r="K21" i="10" a="1"/>
  <c r="K21" i="10" s="1"/>
  <c r="L21" i="10" a="1"/>
  <c r="L21" i="10" s="1"/>
  <c r="M21" i="10" a="1"/>
  <c r="M21" i="10" s="1"/>
  <c r="N21" i="10"/>
  <c r="O21" i="10"/>
  <c r="P21" i="10"/>
  <c r="B22" i="10"/>
  <c r="D22" i="10"/>
  <c r="E22" i="10"/>
  <c r="F22" i="10"/>
  <c r="G22" i="10"/>
  <c r="H22" i="10" a="1"/>
  <c r="H22" i="10" s="1"/>
  <c r="I22" i="10" a="1"/>
  <c r="I22" i="10" s="1"/>
  <c r="J22" i="10" a="1"/>
  <c r="J22" i="10" s="1"/>
  <c r="K22" i="10" a="1"/>
  <c r="K22" i="10" s="1"/>
  <c r="L22" i="10" a="1"/>
  <c r="L22" i="10" s="1"/>
  <c r="M22" i="10" a="1"/>
  <c r="M22" i="10" s="1"/>
  <c r="N22" i="10"/>
  <c r="O22" i="10"/>
  <c r="P22" i="10"/>
  <c r="B23" i="10"/>
  <c r="D23" i="10"/>
  <c r="E23" i="10"/>
  <c r="F23" i="10"/>
  <c r="G23" i="10"/>
  <c r="H23" i="10" a="1"/>
  <c r="H23" i="10" s="1"/>
  <c r="I23" i="10" a="1"/>
  <c r="I23" i="10" s="1"/>
  <c r="J23" i="10" a="1"/>
  <c r="J23" i="10" s="1"/>
  <c r="K23" i="10" a="1"/>
  <c r="K23" i="10" s="1"/>
  <c r="L23" i="10" a="1"/>
  <c r="L23" i="10" s="1"/>
  <c r="M23" i="10" a="1"/>
  <c r="M23" i="10" s="1"/>
  <c r="N23" i="10"/>
  <c r="O23" i="10"/>
  <c r="P23" i="10"/>
  <c r="B24" i="10"/>
  <c r="D24" i="10"/>
  <c r="E24" i="10"/>
  <c r="F24" i="10"/>
  <c r="G24" i="10"/>
  <c r="H24" i="10" a="1"/>
  <c r="H24" i="10" s="1"/>
  <c r="I24" i="10" a="1"/>
  <c r="I24" i="10" s="1"/>
  <c r="J24" i="10" a="1"/>
  <c r="J24" i="10" s="1"/>
  <c r="K24" i="10" a="1"/>
  <c r="K24" i="10" s="1"/>
  <c r="L24" i="10" a="1"/>
  <c r="L24" i="10" s="1"/>
  <c r="M24" i="10" a="1"/>
  <c r="M24" i="10" s="1"/>
  <c r="N24" i="10"/>
  <c r="O24" i="10"/>
  <c r="P24" i="10"/>
  <c r="B25" i="10"/>
  <c r="D25" i="10"/>
  <c r="E25" i="10"/>
  <c r="F25" i="10"/>
  <c r="G25" i="10"/>
  <c r="H25" i="10" a="1"/>
  <c r="H25" i="10" s="1"/>
  <c r="I25" i="10" a="1"/>
  <c r="I25" i="10" s="1"/>
  <c r="J25" i="10" a="1"/>
  <c r="J25" i="10" s="1"/>
  <c r="K25" i="10" a="1"/>
  <c r="K25" i="10" s="1"/>
  <c r="L25" i="10" a="1"/>
  <c r="L25" i="10" s="1"/>
  <c r="M25" i="10" a="1"/>
  <c r="M25" i="10" s="1"/>
  <c r="N25" i="10"/>
  <c r="O25" i="10"/>
  <c r="P25" i="10"/>
  <c r="B26" i="10"/>
  <c r="D26" i="10"/>
  <c r="E26" i="10"/>
  <c r="F26" i="10"/>
  <c r="G26" i="10"/>
  <c r="H26" i="10" a="1"/>
  <c r="H26" i="10" s="1"/>
  <c r="I26" i="10" a="1"/>
  <c r="I26" i="10" s="1"/>
  <c r="J26" i="10" a="1"/>
  <c r="J26" i="10" s="1"/>
  <c r="K26" i="10" a="1"/>
  <c r="K26" i="10" s="1"/>
  <c r="L26" i="10" a="1"/>
  <c r="L26" i="10" s="1"/>
  <c r="M26" i="10" a="1"/>
  <c r="M26" i="10" s="1"/>
  <c r="N26" i="10"/>
  <c r="O26" i="10"/>
  <c r="P26" i="10"/>
  <c r="B27" i="10"/>
  <c r="D27" i="10"/>
  <c r="E27" i="10"/>
  <c r="F27" i="10"/>
  <c r="G27" i="10"/>
  <c r="H27" i="10" a="1"/>
  <c r="H27" i="10" s="1"/>
  <c r="I27" i="10" a="1"/>
  <c r="I27" i="10" s="1"/>
  <c r="J27" i="10" a="1"/>
  <c r="J27" i="10" s="1"/>
  <c r="K27" i="10" a="1"/>
  <c r="K27" i="10" s="1"/>
  <c r="L27" i="10" a="1"/>
  <c r="L27" i="10" s="1"/>
  <c r="M27" i="10" a="1"/>
  <c r="M27" i="10" s="1"/>
  <c r="N27" i="10"/>
  <c r="O27" i="10"/>
  <c r="P27" i="10"/>
  <c r="B28" i="10"/>
  <c r="D28" i="10"/>
  <c r="E28" i="10"/>
  <c r="F28" i="10"/>
  <c r="G28" i="10"/>
  <c r="H28" i="10" a="1"/>
  <c r="H28" i="10" s="1"/>
  <c r="I28" i="10" a="1"/>
  <c r="I28" i="10" s="1"/>
  <c r="J28" i="10" a="1"/>
  <c r="J28" i="10" s="1"/>
  <c r="K28" i="10" a="1"/>
  <c r="K28" i="10" s="1"/>
  <c r="L28" i="10" a="1"/>
  <c r="L28" i="10" s="1"/>
  <c r="M28" i="10" a="1"/>
  <c r="M28" i="10" s="1"/>
  <c r="N28" i="10"/>
  <c r="O28" i="10"/>
  <c r="P28" i="10"/>
  <c r="B29" i="10"/>
  <c r="D29" i="10"/>
  <c r="E29" i="10"/>
  <c r="F29" i="10"/>
  <c r="G29" i="10"/>
  <c r="H29" i="10" a="1"/>
  <c r="H29" i="10" s="1"/>
  <c r="I29" i="10" a="1"/>
  <c r="I29" i="10" s="1"/>
  <c r="J29" i="10" a="1"/>
  <c r="J29" i="10" s="1"/>
  <c r="K29" i="10" a="1"/>
  <c r="K29" i="10" s="1"/>
  <c r="L29" i="10" a="1"/>
  <c r="L29" i="10" s="1"/>
  <c r="M29" i="10" a="1"/>
  <c r="M29" i="10" s="1"/>
  <c r="N29" i="10"/>
  <c r="O29" i="10"/>
  <c r="P29" i="10"/>
  <c r="B30" i="10"/>
  <c r="D30" i="10"/>
  <c r="E30" i="10"/>
  <c r="F30" i="10"/>
  <c r="G30" i="10"/>
  <c r="H30" i="10" a="1"/>
  <c r="H30" i="10" s="1"/>
  <c r="I30" i="10" a="1"/>
  <c r="I30" i="10" s="1"/>
  <c r="J30" i="10" a="1"/>
  <c r="J30" i="10" s="1"/>
  <c r="K30" i="10" a="1"/>
  <c r="K30" i="10" s="1"/>
  <c r="L30" i="10" a="1"/>
  <c r="L30" i="10" s="1"/>
  <c r="M30" i="10" a="1"/>
  <c r="M30" i="10" s="1"/>
  <c r="N30" i="10"/>
  <c r="O30" i="10"/>
  <c r="P30" i="10"/>
  <c r="B31" i="10"/>
  <c r="D31" i="10"/>
  <c r="E31" i="10"/>
  <c r="F31" i="10"/>
  <c r="G31" i="10"/>
  <c r="H31" i="10" a="1"/>
  <c r="H31" i="10" s="1"/>
  <c r="I31" i="10" a="1"/>
  <c r="I31" i="10" s="1"/>
  <c r="J31" i="10" a="1"/>
  <c r="J31" i="10" s="1"/>
  <c r="K31" i="10" a="1"/>
  <c r="K31" i="10" s="1"/>
  <c r="L31" i="10" a="1"/>
  <c r="L31" i="10" s="1"/>
  <c r="M31" i="10" a="1"/>
  <c r="M31" i="10" s="1"/>
  <c r="N31" i="10"/>
  <c r="O31" i="10"/>
  <c r="P31" i="10"/>
  <c r="B32" i="10"/>
  <c r="D32" i="10"/>
  <c r="E32" i="10"/>
  <c r="F32" i="10"/>
  <c r="G32" i="10"/>
  <c r="H32" i="10" a="1"/>
  <c r="H32" i="10" s="1"/>
  <c r="I32" i="10" a="1"/>
  <c r="I32" i="10" s="1"/>
  <c r="J32" i="10" a="1"/>
  <c r="J32" i="10" s="1"/>
  <c r="K32" i="10" a="1"/>
  <c r="K32" i="10" s="1"/>
  <c r="L32" i="10" a="1"/>
  <c r="L32" i="10" s="1"/>
  <c r="M32" i="10" a="1"/>
  <c r="M32" i="10" s="1"/>
  <c r="N32" i="10"/>
  <c r="O32" i="10"/>
  <c r="P32" i="10"/>
  <c r="B33" i="10"/>
  <c r="D33" i="10"/>
  <c r="E33" i="10"/>
  <c r="F33" i="10"/>
  <c r="G33" i="10"/>
  <c r="H33" i="10" a="1"/>
  <c r="H33" i="10" s="1"/>
  <c r="I33" i="10" a="1"/>
  <c r="I33" i="10" s="1"/>
  <c r="J33" i="10" a="1"/>
  <c r="J33" i="10" s="1"/>
  <c r="K33" i="10" a="1"/>
  <c r="K33" i="10" s="1"/>
  <c r="L33" i="10" a="1"/>
  <c r="L33" i="10" s="1"/>
  <c r="M33" i="10" a="1"/>
  <c r="M33" i="10" s="1"/>
  <c r="N33" i="10"/>
  <c r="O33" i="10"/>
  <c r="P33" i="10"/>
  <c r="B34" i="10"/>
  <c r="D34" i="10"/>
  <c r="E34" i="10"/>
  <c r="F34" i="10"/>
  <c r="G34" i="10"/>
  <c r="H34" i="10" a="1"/>
  <c r="H34" i="10" s="1"/>
  <c r="I34" i="10" a="1"/>
  <c r="I34" i="10" s="1"/>
  <c r="J34" i="10" a="1"/>
  <c r="J34" i="10" s="1"/>
  <c r="K34" i="10" a="1"/>
  <c r="K34" i="10" s="1"/>
  <c r="L34" i="10" a="1"/>
  <c r="L34" i="10" s="1"/>
  <c r="M34" i="10" a="1"/>
  <c r="M34" i="10" s="1"/>
  <c r="N34" i="10"/>
  <c r="O34" i="10"/>
  <c r="P34" i="10"/>
  <c r="B35" i="10"/>
  <c r="D35" i="10"/>
  <c r="E35" i="10"/>
  <c r="F35" i="10"/>
  <c r="G35" i="10"/>
  <c r="H35" i="10" a="1"/>
  <c r="H35" i="10" s="1"/>
  <c r="I35" i="10" a="1"/>
  <c r="I35" i="10" s="1"/>
  <c r="J35" i="10" a="1"/>
  <c r="J35" i="10" s="1"/>
  <c r="K35" i="10" a="1"/>
  <c r="K35" i="10" s="1"/>
  <c r="L35" i="10" a="1"/>
  <c r="L35" i="10" s="1"/>
  <c r="M35" i="10" a="1"/>
  <c r="M35" i="10" s="1"/>
  <c r="N35" i="10"/>
  <c r="O35" i="10"/>
  <c r="P35" i="10"/>
  <c r="B36" i="10"/>
  <c r="D36" i="10"/>
  <c r="E36" i="10"/>
  <c r="F36" i="10"/>
  <c r="G36" i="10"/>
  <c r="H36" i="10" a="1"/>
  <c r="H36" i="10" s="1"/>
  <c r="I36" i="10" a="1"/>
  <c r="I36" i="10" s="1"/>
  <c r="J36" i="10" a="1"/>
  <c r="J36" i="10" s="1"/>
  <c r="K36" i="10" a="1"/>
  <c r="K36" i="10" s="1"/>
  <c r="L36" i="10" a="1"/>
  <c r="L36" i="10" s="1"/>
  <c r="M36" i="10" a="1"/>
  <c r="M36" i="10" s="1"/>
  <c r="N36" i="10"/>
  <c r="O36" i="10"/>
  <c r="P36" i="10"/>
  <c r="B37" i="10"/>
  <c r="D37" i="10"/>
  <c r="E37" i="10"/>
  <c r="F37" i="10"/>
  <c r="G37" i="10"/>
  <c r="H37" i="10" a="1"/>
  <c r="H37" i="10" s="1"/>
  <c r="I37" i="10" a="1"/>
  <c r="I37" i="10" s="1"/>
  <c r="J37" i="10" a="1"/>
  <c r="J37" i="10" s="1"/>
  <c r="K37" i="10" a="1"/>
  <c r="K37" i="10" s="1"/>
  <c r="L37" i="10" a="1"/>
  <c r="L37" i="10" s="1"/>
  <c r="M37" i="10" a="1"/>
  <c r="M37" i="10" s="1"/>
  <c r="N37" i="10"/>
  <c r="O37" i="10"/>
  <c r="P37" i="10"/>
  <c r="B38" i="10"/>
  <c r="D38" i="10"/>
  <c r="E38" i="10"/>
  <c r="F38" i="10"/>
  <c r="G38" i="10"/>
  <c r="H38" i="10" a="1"/>
  <c r="H38" i="10" s="1"/>
  <c r="I38" i="10" a="1"/>
  <c r="I38" i="10" s="1"/>
  <c r="J38" i="10" a="1"/>
  <c r="J38" i="10" s="1"/>
  <c r="K38" i="10" a="1"/>
  <c r="K38" i="10" s="1"/>
  <c r="L38" i="10" a="1"/>
  <c r="L38" i="10" s="1"/>
  <c r="M38" i="10" a="1"/>
  <c r="M38" i="10" s="1"/>
  <c r="N38" i="10"/>
  <c r="O38" i="10"/>
  <c r="P38" i="10"/>
  <c r="B39" i="10"/>
  <c r="D39" i="10"/>
  <c r="E39" i="10"/>
  <c r="F39" i="10"/>
  <c r="G39" i="10"/>
  <c r="H39" i="10" a="1"/>
  <c r="H39" i="10" s="1"/>
  <c r="I39" i="10" a="1"/>
  <c r="I39" i="10" s="1"/>
  <c r="J39" i="10" a="1"/>
  <c r="J39" i="10" s="1"/>
  <c r="K39" i="10" a="1"/>
  <c r="K39" i="10" s="1"/>
  <c r="L39" i="10" a="1"/>
  <c r="L39" i="10" s="1"/>
  <c r="M39" i="10" a="1"/>
  <c r="M39" i="10" s="1"/>
  <c r="N39" i="10"/>
  <c r="O39" i="10"/>
  <c r="P39" i="10"/>
  <c r="B40" i="10"/>
  <c r="D40" i="10"/>
  <c r="E40" i="10"/>
  <c r="F40" i="10"/>
  <c r="G40" i="10"/>
  <c r="H40" i="10" a="1"/>
  <c r="H40" i="10" s="1"/>
  <c r="I40" i="10" a="1"/>
  <c r="I40" i="10" s="1"/>
  <c r="J40" i="10" a="1"/>
  <c r="J40" i="10" s="1"/>
  <c r="K40" i="10" a="1"/>
  <c r="K40" i="10" s="1"/>
  <c r="L40" i="10" a="1"/>
  <c r="L40" i="10" s="1"/>
  <c r="M40" i="10" a="1"/>
  <c r="M40" i="10" s="1"/>
  <c r="N40" i="10"/>
  <c r="O40" i="10"/>
  <c r="P40" i="10"/>
  <c r="B41" i="10"/>
  <c r="D41" i="10"/>
  <c r="E41" i="10"/>
  <c r="F41" i="10"/>
  <c r="G41" i="10"/>
  <c r="H41" i="10" a="1"/>
  <c r="H41" i="10" s="1"/>
  <c r="I41" i="10" a="1"/>
  <c r="I41" i="10" s="1"/>
  <c r="J41" i="10" a="1"/>
  <c r="J41" i="10" s="1"/>
  <c r="K41" i="10" a="1"/>
  <c r="K41" i="10" s="1"/>
  <c r="L41" i="10" a="1"/>
  <c r="L41" i="10" s="1"/>
  <c r="M41" i="10" a="1"/>
  <c r="M41" i="10" s="1"/>
  <c r="N41" i="10"/>
  <c r="O41" i="10"/>
  <c r="P41" i="10"/>
  <c r="B42" i="10"/>
  <c r="D42" i="10"/>
  <c r="E42" i="10"/>
  <c r="F42" i="10"/>
  <c r="G42" i="10"/>
  <c r="H42" i="10" a="1"/>
  <c r="H42" i="10" s="1"/>
  <c r="I42" i="10" a="1"/>
  <c r="I42" i="10" s="1"/>
  <c r="J42" i="10" a="1"/>
  <c r="J42" i="10" s="1"/>
  <c r="K42" i="10" a="1"/>
  <c r="K42" i="10" s="1"/>
  <c r="L42" i="10" a="1"/>
  <c r="L42" i="10" s="1"/>
  <c r="M42" i="10" a="1"/>
  <c r="M42" i="10" s="1"/>
  <c r="N42" i="10"/>
  <c r="O42" i="10"/>
  <c r="P42" i="10"/>
  <c r="B43" i="10"/>
  <c r="D43" i="10"/>
  <c r="E43" i="10"/>
  <c r="F43" i="10"/>
  <c r="G43" i="10"/>
  <c r="H43" i="10" a="1"/>
  <c r="H43" i="10" s="1"/>
  <c r="I43" i="10" a="1"/>
  <c r="I43" i="10" s="1"/>
  <c r="J43" i="10" a="1"/>
  <c r="J43" i="10" s="1"/>
  <c r="K43" i="10" a="1"/>
  <c r="K43" i="10" s="1"/>
  <c r="L43" i="10" a="1"/>
  <c r="L43" i="10" s="1"/>
  <c r="M43" i="10" a="1"/>
  <c r="M43" i="10" s="1"/>
  <c r="N43" i="10"/>
  <c r="O43" i="10"/>
  <c r="P43" i="10"/>
  <c r="B44" i="10"/>
  <c r="D44" i="10"/>
  <c r="E44" i="10"/>
  <c r="F44" i="10"/>
  <c r="G44" i="10"/>
  <c r="H44" i="10" a="1"/>
  <c r="H44" i="10" s="1"/>
  <c r="I44" i="10" a="1"/>
  <c r="I44" i="10" s="1"/>
  <c r="J44" i="10" a="1"/>
  <c r="J44" i="10" s="1"/>
  <c r="K44" i="10" a="1"/>
  <c r="K44" i="10" s="1"/>
  <c r="L44" i="10" a="1"/>
  <c r="L44" i="10" s="1"/>
  <c r="M44" i="10" a="1"/>
  <c r="M44" i="10" s="1"/>
  <c r="N44" i="10"/>
  <c r="O44" i="10"/>
  <c r="P44" i="10"/>
  <c r="B45" i="10"/>
  <c r="D45" i="10"/>
  <c r="E45" i="10"/>
  <c r="F45" i="10"/>
  <c r="G45" i="10"/>
  <c r="H45" i="10" a="1"/>
  <c r="H45" i="10" s="1"/>
  <c r="I45" i="10" a="1"/>
  <c r="I45" i="10" s="1"/>
  <c r="J45" i="10" a="1"/>
  <c r="J45" i="10" s="1"/>
  <c r="K45" i="10" a="1"/>
  <c r="K45" i="10" s="1"/>
  <c r="L45" i="10" a="1"/>
  <c r="L45" i="10" s="1"/>
  <c r="M45" i="10" a="1"/>
  <c r="M45" i="10" s="1"/>
  <c r="N45" i="10"/>
  <c r="O45" i="10"/>
  <c r="P45" i="10"/>
  <c r="B46" i="10"/>
  <c r="D46" i="10"/>
  <c r="E46" i="10"/>
  <c r="F46" i="10"/>
  <c r="G46" i="10"/>
  <c r="H46" i="10" a="1"/>
  <c r="H46" i="10" s="1"/>
  <c r="I46" i="10" a="1"/>
  <c r="I46" i="10" s="1"/>
  <c r="J46" i="10" a="1"/>
  <c r="J46" i="10" s="1"/>
  <c r="K46" i="10" a="1"/>
  <c r="K46" i="10" s="1"/>
  <c r="L46" i="10" a="1"/>
  <c r="L46" i="10" s="1"/>
  <c r="M46" i="10" a="1"/>
  <c r="M46" i="10" s="1"/>
  <c r="N46" i="10"/>
  <c r="O46" i="10"/>
  <c r="P46" i="10"/>
  <c r="B47" i="10"/>
  <c r="D47" i="10"/>
  <c r="E47" i="10"/>
  <c r="F47" i="10"/>
  <c r="G47" i="10"/>
  <c r="H47" i="10" a="1"/>
  <c r="H47" i="10" s="1"/>
  <c r="I47" i="10" a="1"/>
  <c r="I47" i="10" s="1"/>
  <c r="J47" i="10" a="1"/>
  <c r="J47" i="10" s="1"/>
  <c r="K47" i="10" a="1"/>
  <c r="K47" i="10" s="1"/>
  <c r="L47" i="10" a="1"/>
  <c r="L47" i="10" s="1"/>
  <c r="M47" i="10" a="1"/>
  <c r="M47" i="10" s="1"/>
  <c r="N47" i="10"/>
  <c r="O47" i="10"/>
  <c r="P47" i="10"/>
  <c r="B48" i="10"/>
  <c r="D48" i="10"/>
  <c r="E48" i="10"/>
  <c r="F48" i="10"/>
  <c r="G48" i="10"/>
  <c r="H48" i="10" a="1"/>
  <c r="H48" i="10" s="1"/>
  <c r="I48" i="10" a="1"/>
  <c r="I48" i="10" s="1"/>
  <c r="J48" i="10" a="1"/>
  <c r="J48" i="10" s="1"/>
  <c r="K48" i="10" a="1"/>
  <c r="K48" i="10" s="1"/>
  <c r="L48" i="10" a="1"/>
  <c r="L48" i="10" s="1"/>
  <c r="M48" i="10" a="1"/>
  <c r="M48" i="10" s="1"/>
  <c r="N48" i="10"/>
  <c r="O48" i="10"/>
  <c r="P48" i="10"/>
  <c r="B49" i="10"/>
  <c r="D49" i="10"/>
  <c r="E49" i="10"/>
  <c r="F49" i="10"/>
  <c r="G49" i="10"/>
  <c r="H49" i="10" a="1"/>
  <c r="H49" i="10" s="1"/>
  <c r="I49" i="10" a="1"/>
  <c r="I49" i="10" s="1"/>
  <c r="J49" i="10" a="1"/>
  <c r="J49" i="10" s="1"/>
  <c r="K49" i="10" a="1"/>
  <c r="K49" i="10" s="1"/>
  <c r="L49" i="10" a="1"/>
  <c r="L49" i="10" s="1"/>
  <c r="M49" i="10" a="1"/>
  <c r="M49" i="10" s="1"/>
  <c r="N49" i="10"/>
  <c r="O49" i="10"/>
  <c r="P49" i="10"/>
  <c r="B50" i="10"/>
  <c r="D50" i="10"/>
  <c r="E50" i="10"/>
  <c r="F50" i="10"/>
  <c r="G50" i="10"/>
  <c r="H50" i="10" a="1"/>
  <c r="H50" i="10" s="1"/>
  <c r="I50" i="10" a="1"/>
  <c r="I50" i="10" s="1"/>
  <c r="J50" i="10" a="1"/>
  <c r="J50" i="10" s="1"/>
  <c r="K50" i="10" a="1"/>
  <c r="K50" i="10" s="1"/>
  <c r="L50" i="10" a="1"/>
  <c r="L50" i="10" s="1"/>
  <c r="M50" i="10" a="1"/>
  <c r="M50" i="10" s="1"/>
  <c r="N50" i="10"/>
  <c r="O50" i="10"/>
  <c r="P50" i="10"/>
  <c r="B51" i="10"/>
  <c r="D51" i="10"/>
  <c r="E51" i="10"/>
  <c r="F51" i="10"/>
  <c r="G51" i="10"/>
  <c r="H51" i="10" a="1"/>
  <c r="H51" i="10" s="1"/>
  <c r="I51" i="10" a="1"/>
  <c r="I51" i="10" s="1"/>
  <c r="J51" i="10" a="1"/>
  <c r="J51" i="10" s="1"/>
  <c r="K51" i="10" a="1"/>
  <c r="K51" i="10" s="1"/>
  <c r="L51" i="10" a="1"/>
  <c r="L51" i="10" s="1"/>
  <c r="M51" i="10" a="1"/>
  <c r="M51" i="10" s="1"/>
  <c r="N51" i="10"/>
  <c r="O51" i="10"/>
  <c r="P51" i="10"/>
  <c r="B52" i="10"/>
  <c r="D52" i="10"/>
  <c r="E52" i="10"/>
  <c r="F52" i="10"/>
  <c r="G52" i="10"/>
  <c r="H52" i="10" a="1"/>
  <c r="H52" i="10" s="1"/>
  <c r="I52" i="10" a="1"/>
  <c r="I52" i="10" s="1"/>
  <c r="J52" i="10" a="1"/>
  <c r="J52" i="10" s="1"/>
  <c r="K52" i="10" a="1"/>
  <c r="K52" i="10" s="1"/>
  <c r="L52" i="10" a="1"/>
  <c r="L52" i="10" s="1"/>
  <c r="M52" i="10" a="1"/>
  <c r="M52" i="10" s="1"/>
  <c r="N52" i="10"/>
  <c r="O52" i="10"/>
  <c r="P52" i="10"/>
  <c r="B53" i="10"/>
  <c r="D53" i="10"/>
  <c r="E53" i="10"/>
  <c r="F53" i="10"/>
  <c r="G53" i="10"/>
  <c r="H53" i="10" a="1"/>
  <c r="H53" i="10" s="1"/>
  <c r="I53" i="10" a="1"/>
  <c r="I53" i="10" s="1"/>
  <c r="J53" i="10" a="1"/>
  <c r="J53" i="10" s="1"/>
  <c r="K53" i="10" a="1"/>
  <c r="K53" i="10" s="1"/>
  <c r="L53" i="10" a="1"/>
  <c r="L53" i="10" s="1"/>
  <c r="M53" i="10" a="1"/>
  <c r="M53" i="10" s="1"/>
  <c r="N53" i="10"/>
  <c r="O53" i="10"/>
  <c r="P53" i="10"/>
  <c r="B54" i="10"/>
  <c r="D54" i="10"/>
  <c r="E54" i="10"/>
  <c r="F54" i="10"/>
  <c r="G54" i="10"/>
  <c r="H54" i="10" a="1"/>
  <c r="H54" i="10" s="1"/>
  <c r="I54" i="10" a="1"/>
  <c r="I54" i="10" s="1"/>
  <c r="J54" i="10" a="1"/>
  <c r="J54" i="10" s="1"/>
  <c r="K54" i="10" a="1"/>
  <c r="K54" i="10" s="1"/>
  <c r="L54" i="10" a="1"/>
  <c r="L54" i="10" s="1"/>
  <c r="M54" i="10" a="1"/>
  <c r="M54" i="10" s="1"/>
  <c r="N54" i="10"/>
  <c r="O54" i="10"/>
  <c r="P54" i="10"/>
  <c r="B55" i="10"/>
  <c r="D55" i="10"/>
  <c r="E55" i="10"/>
  <c r="F55" i="10"/>
  <c r="G55" i="10"/>
  <c r="H55" i="10" a="1"/>
  <c r="H55" i="10" s="1"/>
  <c r="I55" i="10" a="1"/>
  <c r="I55" i="10" s="1"/>
  <c r="J55" i="10" a="1"/>
  <c r="J55" i="10" s="1"/>
  <c r="K55" i="10" a="1"/>
  <c r="K55" i="10" s="1"/>
  <c r="L55" i="10" a="1"/>
  <c r="L55" i="10" s="1"/>
  <c r="M55" i="10" a="1"/>
  <c r="M55" i="10" s="1"/>
  <c r="N55" i="10"/>
  <c r="O55" i="10"/>
  <c r="P55" i="10"/>
  <c r="B56" i="10"/>
  <c r="D56" i="10"/>
  <c r="E56" i="10"/>
  <c r="F56" i="10"/>
  <c r="G56" i="10"/>
  <c r="H56" i="10" a="1"/>
  <c r="H56" i="10" s="1"/>
  <c r="I56" i="10" a="1"/>
  <c r="I56" i="10" s="1"/>
  <c r="J56" i="10" a="1"/>
  <c r="J56" i="10" s="1"/>
  <c r="K56" i="10" a="1"/>
  <c r="K56" i="10" s="1"/>
  <c r="L56" i="10" a="1"/>
  <c r="L56" i="10" s="1"/>
  <c r="M56" i="10" a="1"/>
  <c r="M56" i="10" s="1"/>
  <c r="N56" i="10"/>
  <c r="O56" i="10"/>
  <c r="P56" i="10"/>
  <c r="B57" i="10"/>
  <c r="D57" i="10"/>
  <c r="E57" i="10"/>
  <c r="F57" i="10"/>
  <c r="G57" i="10"/>
  <c r="H57" i="10" a="1"/>
  <c r="H57" i="10" s="1"/>
  <c r="I57" i="10" a="1"/>
  <c r="I57" i="10" s="1"/>
  <c r="J57" i="10" a="1"/>
  <c r="J57" i="10" s="1"/>
  <c r="K57" i="10" a="1"/>
  <c r="K57" i="10" s="1"/>
  <c r="L57" i="10" a="1"/>
  <c r="L57" i="10" s="1"/>
  <c r="M57" i="10" a="1"/>
  <c r="M57" i="10" s="1"/>
  <c r="N57" i="10"/>
  <c r="O57" i="10"/>
  <c r="P57" i="10"/>
  <c r="B58" i="10"/>
  <c r="D58" i="10"/>
  <c r="E58" i="10"/>
  <c r="F58" i="10"/>
  <c r="G58" i="10"/>
  <c r="H58" i="10" a="1"/>
  <c r="H58" i="10" s="1"/>
  <c r="I58" i="10" a="1"/>
  <c r="I58" i="10" s="1"/>
  <c r="J58" i="10" a="1"/>
  <c r="J58" i="10" s="1"/>
  <c r="K58" i="10" a="1"/>
  <c r="K58" i="10" s="1"/>
  <c r="L58" i="10" a="1"/>
  <c r="L58" i="10" s="1"/>
  <c r="M58" i="10" a="1"/>
  <c r="M58" i="10" s="1"/>
  <c r="N58" i="10"/>
  <c r="O58" i="10"/>
  <c r="P58" i="10"/>
  <c r="B59" i="10"/>
  <c r="D59" i="10"/>
  <c r="E59" i="10"/>
  <c r="F59" i="10"/>
  <c r="G59" i="10"/>
  <c r="H59" i="10" a="1"/>
  <c r="H59" i="10" s="1"/>
  <c r="I59" i="10" a="1"/>
  <c r="I59" i="10" s="1"/>
  <c r="J59" i="10" a="1"/>
  <c r="J59" i="10" s="1"/>
  <c r="K59" i="10" a="1"/>
  <c r="K59" i="10" s="1"/>
  <c r="L59" i="10" a="1"/>
  <c r="L59" i="10" s="1"/>
  <c r="M59" i="10" a="1"/>
  <c r="M59" i="10" s="1"/>
  <c r="N59" i="10"/>
  <c r="O59" i="10"/>
  <c r="P59" i="10"/>
  <c r="B60" i="10"/>
  <c r="D60" i="10"/>
  <c r="E60" i="10"/>
  <c r="F60" i="10"/>
  <c r="G60" i="10"/>
  <c r="H60" i="10" a="1"/>
  <c r="H60" i="10" s="1"/>
  <c r="I60" i="10" a="1"/>
  <c r="I60" i="10" s="1"/>
  <c r="J60" i="10" a="1"/>
  <c r="J60" i="10" s="1"/>
  <c r="K60" i="10" a="1"/>
  <c r="K60" i="10" s="1"/>
  <c r="L60" i="10" a="1"/>
  <c r="L60" i="10" s="1"/>
  <c r="M60" i="10" a="1"/>
  <c r="M60" i="10" s="1"/>
  <c r="N60" i="10"/>
  <c r="O60" i="10"/>
  <c r="P60" i="10"/>
  <c r="B61" i="10"/>
  <c r="D61" i="10"/>
  <c r="E61" i="10"/>
  <c r="F61" i="10"/>
  <c r="G61" i="10"/>
  <c r="H61" i="10" a="1"/>
  <c r="H61" i="10" s="1"/>
  <c r="I61" i="10" a="1"/>
  <c r="I61" i="10" s="1"/>
  <c r="J61" i="10" a="1"/>
  <c r="J61" i="10" s="1"/>
  <c r="K61" i="10" a="1"/>
  <c r="K61" i="10" s="1"/>
  <c r="L61" i="10" a="1"/>
  <c r="L61" i="10" s="1"/>
  <c r="M61" i="10" a="1"/>
  <c r="M61" i="10" s="1"/>
  <c r="N61" i="10"/>
  <c r="O61" i="10"/>
  <c r="P61" i="10"/>
  <c r="B62" i="10"/>
  <c r="D62" i="10"/>
  <c r="E62" i="10"/>
  <c r="F62" i="10"/>
  <c r="G62" i="10"/>
  <c r="H62" i="10" a="1"/>
  <c r="H62" i="10" s="1"/>
  <c r="I62" i="10" a="1"/>
  <c r="I62" i="10" s="1"/>
  <c r="J62" i="10" a="1"/>
  <c r="J62" i="10" s="1"/>
  <c r="K62" i="10" a="1"/>
  <c r="K62" i="10" s="1"/>
  <c r="L62" i="10" a="1"/>
  <c r="L62" i="10" s="1"/>
  <c r="M62" i="10" a="1"/>
  <c r="M62" i="10" s="1"/>
  <c r="N62" i="10"/>
  <c r="O62" i="10"/>
  <c r="P62" i="10"/>
  <c r="B63" i="10"/>
  <c r="D63" i="10"/>
  <c r="E63" i="10"/>
  <c r="F63" i="10"/>
  <c r="G63" i="10"/>
  <c r="H63" i="10" a="1"/>
  <c r="H63" i="10" s="1"/>
  <c r="I63" i="10" a="1"/>
  <c r="I63" i="10" s="1"/>
  <c r="J63" i="10" a="1"/>
  <c r="J63" i="10" s="1"/>
  <c r="K63" i="10" a="1"/>
  <c r="K63" i="10" s="1"/>
  <c r="L63" i="10" a="1"/>
  <c r="L63" i="10" s="1"/>
  <c r="M63" i="10" a="1"/>
  <c r="M63" i="10" s="1"/>
  <c r="N63" i="10"/>
  <c r="O63" i="10"/>
  <c r="P63" i="10"/>
  <c r="B64" i="10"/>
  <c r="D64" i="10"/>
  <c r="E64" i="10"/>
  <c r="F64" i="10"/>
  <c r="G64" i="10"/>
  <c r="H64" i="10" a="1"/>
  <c r="H64" i="10" s="1"/>
  <c r="I64" i="10" a="1"/>
  <c r="I64" i="10" s="1"/>
  <c r="J64" i="10" a="1"/>
  <c r="J64" i="10" s="1"/>
  <c r="K64" i="10" a="1"/>
  <c r="K64" i="10" s="1"/>
  <c r="L64" i="10" a="1"/>
  <c r="L64" i="10" s="1"/>
  <c r="M64" i="10" a="1"/>
  <c r="M64" i="10" s="1"/>
  <c r="N64" i="10"/>
  <c r="O64" i="10"/>
  <c r="P64" i="10"/>
  <c r="B65" i="10"/>
  <c r="D65" i="10"/>
  <c r="E65" i="10"/>
  <c r="F65" i="10"/>
  <c r="G65" i="10"/>
  <c r="H65" i="10" a="1"/>
  <c r="H65" i="10" s="1"/>
  <c r="I65" i="10" a="1"/>
  <c r="I65" i="10" s="1"/>
  <c r="J65" i="10" a="1"/>
  <c r="J65" i="10" s="1"/>
  <c r="K65" i="10" a="1"/>
  <c r="K65" i="10" s="1"/>
  <c r="L65" i="10" a="1"/>
  <c r="L65" i="10" s="1"/>
  <c r="M65" i="10" a="1"/>
  <c r="M65" i="10" s="1"/>
  <c r="N65" i="10"/>
  <c r="O65" i="10"/>
  <c r="P65" i="10"/>
  <c r="B66" i="10"/>
  <c r="D66" i="10"/>
  <c r="E66" i="10"/>
  <c r="F66" i="10"/>
  <c r="G66" i="10"/>
  <c r="H66" i="10" a="1"/>
  <c r="H66" i="10" s="1"/>
  <c r="I66" i="10" a="1"/>
  <c r="I66" i="10" s="1"/>
  <c r="J66" i="10" a="1"/>
  <c r="J66" i="10" s="1"/>
  <c r="K66" i="10" a="1"/>
  <c r="K66" i="10" s="1"/>
  <c r="L66" i="10" a="1"/>
  <c r="L66" i="10" s="1"/>
  <c r="M66" i="10" a="1"/>
  <c r="M66" i="10" s="1"/>
  <c r="N66" i="10"/>
  <c r="O66" i="10"/>
  <c r="P66" i="10"/>
  <c r="B67" i="10"/>
  <c r="D67" i="10"/>
  <c r="E67" i="10"/>
  <c r="F67" i="10"/>
  <c r="G67" i="10"/>
  <c r="H67" i="10" a="1"/>
  <c r="H67" i="10" s="1"/>
  <c r="I67" i="10" a="1"/>
  <c r="I67" i="10" s="1"/>
  <c r="J67" i="10" a="1"/>
  <c r="J67" i="10" s="1"/>
  <c r="K67" i="10" a="1"/>
  <c r="K67" i="10" s="1"/>
  <c r="L67" i="10" a="1"/>
  <c r="L67" i="10" s="1"/>
  <c r="M67" i="10" a="1"/>
  <c r="M67" i="10" s="1"/>
  <c r="N67" i="10"/>
  <c r="O67" i="10"/>
  <c r="P67" i="10"/>
  <c r="B68" i="10"/>
  <c r="D68" i="10"/>
  <c r="E68" i="10"/>
  <c r="F68" i="10"/>
  <c r="G68" i="10"/>
  <c r="H68" i="10" a="1"/>
  <c r="H68" i="10" s="1"/>
  <c r="I68" i="10" a="1"/>
  <c r="I68" i="10" s="1"/>
  <c r="J68" i="10" a="1"/>
  <c r="J68" i="10" s="1"/>
  <c r="K68" i="10" a="1"/>
  <c r="K68" i="10" s="1"/>
  <c r="L68" i="10" a="1"/>
  <c r="L68" i="10" s="1"/>
  <c r="M68" i="10" a="1"/>
  <c r="M68" i="10" s="1"/>
  <c r="N68" i="10"/>
  <c r="O68" i="10"/>
  <c r="P68" i="10"/>
  <c r="B69" i="10"/>
  <c r="D69" i="10"/>
  <c r="E69" i="10"/>
  <c r="F69" i="10"/>
  <c r="G69" i="10"/>
  <c r="H69" i="10" a="1"/>
  <c r="H69" i="10" s="1"/>
  <c r="I69" i="10" a="1"/>
  <c r="I69" i="10" s="1"/>
  <c r="J69" i="10" a="1"/>
  <c r="J69" i="10" s="1"/>
  <c r="K69" i="10" a="1"/>
  <c r="K69" i="10" s="1"/>
  <c r="L69" i="10" a="1"/>
  <c r="L69" i="10" s="1"/>
  <c r="M69" i="10" a="1"/>
  <c r="M69" i="10" s="1"/>
  <c r="N69" i="10"/>
  <c r="O69" i="10"/>
  <c r="P69" i="10"/>
  <c r="B70" i="10"/>
  <c r="D70" i="10"/>
  <c r="E70" i="10"/>
  <c r="F70" i="10"/>
  <c r="G70" i="10"/>
  <c r="H70" i="10" a="1"/>
  <c r="H70" i="10" s="1"/>
  <c r="I70" i="10" a="1"/>
  <c r="I70" i="10" s="1"/>
  <c r="J70" i="10" a="1"/>
  <c r="J70" i="10" s="1"/>
  <c r="K70" i="10" a="1"/>
  <c r="K70" i="10" s="1"/>
  <c r="L70" i="10" a="1"/>
  <c r="L70" i="10" s="1"/>
  <c r="M70" i="10" a="1"/>
  <c r="M70" i="10" s="1"/>
  <c r="N70" i="10"/>
  <c r="O70" i="10"/>
  <c r="P70" i="10"/>
  <c r="B71" i="10"/>
  <c r="D71" i="10"/>
  <c r="E71" i="10"/>
  <c r="F71" i="10"/>
  <c r="G71" i="10"/>
  <c r="H71" i="10" a="1"/>
  <c r="H71" i="10" s="1"/>
  <c r="I71" i="10" a="1"/>
  <c r="I71" i="10" s="1"/>
  <c r="J71" i="10" a="1"/>
  <c r="J71" i="10" s="1"/>
  <c r="K71" i="10" a="1"/>
  <c r="K71" i="10" s="1"/>
  <c r="L71" i="10" a="1"/>
  <c r="L71" i="10" s="1"/>
  <c r="M71" i="10" a="1"/>
  <c r="M71" i="10" s="1"/>
  <c r="N71" i="10"/>
  <c r="O71" i="10"/>
  <c r="P71" i="10"/>
  <c r="B72" i="10"/>
  <c r="D72" i="10"/>
  <c r="E72" i="10"/>
  <c r="F72" i="10"/>
  <c r="G72" i="10"/>
  <c r="H72" i="10" a="1"/>
  <c r="H72" i="10" s="1"/>
  <c r="I72" i="10" a="1"/>
  <c r="I72" i="10" s="1"/>
  <c r="J72" i="10" a="1"/>
  <c r="J72" i="10" s="1"/>
  <c r="K72" i="10" a="1"/>
  <c r="K72" i="10" s="1"/>
  <c r="L72" i="10" a="1"/>
  <c r="L72" i="10" s="1"/>
  <c r="M72" i="10" a="1"/>
  <c r="M72" i="10" s="1"/>
  <c r="N72" i="10"/>
  <c r="O72" i="10"/>
  <c r="P72" i="10"/>
  <c r="B73" i="10"/>
  <c r="D73" i="10"/>
  <c r="E73" i="10"/>
  <c r="F73" i="10"/>
  <c r="G73" i="10"/>
  <c r="H73" i="10" a="1"/>
  <c r="H73" i="10" s="1"/>
  <c r="I73" i="10" a="1"/>
  <c r="I73" i="10" s="1"/>
  <c r="J73" i="10" a="1"/>
  <c r="J73" i="10" s="1"/>
  <c r="K73" i="10" a="1"/>
  <c r="K73" i="10" s="1"/>
  <c r="L73" i="10" a="1"/>
  <c r="L73" i="10" s="1"/>
  <c r="M73" i="10" a="1"/>
  <c r="M73" i="10" s="1"/>
  <c r="N73" i="10"/>
  <c r="O73" i="10"/>
  <c r="P73" i="10"/>
  <c r="B74" i="10"/>
  <c r="D74" i="10"/>
  <c r="E74" i="10"/>
  <c r="F74" i="10"/>
  <c r="G74" i="10"/>
  <c r="H74" i="10" a="1"/>
  <c r="H74" i="10" s="1"/>
  <c r="I74" i="10" a="1"/>
  <c r="I74" i="10" s="1"/>
  <c r="J74" i="10" a="1"/>
  <c r="J74" i="10" s="1"/>
  <c r="K74" i="10" a="1"/>
  <c r="K74" i="10" s="1"/>
  <c r="L74" i="10" a="1"/>
  <c r="L74" i="10" s="1"/>
  <c r="M74" i="10" a="1"/>
  <c r="M74" i="10" s="1"/>
  <c r="N74" i="10"/>
  <c r="O74" i="10"/>
  <c r="P74" i="10"/>
  <c r="B75" i="10"/>
  <c r="D75" i="10"/>
  <c r="E75" i="10"/>
  <c r="F75" i="10"/>
  <c r="G75" i="10"/>
  <c r="H75" i="10" a="1"/>
  <c r="H75" i="10" s="1"/>
  <c r="I75" i="10" a="1"/>
  <c r="I75" i="10" s="1"/>
  <c r="J75" i="10" a="1"/>
  <c r="J75" i="10" s="1"/>
  <c r="K75" i="10" a="1"/>
  <c r="K75" i="10" s="1"/>
  <c r="L75" i="10" a="1"/>
  <c r="L75" i="10" s="1"/>
  <c r="M75" i="10" a="1"/>
  <c r="M75" i="10" s="1"/>
  <c r="N75" i="10"/>
  <c r="O75" i="10"/>
  <c r="P75" i="10"/>
  <c r="B76" i="10"/>
  <c r="D76" i="10"/>
  <c r="E76" i="10"/>
  <c r="F76" i="10"/>
  <c r="G76" i="10"/>
  <c r="H76" i="10" a="1"/>
  <c r="H76" i="10" s="1"/>
  <c r="I76" i="10" a="1"/>
  <c r="I76" i="10" s="1"/>
  <c r="J76" i="10" a="1"/>
  <c r="J76" i="10" s="1"/>
  <c r="K76" i="10" a="1"/>
  <c r="K76" i="10" s="1"/>
  <c r="L76" i="10" a="1"/>
  <c r="L76" i="10" s="1"/>
  <c r="M76" i="10" a="1"/>
  <c r="M76" i="10" s="1"/>
  <c r="N76" i="10"/>
  <c r="O76" i="10"/>
  <c r="P76" i="10"/>
  <c r="B77" i="10"/>
  <c r="D77" i="10"/>
  <c r="E77" i="10"/>
  <c r="F77" i="10"/>
  <c r="G77" i="10"/>
  <c r="H77" i="10" a="1"/>
  <c r="H77" i="10" s="1"/>
  <c r="I77" i="10" a="1"/>
  <c r="I77" i="10" s="1"/>
  <c r="J77" i="10" a="1"/>
  <c r="J77" i="10" s="1"/>
  <c r="K77" i="10" a="1"/>
  <c r="K77" i="10" s="1"/>
  <c r="L77" i="10" a="1"/>
  <c r="L77" i="10" s="1"/>
  <c r="M77" i="10" a="1"/>
  <c r="M77" i="10" s="1"/>
  <c r="N77" i="10"/>
  <c r="O77" i="10"/>
  <c r="P77" i="10"/>
  <c r="B78" i="10"/>
  <c r="D78" i="10"/>
  <c r="E78" i="10"/>
  <c r="F78" i="10"/>
  <c r="G78" i="10"/>
  <c r="H78" i="10" a="1"/>
  <c r="H78" i="10" s="1"/>
  <c r="I78" i="10" a="1"/>
  <c r="I78" i="10" s="1"/>
  <c r="J78" i="10" a="1"/>
  <c r="J78" i="10" s="1"/>
  <c r="K78" i="10" a="1"/>
  <c r="K78" i="10" s="1"/>
  <c r="L78" i="10" a="1"/>
  <c r="L78" i="10" s="1"/>
  <c r="M78" i="10" a="1"/>
  <c r="M78" i="10" s="1"/>
  <c r="N78" i="10"/>
  <c r="O78" i="10"/>
  <c r="P78" i="10"/>
  <c r="B79" i="10"/>
  <c r="D79" i="10"/>
  <c r="E79" i="10"/>
  <c r="F79" i="10"/>
  <c r="G79" i="10"/>
  <c r="H79" i="10" a="1"/>
  <c r="H79" i="10" s="1"/>
  <c r="I79" i="10" a="1"/>
  <c r="I79" i="10" s="1"/>
  <c r="J79" i="10" a="1"/>
  <c r="J79" i="10" s="1"/>
  <c r="K79" i="10" a="1"/>
  <c r="K79" i="10" s="1"/>
  <c r="L79" i="10" a="1"/>
  <c r="L79" i="10" s="1"/>
  <c r="M79" i="10" a="1"/>
  <c r="M79" i="10" s="1"/>
  <c r="N79" i="10"/>
  <c r="O79" i="10"/>
  <c r="P79" i="10"/>
  <c r="B80" i="10"/>
  <c r="D80" i="10"/>
  <c r="E80" i="10"/>
  <c r="F80" i="10"/>
  <c r="G80" i="10"/>
  <c r="H80" i="10" a="1"/>
  <c r="H80" i="10" s="1"/>
  <c r="I80" i="10" a="1"/>
  <c r="I80" i="10" s="1"/>
  <c r="J80" i="10" a="1"/>
  <c r="J80" i="10" s="1"/>
  <c r="K80" i="10" a="1"/>
  <c r="K80" i="10" s="1"/>
  <c r="L80" i="10" a="1"/>
  <c r="L80" i="10" s="1"/>
  <c r="M80" i="10" a="1"/>
  <c r="M80" i="10" s="1"/>
  <c r="N80" i="10"/>
  <c r="O80" i="10"/>
  <c r="P80" i="10"/>
  <c r="B81" i="10"/>
  <c r="D81" i="10"/>
  <c r="E81" i="10"/>
  <c r="F81" i="10"/>
  <c r="G81" i="10"/>
  <c r="H81" i="10" a="1"/>
  <c r="H81" i="10" s="1"/>
  <c r="I81" i="10" a="1"/>
  <c r="I81" i="10" s="1"/>
  <c r="J81" i="10" a="1"/>
  <c r="J81" i="10" s="1"/>
  <c r="K81" i="10" a="1"/>
  <c r="K81" i="10" s="1"/>
  <c r="L81" i="10" a="1"/>
  <c r="L81" i="10" s="1"/>
  <c r="M81" i="10" a="1"/>
  <c r="M81" i="10" s="1"/>
  <c r="N81" i="10"/>
  <c r="O81" i="10"/>
  <c r="P81" i="10"/>
  <c r="B82" i="10"/>
  <c r="D82" i="10"/>
  <c r="E82" i="10"/>
  <c r="F82" i="10"/>
  <c r="G82" i="10"/>
  <c r="H82" i="10" a="1"/>
  <c r="H82" i="10" s="1"/>
  <c r="I82" i="10" a="1"/>
  <c r="I82" i="10" s="1"/>
  <c r="J82" i="10" a="1"/>
  <c r="J82" i="10" s="1"/>
  <c r="K82" i="10" a="1"/>
  <c r="K82" i="10" s="1"/>
  <c r="L82" i="10" a="1"/>
  <c r="L82" i="10" s="1"/>
  <c r="M82" i="10" a="1"/>
  <c r="M82" i="10" s="1"/>
  <c r="N82" i="10"/>
  <c r="O82" i="10"/>
  <c r="P82" i="10"/>
  <c r="B83" i="10"/>
  <c r="D83" i="10"/>
  <c r="E83" i="10"/>
  <c r="F83" i="10"/>
  <c r="G83" i="10"/>
  <c r="H83" i="10" a="1"/>
  <c r="H83" i="10" s="1"/>
  <c r="I83" i="10" a="1"/>
  <c r="I83" i="10" s="1"/>
  <c r="J83" i="10" a="1"/>
  <c r="J83" i="10" s="1"/>
  <c r="K83" i="10" a="1"/>
  <c r="K83" i="10" s="1"/>
  <c r="L83" i="10" a="1"/>
  <c r="L83" i="10" s="1"/>
  <c r="M83" i="10" a="1"/>
  <c r="M83" i="10" s="1"/>
  <c r="N83" i="10"/>
  <c r="O83" i="10"/>
  <c r="P83" i="10"/>
  <c r="B84" i="10"/>
  <c r="D84" i="10"/>
  <c r="E84" i="10"/>
  <c r="F84" i="10"/>
  <c r="G84" i="10"/>
  <c r="H84" i="10" a="1"/>
  <c r="H84" i="10" s="1"/>
  <c r="I84" i="10" a="1"/>
  <c r="I84" i="10" s="1"/>
  <c r="J84" i="10" a="1"/>
  <c r="J84" i="10" s="1"/>
  <c r="K84" i="10" a="1"/>
  <c r="K84" i="10" s="1"/>
  <c r="L84" i="10" a="1"/>
  <c r="L84" i="10" s="1"/>
  <c r="M84" i="10" a="1"/>
  <c r="M84" i="10" s="1"/>
  <c r="N84" i="10"/>
  <c r="O84" i="10"/>
  <c r="P84" i="10"/>
  <c r="B85" i="10"/>
  <c r="D85" i="10"/>
  <c r="E85" i="10"/>
  <c r="F85" i="10"/>
  <c r="G85" i="10"/>
  <c r="H85" i="10" a="1"/>
  <c r="H85" i="10" s="1"/>
  <c r="I85" i="10" a="1"/>
  <c r="I85" i="10" s="1"/>
  <c r="J85" i="10" a="1"/>
  <c r="J85" i="10" s="1"/>
  <c r="K85" i="10" a="1"/>
  <c r="K85" i="10" s="1"/>
  <c r="L85" i="10" a="1"/>
  <c r="L85" i="10" s="1"/>
  <c r="M85" i="10" a="1"/>
  <c r="M85" i="10" s="1"/>
  <c r="N85" i="10"/>
  <c r="O85" i="10"/>
  <c r="P85" i="10"/>
  <c r="B86" i="10"/>
  <c r="D86" i="10"/>
  <c r="E86" i="10"/>
  <c r="F86" i="10"/>
  <c r="G86" i="10"/>
  <c r="H86" i="10" a="1"/>
  <c r="H86" i="10" s="1"/>
  <c r="I86" i="10" a="1"/>
  <c r="I86" i="10" s="1"/>
  <c r="J86" i="10" a="1"/>
  <c r="J86" i="10" s="1"/>
  <c r="K86" i="10" a="1"/>
  <c r="K86" i="10" s="1"/>
  <c r="L86" i="10" a="1"/>
  <c r="L86" i="10" s="1"/>
  <c r="M86" i="10" a="1"/>
  <c r="M86" i="10" s="1"/>
  <c r="N86" i="10"/>
  <c r="O86" i="10"/>
  <c r="P86" i="10"/>
  <c r="B87" i="10"/>
  <c r="D87" i="10"/>
  <c r="E87" i="10"/>
  <c r="F87" i="10"/>
  <c r="G87" i="10"/>
  <c r="H87" i="10" a="1"/>
  <c r="H87" i="10" s="1"/>
  <c r="I87" i="10" a="1"/>
  <c r="I87" i="10" s="1"/>
  <c r="J87" i="10" a="1"/>
  <c r="J87" i="10" s="1"/>
  <c r="K87" i="10" a="1"/>
  <c r="K87" i="10" s="1"/>
  <c r="L87" i="10" a="1"/>
  <c r="L87" i="10" s="1"/>
  <c r="M87" i="10" a="1"/>
  <c r="M87" i="10" s="1"/>
  <c r="N87" i="10"/>
  <c r="O87" i="10"/>
  <c r="P87" i="10"/>
  <c r="B88" i="10"/>
  <c r="D88" i="10"/>
  <c r="E88" i="10"/>
  <c r="F88" i="10"/>
  <c r="G88" i="10"/>
  <c r="H88" i="10" a="1"/>
  <c r="H88" i="10" s="1"/>
  <c r="I88" i="10" a="1"/>
  <c r="I88" i="10" s="1"/>
  <c r="J88" i="10" a="1"/>
  <c r="J88" i="10" s="1"/>
  <c r="K88" i="10" a="1"/>
  <c r="K88" i="10" s="1"/>
  <c r="L88" i="10" a="1"/>
  <c r="L88" i="10" s="1"/>
  <c r="M88" i="10" a="1"/>
  <c r="M88" i="10" s="1"/>
  <c r="N88" i="10"/>
  <c r="O88" i="10"/>
  <c r="P88" i="10"/>
  <c r="B89" i="10"/>
  <c r="D89" i="10"/>
  <c r="E89" i="10"/>
  <c r="F89" i="10"/>
  <c r="G89" i="10"/>
  <c r="H89" i="10" a="1"/>
  <c r="H89" i="10" s="1"/>
  <c r="I89" i="10" a="1"/>
  <c r="I89" i="10" s="1"/>
  <c r="J89" i="10" a="1"/>
  <c r="J89" i="10" s="1"/>
  <c r="K89" i="10" a="1"/>
  <c r="K89" i="10" s="1"/>
  <c r="L89" i="10" a="1"/>
  <c r="L89" i="10" s="1"/>
  <c r="M89" i="10" a="1"/>
  <c r="M89" i="10" s="1"/>
  <c r="N89" i="10"/>
  <c r="O89" i="10"/>
  <c r="P89" i="10"/>
  <c r="B90" i="10"/>
  <c r="D90" i="10"/>
  <c r="E90" i="10"/>
  <c r="F90" i="10"/>
  <c r="G90" i="10"/>
  <c r="H90" i="10" a="1"/>
  <c r="H90" i="10" s="1"/>
  <c r="I90" i="10" a="1"/>
  <c r="I90" i="10" s="1"/>
  <c r="J90" i="10" a="1"/>
  <c r="J90" i="10" s="1"/>
  <c r="K90" i="10" a="1"/>
  <c r="K90" i="10" s="1"/>
  <c r="L90" i="10" a="1"/>
  <c r="L90" i="10" s="1"/>
  <c r="M90" i="10" a="1"/>
  <c r="M90" i="10" s="1"/>
  <c r="N90" i="10"/>
  <c r="O90" i="10"/>
  <c r="P90" i="10"/>
  <c r="B91" i="10"/>
  <c r="D91" i="10"/>
  <c r="E91" i="10"/>
  <c r="F91" i="10"/>
  <c r="G91" i="10"/>
  <c r="H91" i="10" a="1"/>
  <c r="H91" i="10" s="1"/>
  <c r="I91" i="10" a="1"/>
  <c r="I91" i="10" s="1"/>
  <c r="J91" i="10" a="1"/>
  <c r="J91" i="10" s="1"/>
  <c r="K91" i="10" a="1"/>
  <c r="K91" i="10" s="1"/>
  <c r="L91" i="10" a="1"/>
  <c r="L91" i="10" s="1"/>
  <c r="M91" i="10" a="1"/>
  <c r="M91" i="10" s="1"/>
  <c r="N91" i="10"/>
  <c r="O91" i="10"/>
  <c r="P91" i="10"/>
  <c r="B92" i="10"/>
  <c r="D92" i="10"/>
  <c r="E92" i="10"/>
  <c r="F92" i="10"/>
  <c r="G92" i="10"/>
  <c r="H92" i="10" a="1"/>
  <c r="H92" i="10" s="1"/>
  <c r="I92" i="10" a="1"/>
  <c r="I92" i="10" s="1"/>
  <c r="J92" i="10" a="1"/>
  <c r="J92" i="10" s="1"/>
  <c r="K92" i="10" a="1"/>
  <c r="K92" i="10" s="1"/>
  <c r="L92" i="10" a="1"/>
  <c r="L92" i="10" s="1"/>
  <c r="M92" i="10" a="1"/>
  <c r="M92" i="10" s="1"/>
  <c r="N92" i="10"/>
  <c r="O92" i="10"/>
  <c r="P92" i="10"/>
  <c r="B93" i="10"/>
  <c r="D93" i="10"/>
  <c r="E93" i="10"/>
  <c r="F93" i="10"/>
  <c r="G93" i="10"/>
  <c r="H93" i="10" a="1"/>
  <c r="H93" i="10" s="1"/>
  <c r="I93" i="10" a="1"/>
  <c r="I93" i="10" s="1"/>
  <c r="J93" i="10" a="1"/>
  <c r="J93" i="10" s="1"/>
  <c r="K93" i="10" a="1"/>
  <c r="K93" i="10" s="1"/>
  <c r="L93" i="10" a="1"/>
  <c r="L93" i="10" s="1"/>
  <c r="M93" i="10" a="1"/>
  <c r="M93" i="10" s="1"/>
  <c r="N93" i="10"/>
  <c r="O93" i="10"/>
  <c r="P93" i="10"/>
  <c r="B94" i="10"/>
  <c r="D94" i="10"/>
  <c r="E94" i="10"/>
  <c r="F94" i="10"/>
  <c r="G94" i="10"/>
  <c r="H94" i="10" a="1"/>
  <c r="H94" i="10" s="1"/>
  <c r="I94" i="10" a="1"/>
  <c r="I94" i="10" s="1"/>
  <c r="J94" i="10" a="1"/>
  <c r="J94" i="10" s="1"/>
  <c r="K94" i="10" a="1"/>
  <c r="K94" i="10" s="1"/>
  <c r="L94" i="10" a="1"/>
  <c r="L94" i="10" s="1"/>
  <c r="M94" i="10" a="1"/>
  <c r="M94" i="10" s="1"/>
  <c r="N94" i="10"/>
  <c r="O94" i="10"/>
  <c r="P94" i="10"/>
  <c r="B95" i="10"/>
  <c r="D95" i="10"/>
  <c r="E95" i="10"/>
  <c r="F95" i="10"/>
  <c r="G95" i="10"/>
  <c r="H95" i="10" a="1"/>
  <c r="H95" i="10" s="1"/>
  <c r="I95" i="10" a="1"/>
  <c r="I95" i="10" s="1"/>
  <c r="J95" i="10" a="1"/>
  <c r="J95" i="10" s="1"/>
  <c r="K95" i="10" a="1"/>
  <c r="K95" i="10" s="1"/>
  <c r="L95" i="10" a="1"/>
  <c r="L95" i="10" s="1"/>
  <c r="M95" i="10" a="1"/>
  <c r="M95" i="10" s="1"/>
  <c r="N95" i="10"/>
  <c r="O95" i="10"/>
  <c r="P95" i="10"/>
  <c r="B96" i="10"/>
  <c r="D96" i="10"/>
  <c r="E96" i="10"/>
  <c r="F96" i="10"/>
  <c r="G96" i="10"/>
  <c r="H96" i="10" a="1"/>
  <c r="H96" i="10" s="1"/>
  <c r="I96" i="10" a="1"/>
  <c r="I96" i="10" s="1"/>
  <c r="J96" i="10" a="1"/>
  <c r="J96" i="10" s="1"/>
  <c r="K96" i="10" a="1"/>
  <c r="K96" i="10" s="1"/>
  <c r="L96" i="10" a="1"/>
  <c r="L96" i="10" s="1"/>
  <c r="M96" i="10" a="1"/>
  <c r="M96" i="10" s="1"/>
  <c r="N96" i="10"/>
  <c r="O96" i="10"/>
  <c r="P96" i="10"/>
  <c r="B97" i="10"/>
  <c r="D97" i="10"/>
  <c r="E97" i="10"/>
  <c r="F97" i="10"/>
  <c r="G97" i="10"/>
  <c r="H97" i="10" a="1"/>
  <c r="H97" i="10" s="1"/>
  <c r="I97" i="10" a="1"/>
  <c r="I97" i="10" s="1"/>
  <c r="J97" i="10" a="1"/>
  <c r="J97" i="10" s="1"/>
  <c r="K97" i="10" a="1"/>
  <c r="K97" i="10" s="1"/>
  <c r="L97" i="10" a="1"/>
  <c r="L97" i="10" s="1"/>
  <c r="M97" i="10" a="1"/>
  <c r="M97" i="10" s="1"/>
  <c r="N97" i="10"/>
  <c r="O97" i="10"/>
  <c r="P97" i="10"/>
  <c r="B98" i="10"/>
  <c r="D98" i="10"/>
  <c r="E98" i="10"/>
  <c r="F98" i="10"/>
  <c r="G98" i="10"/>
  <c r="H98" i="10" a="1"/>
  <c r="H98" i="10" s="1"/>
  <c r="I98" i="10" a="1"/>
  <c r="I98" i="10" s="1"/>
  <c r="J98" i="10" a="1"/>
  <c r="J98" i="10" s="1"/>
  <c r="K98" i="10" a="1"/>
  <c r="K98" i="10" s="1"/>
  <c r="L98" i="10" a="1"/>
  <c r="L98" i="10" s="1"/>
  <c r="M98" i="10" a="1"/>
  <c r="M98" i="10" s="1"/>
  <c r="N98" i="10"/>
  <c r="O98" i="10"/>
  <c r="P98" i="10"/>
  <c r="B99" i="10"/>
  <c r="D99" i="10"/>
  <c r="E99" i="10"/>
  <c r="F99" i="10"/>
  <c r="G99" i="10"/>
  <c r="H99" i="10" a="1"/>
  <c r="H99" i="10" s="1"/>
  <c r="I99" i="10" a="1"/>
  <c r="I99" i="10" s="1"/>
  <c r="J99" i="10" a="1"/>
  <c r="J99" i="10" s="1"/>
  <c r="K99" i="10" a="1"/>
  <c r="K99" i="10" s="1"/>
  <c r="L99" i="10" a="1"/>
  <c r="L99" i="10" s="1"/>
  <c r="M99" i="10" a="1"/>
  <c r="M99" i="10" s="1"/>
  <c r="N99" i="10"/>
  <c r="O99" i="10"/>
  <c r="P99" i="10"/>
  <c r="B100" i="10"/>
  <c r="D100" i="10"/>
  <c r="E100" i="10"/>
  <c r="F100" i="10"/>
  <c r="G100" i="10"/>
  <c r="H100" i="10" a="1"/>
  <c r="H100" i="10" s="1"/>
  <c r="I100" i="10" a="1"/>
  <c r="I100" i="10" s="1"/>
  <c r="J100" i="10" a="1"/>
  <c r="J100" i="10" s="1"/>
  <c r="K100" i="10" a="1"/>
  <c r="K100" i="10" s="1"/>
  <c r="L100" i="10" a="1"/>
  <c r="L100" i="10" s="1"/>
  <c r="M100" i="10" a="1"/>
  <c r="M100" i="10" s="1"/>
  <c r="N100" i="10"/>
  <c r="O100" i="10"/>
  <c r="P100" i="10"/>
  <c r="B101" i="10"/>
  <c r="D101" i="10"/>
  <c r="E101" i="10"/>
  <c r="F101" i="10"/>
  <c r="G101" i="10"/>
  <c r="H101" i="10" a="1"/>
  <c r="H101" i="10" s="1"/>
  <c r="I101" i="10" a="1"/>
  <c r="I101" i="10" s="1"/>
  <c r="J101" i="10" a="1"/>
  <c r="J101" i="10" s="1"/>
  <c r="K101" i="10" a="1"/>
  <c r="K101" i="10" s="1"/>
  <c r="L101" i="10" a="1"/>
  <c r="L101" i="10" s="1"/>
  <c r="M101" i="10" a="1"/>
  <c r="M101" i="10" s="1"/>
  <c r="N101" i="10"/>
  <c r="O101" i="10"/>
  <c r="P101" i="10"/>
  <c r="B102" i="10"/>
  <c r="D102" i="10"/>
  <c r="E102" i="10"/>
  <c r="F102" i="10"/>
  <c r="G102" i="10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/>
  <c r="O102" i="10"/>
  <c r="P102" i="10"/>
  <c r="B103" i="10"/>
  <c r="D103" i="10"/>
  <c r="E103" i="10"/>
  <c r="F103" i="10"/>
  <c r="G103" i="10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/>
  <c r="O103" i="10"/>
  <c r="P103" i="10"/>
  <c r="B104" i="10"/>
  <c r="D104" i="10"/>
  <c r="E104" i="10"/>
  <c r="F104" i="10"/>
  <c r="G104" i="10"/>
  <c r="H104" i="10" a="1"/>
  <c r="H104" i="10" s="1"/>
  <c r="I104" i="10" a="1"/>
  <c r="I104" i="10" s="1"/>
  <c r="J104" i="10" a="1"/>
  <c r="J104" i="10" s="1"/>
  <c r="K104" i="10" a="1"/>
  <c r="K104" i="10" s="1"/>
  <c r="L104" i="10" a="1"/>
  <c r="L104" i="10" s="1"/>
  <c r="M104" i="10" a="1"/>
  <c r="M104" i="10" s="1"/>
  <c r="N104" i="10"/>
  <c r="O104" i="10"/>
  <c r="P104" i="10"/>
  <c r="B105" i="10"/>
  <c r="D105" i="10"/>
  <c r="E105" i="10"/>
  <c r="F105" i="10"/>
  <c r="G105" i="10"/>
  <c r="H105" i="10" a="1"/>
  <c r="H105" i="10" s="1"/>
  <c r="I105" i="10" a="1"/>
  <c r="I105" i="10" s="1"/>
  <c r="J105" i="10" a="1"/>
  <c r="J105" i="10" s="1"/>
  <c r="K105" i="10" a="1"/>
  <c r="K105" i="10" s="1"/>
  <c r="L105" i="10" a="1"/>
  <c r="L105" i="10" s="1"/>
  <c r="M105" i="10" a="1"/>
  <c r="M105" i="10" s="1"/>
  <c r="N105" i="10"/>
  <c r="O105" i="10"/>
  <c r="P105" i="10"/>
  <c r="B106" i="10"/>
  <c r="D106" i="10"/>
  <c r="E106" i="10"/>
  <c r="F106" i="10"/>
  <c r="G106" i="10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/>
  <c r="O106" i="10"/>
  <c r="P106" i="10"/>
  <c r="B107" i="10"/>
  <c r="D107" i="10"/>
  <c r="E107" i="10"/>
  <c r="F107" i="10"/>
  <c r="G107" i="10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/>
  <c r="O107" i="10"/>
  <c r="P107" i="10"/>
  <c r="B108" i="10"/>
  <c r="D108" i="10"/>
  <c r="E108" i="10"/>
  <c r="F108" i="10"/>
  <c r="G108" i="10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/>
  <c r="O108" i="10"/>
  <c r="P108" i="10"/>
  <c r="B109" i="10"/>
  <c r="D109" i="10"/>
  <c r="E109" i="10"/>
  <c r="F109" i="10"/>
  <c r="G109" i="10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/>
  <c r="O109" i="10"/>
  <c r="P109" i="10"/>
  <c r="B110" i="10"/>
  <c r="D110" i="10"/>
  <c r="E110" i="10"/>
  <c r="F110" i="10"/>
  <c r="G110" i="10"/>
  <c r="H110" i="10" a="1"/>
  <c r="H110" i="10" s="1"/>
  <c r="I110" i="10" a="1"/>
  <c r="I110" i="10" s="1"/>
  <c r="J110" i="10" a="1"/>
  <c r="J110" i="10" s="1"/>
  <c r="K110" i="10" a="1"/>
  <c r="K110" i="10" s="1"/>
  <c r="L110" i="10" a="1"/>
  <c r="L110" i="10" s="1"/>
  <c r="M110" i="10" a="1"/>
  <c r="M110" i="10" s="1"/>
  <c r="N110" i="10"/>
  <c r="O110" i="10"/>
  <c r="P110" i="10"/>
  <c r="B111" i="10"/>
  <c r="D111" i="10"/>
  <c r="E111" i="10"/>
  <c r="F111" i="10"/>
  <c r="G111" i="10"/>
  <c r="H111" i="10" a="1"/>
  <c r="H111" i="10" s="1"/>
  <c r="I111" i="10" a="1"/>
  <c r="I111" i="10" s="1"/>
  <c r="J111" i="10" a="1"/>
  <c r="J111" i="10" s="1"/>
  <c r="K111" i="10" a="1"/>
  <c r="K111" i="10" s="1"/>
  <c r="L111" i="10" a="1"/>
  <c r="L111" i="10" s="1"/>
  <c r="M111" i="10" a="1"/>
  <c r="M111" i="10" s="1"/>
  <c r="N111" i="10"/>
  <c r="O111" i="10"/>
  <c r="P111" i="10"/>
  <c r="B112" i="10"/>
  <c r="D112" i="10"/>
  <c r="E112" i="10"/>
  <c r="F112" i="10"/>
  <c r="G112" i="10"/>
  <c r="H112" i="10" a="1"/>
  <c r="H112" i="10" s="1"/>
  <c r="I112" i="10" a="1"/>
  <c r="I112" i="10" s="1"/>
  <c r="J112" i="10" a="1"/>
  <c r="J112" i="10" s="1"/>
  <c r="K112" i="10" a="1"/>
  <c r="K112" i="10" s="1"/>
  <c r="L112" i="10" a="1"/>
  <c r="L112" i="10" s="1"/>
  <c r="M112" i="10" a="1"/>
  <c r="M112" i="10" s="1"/>
  <c r="N112" i="10"/>
  <c r="O112" i="10"/>
  <c r="P112" i="10"/>
  <c r="B113" i="10"/>
  <c r="D113" i="10"/>
  <c r="E113" i="10"/>
  <c r="F113" i="10"/>
  <c r="G113" i="10"/>
  <c r="H113" i="10" a="1"/>
  <c r="H113" i="10" s="1"/>
  <c r="I113" i="10" a="1"/>
  <c r="I113" i="10" s="1"/>
  <c r="J113" i="10" a="1"/>
  <c r="J113" i="10" s="1"/>
  <c r="K113" i="10" a="1"/>
  <c r="K113" i="10" s="1"/>
  <c r="L113" i="10" a="1"/>
  <c r="L113" i="10" s="1"/>
  <c r="M113" i="10" a="1"/>
  <c r="M113" i="10" s="1"/>
  <c r="N113" i="10"/>
  <c r="O113" i="10"/>
  <c r="P113" i="10"/>
  <c r="B114" i="10"/>
  <c r="D114" i="10"/>
  <c r="E114" i="10"/>
  <c r="F114" i="10"/>
  <c r="G114" i="10"/>
  <c r="H114" i="10" a="1"/>
  <c r="H114" i="10" s="1"/>
  <c r="I114" i="10" a="1"/>
  <c r="I114" i="10" s="1"/>
  <c r="J114" i="10" a="1"/>
  <c r="J114" i="10" s="1"/>
  <c r="K114" i="10" a="1"/>
  <c r="K114" i="10" s="1"/>
  <c r="L114" i="10" a="1"/>
  <c r="L114" i="10" s="1"/>
  <c r="M114" i="10" a="1"/>
  <c r="M114" i="10" s="1"/>
  <c r="N114" i="10"/>
  <c r="O114" i="10"/>
  <c r="P114" i="10"/>
  <c r="B115" i="10"/>
  <c r="D115" i="10"/>
  <c r="E115" i="10"/>
  <c r="F115" i="10"/>
  <c r="G115" i="10"/>
  <c r="H115" i="10" a="1"/>
  <c r="H115" i="10" s="1"/>
  <c r="I115" i="10" a="1"/>
  <c r="I115" i="10" s="1"/>
  <c r="J115" i="10" a="1"/>
  <c r="J115" i="10" s="1"/>
  <c r="K115" i="10" a="1"/>
  <c r="K115" i="10" s="1"/>
  <c r="L115" i="10" a="1"/>
  <c r="L115" i="10" s="1"/>
  <c r="M115" i="10" a="1"/>
  <c r="M115" i="10" s="1"/>
  <c r="N115" i="10"/>
  <c r="O115" i="10"/>
  <c r="P115" i="10"/>
  <c r="B116" i="10"/>
  <c r="D116" i="10"/>
  <c r="E116" i="10"/>
  <c r="F116" i="10"/>
  <c r="G116" i="10"/>
  <c r="H116" i="10" a="1"/>
  <c r="H116" i="10" s="1"/>
  <c r="I116" i="10" a="1"/>
  <c r="I116" i="10" s="1"/>
  <c r="J116" i="10" a="1"/>
  <c r="J116" i="10" s="1"/>
  <c r="K116" i="10" a="1"/>
  <c r="K116" i="10" s="1"/>
  <c r="L116" i="10" a="1"/>
  <c r="L116" i="10" s="1"/>
  <c r="M116" i="10" a="1"/>
  <c r="M116" i="10" s="1"/>
  <c r="N116" i="10"/>
  <c r="O116" i="10"/>
  <c r="P116" i="10"/>
  <c r="B117" i="10"/>
  <c r="D117" i="10"/>
  <c r="E117" i="10"/>
  <c r="F117" i="10"/>
  <c r="G117" i="10"/>
  <c r="H117" i="10" a="1"/>
  <c r="H117" i="10" s="1"/>
  <c r="I117" i="10" a="1"/>
  <c r="I117" i="10" s="1"/>
  <c r="J117" i="10" a="1"/>
  <c r="J117" i="10" s="1"/>
  <c r="K117" i="10" a="1"/>
  <c r="K117" i="10" s="1"/>
  <c r="L117" i="10" a="1"/>
  <c r="L117" i="10" s="1"/>
  <c r="M117" i="10" a="1"/>
  <c r="M117" i="10" s="1"/>
  <c r="N117" i="10"/>
  <c r="O117" i="10"/>
  <c r="P117" i="10"/>
  <c r="B118" i="10"/>
  <c r="D118" i="10"/>
  <c r="E118" i="10"/>
  <c r="F118" i="10"/>
  <c r="G118" i="10"/>
  <c r="H118" i="10" a="1"/>
  <c r="H118" i="10" s="1"/>
  <c r="I118" i="10" a="1"/>
  <c r="I118" i="10" s="1"/>
  <c r="J118" i="10" a="1"/>
  <c r="J118" i="10" s="1"/>
  <c r="K118" i="10" a="1"/>
  <c r="K118" i="10" s="1"/>
  <c r="L118" i="10" a="1"/>
  <c r="L118" i="10" s="1"/>
  <c r="M118" i="10" a="1"/>
  <c r="M118" i="10" s="1"/>
  <c r="N118" i="10"/>
  <c r="O118" i="10"/>
  <c r="P118" i="10"/>
  <c r="B119" i="10"/>
  <c r="D119" i="10"/>
  <c r="E119" i="10"/>
  <c r="F119" i="10"/>
  <c r="G119" i="10"/>
  <c r="H119" i="10" a="1"/>
  <c r="H119" i="10" s="1"/>
  <c r="I119" i="10" a="1"/>
  <c r="I119" i="10" s="1"/>
  <c r="J119" i="10" a="1"/>
  <c r="J119" i="10" s="1"/>
  <c r="K119" i="10" a="1"/>
  <c r="K119" i="10" s="1"/>
  <c r="L119" i="10" a="1"/>
  <c r="L119" i="10" s="1"/>
  <c r="M119" i="10" a="1"/>
  <c r="M119" i="10" s="1"/>
  <c r="N119" i="10"/>
  <c r="O119" i="10"/>
  <c r="P119" i="10"/>
  <c r="B120" i="10"/>
  <c r="D120" i="10"/>
  <c r="E120" i="10"/>
  <c r="F120" i="10"/>
  <c r="G120" i="10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/>
  <c r="O120" i="10"/>
  <c r="P120" i="10"/>
  <c r="B121" i="10"/>
  <c r="D121" i="10"/>
  <c r="E121" i="10"/>
  <c r="F121" i="10"/>
  <c r="G121" i="10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/>
  <c r="O121" i="10"/>
  <c r="P121" i="10"/>
  <c r="B122" i="10"/>
  <c r="D122" i="10"/>
  <c r="E122" i="10"/>
  <c r="F122" i="10"/>
  <c r="G122" i="10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/>
  <c r="O122" i="10"/>
  <c r="P122" i="10"/>
  <c r="B123" i="10"/>
  <c r="D123" i="10"/>
  <c r="E123" i="10"/>
  <c r="F123" i="10"/>
  <c r="G123" i="10"/>
  <c r="H123" i="10" a="1"/>
  <c r="H123" i="10" s="1"/>
  <c r="I123" i="10" a="1"/>
  <c r="I123" i="10" s="1"/>
  <c r="J123" i="10" a="1"/>
  <c r="J123" i="10" s="1"/>
  <c r="K123" i="10" a="1"/>
  <c r="K123" i="10" s="1"/>
  <c r="L123" i="10" a="1"/>
  <c r="L123" i="10" s="1"/>
  <c r="M123" i="10" a="1"/>
  <c r="M123" i="10" s="1"/>
  <c r="N123" i="10"/>
  <c r="O123" i="10"/>
  <c r="P123" i="10"/>
  <c r="B124" i="10"/>
  <c r="D124" i="10"/>
  <c r="E124" i="10"/>
  <c r="F124" i="10"/>
  <c r="G124" i="10"/>
  <c r="H124" i="10" a="1"/>
  <c r="H124" i="10" s="1"/>
  <c r="I124" i="10" a="1"/>
  <c r="I124" i="10" s="1"/>
  <c r="J124" i="10" a="1"/>
  <c r="J124" i="10" s="1"/>
  <c r="K124" i="10" a="1"/>
  <c r="K124" i="10" s="1"/>
  <c r="L124" i="10" a="1"/>
  <c r="L124" i="10" s="1"/>
  <c r="M124" i="10" a="1"/>
  <c r="M124" i="10" s="1"/>
  <c r="N124" i="10"/>
  <c r="O124" i="10"/>
  <c r="P124" i="10"/>
  <c r="B125" i="10"/>
  <c r="D125" i="10"/>
  <c r="E125" i="10"/>
  <c r="F125" i="10"/>
  <c r="G125" i="10"/>
  <c r="H125" i="10" a="1"/>
  <c r="H125" i="10" s="1"/>
  <c r="I125" i="10" a="1"/>
  <c r="I125" i="10" s="1"/>
  <c r="J125" i="10" a="1"/>
  <c r="J125" i="10" s="1"/>
  <c r="K125" i="10" a="1"/>
  <c r="K125" i="10" s="1"/>
  <c r="L125" i="10" a="1"/>
  <c r="L125" i="10" s="1"/>
  <c r="M125" i="10" a="1"/>
  <c r="M125" i="10" s="1"/>
  <c r="N125" i="10"/>
  <c r="O125" i="10"/>
  <c r="P125" i="10"/>
  <c r="B126" i="10"/>
  <c r="D126" i="10"/>
  <c r="E126" i="10"/>
  <c r="F126" i="10"/>
  <c r="G126" i="10"/>
  <c r="H126" i="10" a="1"/>
  <c r="H126" i="10" s="1"/>
  <c r="I126" i="10" a="1"/>
  <c r="I126" i="10" s="1"/>
  <c r="J126" i="10" a="1"/>
  <c r="J126" i="10" s="1"/>
  <c r="K126" i="10" a="1"/>
  <c r="K126" i="10" s="1"/>
  <c r="L126" i="10" a="1"/>
  <c r="L126" i="10" s="1"/>
  <c r="M126" i="10" a="1"/>
  <c r="M126" i="10" s="1"/>
  <c r="N126" i="10"/>
  <c r="O126" i="10"/>
  <c r="P126" i="10"/>
  <c r="B127" i="10"/>
  <c r="D127" i="10"/>
  <c r="E127" i="10"/>
  <c r="F127" i="10"/>
  <c r="G127" i="10"/>
  <c r="H127" i="10" a="1"/>
  <c r="H127" i="10" s="1"/>
  <c r="I127" i="10" a="1"/>
  <c r="I127" i="10" s="1"/>
  <c r="J127" i="10" a="1"/>
  <c r="J127" i="10" s="1"/>
  <c r="K127" i="10" a="1"/>
  <c r="K127" i="10" s="1"/>
  <c r="L127" i="10" a="1"/>
  <c r="L127" i="10" s="1"/>
  <c r="M127" i="10" a="1"/>
  <c r="M127" i="10" s="1"/>
  <c r="N127" i="10"/>
  <c r="O127" i="10"/>
  <c r="P127" i="10"/>
  <c r="B128" i="10"/>
  <c r="D128" i="10"/>
  <c r="E128" i="10"/>
  <c r="F128" i="10"/>
  <c r="G128" i="10"/>
  <c r="H128" i="10" a="1"/>
  <c r="H128" i="10" s="1"/>
  <c r="I128" i="10" a="1"/>
  <c r="I128" i="10" s="1"/>
  <c r="J128" i="10" a="1"/>
  <c r="J128" i="10" s="1"/>
  <c r="K128" i="10" a="1"/>
  <c r="K128" i="10" s="1"/>
  <c r="L128" i="10" a="1"/>
  <c r="L128" i="10" s="1"/>
  <c r="M128" i="10" a="1"/>
  <c r="M128" i="10" s="1"/>
  <c r="N128" i="10"/>
  <c r="O128" i="10"/>
  <c r="P128" i="10"/>
  <c r="B129" i="10"/>
  <c r="D129" i="10"/>
  <c r="E129" i="10"/>
  <c r="F129" i="10"/>
  <c r="G129" i="10"/>
  <c r="H129" i="10" a="1"/>
  <c r="H129" i="10" s="1"/>
  <c r="I129" i="10" a="1"/>
  <c r="I129" i="10" s="1"/>
  <c r="J129" i="10" a="1"/>
  <c r="J129" i="10" s="1"/>
  <c r="K129" i="10" a="1"/>
  <c r="K129" i="10" s="1"/>
  <c r="L129" i="10" a="1"/>
  <c r="L129" i="10" s="1"/>
  <c r="M129" i="10" a="1"/>
  <c r="M129" i="10" s="1"/>
  <c r="N129" i="10"/>
  <c r="O129" i="10"/>
  <c r="P129" i="10"/>
  <c r="B130" i="10"/>
  <c r="D130" i="10"/>
  <c r="E130" i="10"/>
  <c r="F130" i="10"/>
  <c r="G130" i="10"/>
  <c r="H130" i="10" a="1"/>
  <c r="H130" i="10" s="1"/>
  <c r="I130" i="10" a="1"/>
  <c r="I130" i="10" s="1"/>
  <c r="J130" i="10" a="1"/>
  <c r="J130" i="10" s="1"/>
  <c r="K130" i="10" a="1"/>
  <c r="K130" i="10" s="1"/>
  <c r="L130" i="10" a="1"/>
  <c r="L130" i="10" s="1"/>
  <c r="M130" i="10" a="1"/>
  <c r="M130" i="10" s="1"/>
  <c r="N130" i="10"/>
  <c r="O130" i="10"/>
  <c r="P130" i="10"/>
  <c r="B131" i="10"/>
  <c r="D131" i="10"/>
  <c r="E131" i="10"/>
  <c r="F131" i="10"/>
  <c r="G131" i="10"/>
  <c r="H131" i="10" a="1"/>
  <c r="H131" i="10" s="1"/>
  <c r="I131" i="10" a="1"/>
  <c r="I131" i="10" s="1"/>
  <c r="J131" i="10" a="1"/>
  <c r="J131" i="10" s="1"/>
  <c r="K131" i="10" a="1"/>
  <c r="K131" i="10" s="1"/>
  <c r="L131" i="10" a="1"/>
  <c r="L131" i="10" s="1"/>
  <c r="M131" i="10" a="1"/>
  <c r="M131" i="10" s="1"/>
  <c r="N131" i="10"/>
  <c r="O131" i="10"/>
  <c r="P131" i="10"/>
  <c r="B132" i="10"/>
  <c r="D132" i="10"/>
  <c r="E132" i="10"/>
  <c r="F132" i="10"/>
  <c r="G132" i="10"/>
  <c r="H132" i="10" a="1"/>
  <c r="H132" i="10" s="1"/>
  <c r="I132" i="10" a="1"/>
  <c r="I132" i="10" s="1"/>
  <c r="J132" i="10" a="1"/>
  <c r="J132" i="10" s="1"/>
  <c r="K132" i="10" a="1"/>
  <c r="K132" i="10" s="1"/>
  <c r="L132" i="10" a="1"/>
  <c r="L132" i="10" s="1"/>
  <c r="M132" i="10" a="1"/>
  <c r="M132" i="10" s="1"/>
  <c r="N132" i="10"/>
  <c r="O132" i="10"/>
  <c r="P132" i="10"/>
  <c r="B133" i="10"/>
  <c r="D133" i="10"/>
  <c r="E133" i="10"/>
  <c r="F133" i="10"/>
  <c r="G133" i="10"/>
  <c r="H133" i="10" a="1"/>
  <c r="H133" i="10" s="1"/>
  <c r="I133" i="10" a="1"/>
  <c r="I133" i="10" s="1"/>
  <c r="J133" i="10" a="1"/>
  <c r="J133" i="10" s="1"/>
  <c r="K133" i="10" a="1"/>
  <c r="K133" i="10" s="1"/>
  <c r="L133" i="10" a="1"/>
  <c r="L133" i="10" s="1"/>
  <c r="M133" i="10" a="1"/>
  <c r="M133" i="10" s="1"/>
  <c r="N133" i="10"/>
  <c r="O133" i="10"/>
  <c r="P133" i="10"/>
  <c r="B134" i="10"/>
  <c r="D134" i="10"/>
  <c r="E134" i="10"/>
  <c r="F134" i="10"/>
  <c r="G134" i="10"/>
  <c r="H134" i="10" a="1"/>
  <c r="H134" i="10" s="1"/>
  <c r="I134" i="10" a="1"/>
  <c r="I134" i="10" s="1"/>
  <c r="J134" i="10" a="1"/>
  <c r="J134" i="10" s="1"/>
  <c r="K134" i="10" a="1"/>
  <c r="K134" i="10" s="1"/>
  <c r="L134" i="10" a="1"/>
  <c r="L134" i="10" s="1"/>
  <c r="M134" i="10" a="1"/>
  <c r="M134" i="10" s="1"/>
  <c r="N134" i="10"/>
  <c r="O134" i="10"/>
  <c r="P134" i="10"/>
  <c r="B135" i="10"/>
  <c r="D135" i="10"/>
  <c r="E135" i="10"/>
  <c r="F135" i="10"/>
  <c r="G135" i="10"/>
  <c r="H135" i="10" a="1"/>
  <c r="H135" i="10" s="1"/>
  <c r="I135" i="10" a="1"/>
  <c r="I135" i="10" s="1"/>
  <c r="J135" i="10" a="1"/>
  <c r="J135" i="10" s="1"/>
  <c r="K135" i="10" a="1"/>
  <c r="K135" i="10" s="1"/>
  <c r="L135" i="10" a="1"/>
  <c r="L135" i="10" s="1"/>
  <c r="M135" i="10" a="1"/>
  <c r="M135" i="10" s="1"/>
  <c r="N135" i="10"/>
  <c r="O135" i="10"/>
  <c r="P135" i="10"/>
  <c r="B136" i="10"/>
  <c r="D136" i="10"/>
  <c r="E136" i="10"/>
  <c r="F136" i="10"/>
  <c r="G136" i="10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/>
  <c r="O136" i="10"/>
  <c r="P136" i="10"/>
  <c r="B137" i="10"/>
  <c r="D137" i="10"/>
  <c r="E137" i="10"/>
  <c r="F137" i="10"/>
  <c r="G137" i="10"/>
  <c r="H137" i="10" a="1"/>
  <c r="H137" i="10" s="1"/>
  <c r="I137" i="10" a="1"/>
  <c r="I137" i="10" s="1"/>
  <c r="J137" i="10" a="1"/>
  <c r="J137" i="10" s="1"/>
  <c r="K137" i="10" a="1"/>
  <c r="K137" i="10" s="1"/>
  <c r="L137" i="10" a="1"/>
  <c r="L137" i="10" s="1"/>
  <c r="M137" i="10" a="1"/>
  <c r="M137" i="10" s="1"/>
  <c r="N137" i="10"/>
  <c r="O137" i="10"/>
  <c r="P137" i="10"/>
  <c r="B138" i="10"/>
  <c r="D138" i="10"/>
  <c r="E138" i="10"/>
  <c r="F138" i="10"/>
  <c r="G138" i="10"/>
  <c r="H138" i="10" a="1"/>
  <c r="H138" i="10" s="1"/>
  <c r="I138" i="10" a="1"/>
  <c r="I138" i="10" s="1"/>
  <c r="J138" i="10" a="1"/>
  <c r="J138" i="10" s="1"/>
  <c r="K138" i="10" a="1"/>
  <c r="K138" i="10" s="1"/>
  <c r="L138" i="10" a="1"/>
  <c r="L138" i="10" s="1"/>
  <c r="M138" i="10" a="1"/>
  <c r="M138" i="10" s="1"/>
  <c r="N138" i="10"/>
  <c r="O138" i="10"/>
  <c r="P138" i="10"/>
  <c r="B139" i="10"/>
  <c r="D139" i="10"/>
  <c r="E139" i="10"/>
  <c r="F139" i="10"/>
  <c r="G139" i="10"/>
  <c r="H139" i="10" a="1"/>
  <c r="H139" i="10" s="1"/>
  <c r="I139" i="10" a="1"/>
  <c r="I139" i="10" s="1"/>
  <c r="J139" i="10" a="1"/>
  <c r="J139" i="10" s="1"/>
  <c r="K139" i="10" a="1"/>
  <c r="K139" i="10" s="1"/>
  <c r="L139" i="10" a="1"/>
  <c r="L139" i="10" s="1"/>
  <c r="M139" i="10" a="1"/>
  <c r="M139" i="10" s="1"/>
  <c r="N139" i="10"/>
  <c r="O139" i="10"/>
  <c r="P139" i="10"/>
  <c r="B140" i="10"/>
  <c r="D140" i="10"/>
  <c r="E140" i="10"/>
  <c r="F140" i="10"/>
  <c r="G140" i="10"/>
  <c r="H140" i="10" a="1"/>
  <c r="H140" i="10" s="1"/>
  <c r="I140" i="10" a="1"/>
  <c r="I140" i="10" s="1"/>
  <c r="J140" i="10" a="1"/>
  <c r="J140" i="10" s="1"/>
  <c r="K140" i="10" a="1"/>
  <c r="K140" i="10" s="1"/>
  <c r="L140" i="10" a="1"/>
  <c r="L140" i="10" s="1"/>
  <c r="M140" i="10" a="1"/>
  <c r="M140" i="10" s="1"/>
  <c r="N140" i="10"/>
  <c r="O140" i="10"/>
  <c r="P140" i="10"/>
  <c r="B141" i="10"/>
  <c r="D141" i="10"/>
  <c r="E141" i="10"/>
  <c r="F141" i="10"/>
  <c r="G141" i="10"/>
  <c r="H141" i="10" a="1"/>
  <c r="H141" i="10" s="1"/>
  <c r="I141" i="10" a="1"/>
  <c r="I141" i="10" s="1"/>
  <c r="J141" i="10" a="1"/>
  <c r="J141" i="10" s="1"/>
  <c r="K141" i="10" a="1"/>
  <c r="K141" i="10" s="1"/>
  <c r="L141" i="10" a="1"/>
  <c r="L141" i="10" s="1"/>
  <c r="M141" i="10" a="1"/>
  <c r="M141" i="10" s="1"/>
  <c r="N141" i="10"/>
  <c r="O141" i="10"/>
  <c r="P141" i="10"/>
  <c r="B142" i="10"/>
  <c r="D142" i="10"/>
  <c r="E142" i="10"/>
  <c r="F142" i="10"/>
  <c r="G142" i="10"/>
  <c r="H142" i="10" a="1"/>
  <c r="H142" i="10" s="1"/>
  <c r="I142" i="10" a="1"/>
  <c r="I142" i="10" s="1"/>
  <c r="J142" i="10" a="1"/>
  <c r="J142" i="10" s="1"/>
  <c r="K142" i="10" a="1"/>
  <c r="K142" i="10" s="1"/>
  <c r="L142" i="10" a="1"/>
  <c r="L142" i="10" s="1"/>
  <c r="M142" i="10" a="1"/>
  <c r="M142" i="10" s="1"/>
  <c r="N142" i="10"/>
  <c r="O142" i="10"/>
  <c r="P142" i="10"/>
  <c r="B143" i="10"/>
  <c r="D143" i="10"/>
  <c r="E143" i="10"/>
  <c r="F143" i="10"/>
  <c r="G143" i="10"/>
  <c r="H143" i="10" a="1"/>
  <c r="H143" i="10" s="1"/>
  <c r="I143" i="10" a="1"/>
  <c r="I143" i="10" s="1"/>
  <c r="J143" i="10" a="1"/>
  <c r="J143" i="10" s="1"/>
  <c r="K143" i="10" a="1"/>
  <c r="K143" i="10" s="1"/>
  <c r="L143" i="10" a="1"/>
  <c r="L143" i="10" s="1"/>
  <c r="M143" i="10" a="1"/>
  <c r="M143" i="10" s="1"/>
  <c r="N143" i="10"/>
  <c r="O143" i="10"/>
  <c r="P143" i="10"/>
  <c r="B144" i="10"/>
  <c r="D144" i="10"/>
  <c r="E144" i="10"/>
  <c r="F144" i="10"/>
  <c r="G144" i="10"/>
  <c r="H144" i="10" a="1"/>
  <c r="H144" i="10" s="1"/>
  <c r="I144" i="10" a="1"/>
  <c r="I144" i="10" s="1"/>
  <c r="J144" i="10" a="1"/>
  <c r="J144" i="10" s="1"/>
  <c r="K144" i="10" a="1"/>
  <c r="K144" i="10" s="1"/>
  <c r="L144" i="10" a="1"/>
  <c r="L144" i="10" s="1"/>
  <c r="M144" i="10" a="1"/>
  <c r="M144" i="10" s="1"/>
  <c r="N144" i="10"/>
  <c r="O144" i="10"/>
  <c r="P144" i="10"/>
  <c r="B145" i="10"/>
  <c r="D145" i="10"/>
  <c r="E145" i="10"/>
  <c r="F145" i="10"/>
  <c r="G145" i="10"/>
  <c r="H145" i="10" a="1"/>
  <c r="H145" i="10" s="1"/>
  <c r="I145" i="10" a="1"/>
  <c r="I145" i="10" s="1"/>
  <c r="J145" i="10" a="1"/>
  <c r="J145" i="10" s="1"/>
  <c r="K145" i="10" a="1"/>
  <c r="K145" i="10" s="1"/>
  <c r="L145" i="10" a="1"/>
  <c r="L145" i="10" s="1"/>
  <c r="M145" i="10" a="1"/>
  <c r="M145" i="10" s="1"/>
  <c r="N145" i="10"/>
  <c r="O145" i="10"/>
  <c r="P145" i="10"/>
  <c r="B146" i="10"/>
  <c r="D146" i="10"/>
  <c r="E146" i="10"/>
  <c r="F146" i="10"/>
  <c r="G146" i="10"/>
  <c r="H146" i="10" a="1"/>
  <c r="H146" i="10" s="1"/>
  <c r="I146" i="10" a="1"/>
  <c r="I146" i="10" s="1"/>
  <c r="J146" i="10" a="1"/>
  <c r="J146" i="10" s="1"/>
  <c r="K146" i="10" a="1"/>
  <c r="K146" i="10" s="1"/>
  <c r="L146" i="10" a="1"/>
  <c r="L146" i="10" s="1"/>
  <c r="M146" i="10" a="1"/>
  <c r="M146" i="10" s="1"/>
  <c r="N146" i="10"/>
  <c r="O146" i="10"/>
  <c r="P146" i="10"/>
  <c r="B147" i="10"/>
  <c r="D147" i="10"/>
  <c r="E147" i="10"/>
  <c r="F147" i="10"/>
  <c r="G147" i="10"/>
  <c r="H147" i="10" a="1"/>
  <c r="H147" i="10" s="1"/>
  <c r="I147" i="10" a="1"/>
  <c r="I147" i="10" s="1"/>
  <c r="J147" i="10" a="1"/>
  <c r="J147" i="10" s="1"/>
  <c r="K147" i="10" a="1"/>
  <c r="K147" i="10" s="1"/>
  <c r="L147" i="10" a="1"/>
  <c r="L147" i="10" s="1"/>
  <c r="M147" i="10" a="1"/>
  <c r="M147" i="10" s="1"/>
  <c r="N147" i="10"/>
  <c r="O147" i="10"/>
  <c r="P147" i="10"/>
  <c r="B148" i="10"/>
  <c r="D148" i="10"/>
  <c r="E148" i="10"/>
  <c r="F148" i="10"/>
  <c r="G148" i="10"/>
  <c r="H148" i="10" a="1"/>
  <c r="H148" i="10" s="1"/>
  <c r="I148" i="10" a="1"/>
  <c r="I148" i="10" s="1"/>
  <c r="J148" i="10" a="1"/>
  <c r="J148" i="10" s="1"/>
  <c r="K148" i="10" a="1"/>
  <c r="K148" i="10" s="1"/>
  <c r="L148" i="10" a="1"/>
  <c r="L148" i="10" s="1"/>
  <c r="M148" i="10" a="1"/>
  <c r="M148" i="10" s="1"/>
  <c r="N148" i="10"/>
  <c r="O148" i="10"/>
  <c r="P148" i="10"/>
  <c r="B149" i="10"/>
  <c r="D149" i="10"/>
  <c r="E149" i="10"/>
  <c r="F149" i="10"/>
  <c r="G149" i="10"/>
  <c r="H149" i="10" a="1"/>
  <c r="H149" i="10" s="1"/>
  <c r="I149" i="10" a="1"/>
  <c r="I149" i="10" s="1"/>
  <c r="J149" i="10" a="1"/>
  <c r="J149" i="10" s="1"/>
  <c r="K149" i="10" a="1"/>
  <c r="K149" i="10" s="1"/>
  <c r="L149" i="10" a="1"/>
  <c r="L149" i="10" s="1"/>
  <c r="M149" i="10" a="1"/>
  <c r="M149" i="10" s="1"/>
  <c r="N149" i="10"/>
  <c r="O149" i="10"/>
  <c r="P149" i="10"/>
  <c r="B150" i="10"/>
  <c r="D150" i="10"/>
  <c r="E150" i="10"/>
  <c r="F150" i="10"/>
  <c r="G150" i="10"/>
  <c r="H150" i="10" a="1"/>
  <c r="H150" i="10" s="1"/>
  <c r="I150" i="10" a="1"/>
  <c r="I150" i="10" s="1"/>
  <c r="J150" i="10" a="1"/>
  <c r="J150" i="10" s="1"/>
  <c r="K150" i="10" a="1"/>
  <c r="K150" i="10" s="1"/>
  <c r="L150" i="10" a="1"/>
  <c r="L150" i="10" s="1"/>
  <c r="M150" i="10" a="1"/>
  <c r="M150" i="10" s="1"/>
  <c r="N150" i="10"/>
  <c r="O150" i="10"/>
  <c r="P150" i="10"/>
  <c r="B151" i="10"/>
  <c r="D151" i="10"/>
  <c r="E151" i="10"/>
  <c r="F151" i="10"/>
  <c r="G151" i="10"/>
  <c r="H151" i="10" a="1"/>
  <c r="H151" i="10" s="1"/>
  <c r="I151" i="10" a="1"/>
  <c r="I151" i="10" s="1"/>
  <c r="J151" i="10" a="1"/>
  <c r="J151" i="10" s="1"/>
  <c r="K151" i="10" a="1"/>
  <c r="K151" i="10" s="1"/>
  <c r="L151" i="10" a="1"/>
  <c r="L151" i="10" s="1"/>
  <c r="M151" i="10" a="1"/>
  <c r="M151" i="10" s="1"/>
  <c r="N151" i="10"/>
  <c r="O151" i="10"/>
  <c r="P151" i="10"/>
  <c r="B152" i="10"/>
  <c r="D152" i="10"/>
  <c r="E152" i="10"/>
  <c r="F152" i="10"/>
  <c r="G152" i="10"/>
  <c r="H152" i="10" a="1"/>
  <c r="H152" i="10" s="1"/>
  <c r="I152" i="10" a="1"/>
  <c r="I152" i="10" s="1"/>
  <c r="J152" i="10" a="1"/>
  <c r="J152" i="10" s="1"/>
  <c r="K152" i="10" a="1"/>
  <c r="K152" i="10" s="1"/>
  <c r="L152" i="10" a="1"/>
  <c r="L152" i="10" s="1"/>
  <c r="M152" i="10" a="1"/>
  <c r="M152" i="10" s="1"/>
  <c r="N152" i="10"/>
  <c r="O152" i="10"/>
  <c r="P152" i="10"/>
  <c r="B153" i="10"/>
  <c r="D153" i="10"/>
  <c r="E153" i="10"/>
  <c r="F153" i="10"/>
  <c r="G153" i="10"/>
  <c r="H153" i="10" a="1"/>
  <c r="H153" i="10" s="1"/>
  <c r="I153" i="10" a="1"/>
  <c r="I153" i="10" s="1"/>
  <c r="J153" i="10" a="1"/>
  <c r="J153" i="10" s="1"/>
  <c r="K153" i="10" a="1"/>
  <c r="K153" i="10" s="1"/>
  <c r="L153" i="10" a="1"/>
  <c r="L153" i="10" s="1"/>
  <c r="M153" i="10" a="1"/>
  <c r="M153" i="10" s="1"/>
  <c r="N153" i="10"/>
  <c r="O153" i="10"/>
  <c r="P153" i="10"/>
  <c r="B154" i="10"/>
  <c r="D154" i="10"/>
  <c r="E154" i="10"/>
  <c r="F154" i="10"/>
  <c r="G154" i="10"/>
  <c r="H154" i="10" a="1"/>
  <c r="H154" i="10" s="1"/>
  <c r="I154" i="10" a="1"/>
  <c r="I154" i="10" s="1"/>
  <c r="J154" i="10" a="1"/>
  <c r="J154" i="10" s="1"/>
  <c r="K154" i="10" a="1"/>
  <c r="K154" i="10" s="1"/>
  <c r="L154" i="10" a="1"/>
  <c r="L154" i="10" s="1"/>
  <c r="M154" i="10" a="1"/>
  <c r="M154" i="10" s="1"/>
  <c r="N154" i="10"/>
  <c r="O154" i="10"/>
  <c r="P154" i="10"/>
  <c r="B155" i="10"/>
  <c r="D155" i="10"/>
  <c r="E155" i="10"/>
  <c r="F155" i="10"/>
  <c r="G155" i="10"/>
  <c r="H155" i="10" a="1"/>
  <c r="H155" i="10" s="1"/>
  <c r="I155" i="10" a="1"/>
  <c r="I155" i="10" s="1"/>
  <c r="J155" i="10" a="1"/>
  <c r="J155" i="10" s="1"/>
  <c r="K155" i="10" a="1"/>
  <c r="K155" i="10" s="1"/>
  <c r="L155" i="10" a="1"/>
  <c r="L155" i="10" s="1"/>
  <c r="M155" i="10" a="1"/>
  <c r="M155" i="10" s="1"/>
  <c r="N155" i="10"/>
  <c r="O155" i="10"/>
  <c r="P155" i="10"/>
  <c r="B156" i="10"/>
  <c r="D156" i="10"/>
  <c r="E156" i="10"/>
  <c r="F156" i="10"/>
  <c r="G156" i="10"/>
  <c r="H156" i="10" a="1"/>
  <c r="H156" i="10" s="1"/>
  <c r="I156" i="10" a="1"/>
  <c r="I156" i="10" s="1"/>
  <c r="J156" i="10" a="1"/>
  <c r="J156" i="10" s="1"/>
  <c r="K156" i="10" a="1"/>
  <c r="K156" i="10" s="1"/>
  <c r="L156" i="10" a="1"/>
  <c r="L156" i="10" s="1"/>
  <c r="M156" i="10" a="1"/>
  <c r="M156" i="10" s="1"/>
  <c r="N156" i="10"/>
  <c r="O156" i="10"/>
  <c r="P156" i="10"/>
  <c r="B157" i="10"/>
  <c r="D157" i="10"/>
  <c r="E157" i="10"/>
  <c r="F157" i="10"/>
  <c r="G157" i="10"/>
  <c r="H157" i="10" a="1"/>
  <c r="H157" i="10" s="1"/>
  <c r="I157" i="10" a="1"/>
  <c r="I157" i="10" s="1"/>
  <c r="J157" i="10" a="1"/>
  <c r="J157" i="10" s="1"/>
  <c r="K157" i="10" a="1"/>
  <c r="K157" i="10" s="1"/>
  <c r="L157" i="10" a="1"/>
  <c r="L157" i="10" s="1"/>
  <c r="M157" i="10" a="1"/>
  <c r="M157" i="10" s="1"/>
  <c r="N157" i="10"/>
  <c r="O157" i="10"/>
  <c r="P157" i="10"/>
  <c r="B158" i="10"/>
  <c r="D158" i="10"/>
  <c r="E158" i="10"/>
  <c r="F158" i="10"/>
  <c r="G158" i="10"/>
  <c r="H158" i="10" a="1"/>
  <c r="H158" i="10" s="1"/>
  <c r="I158" i="10" a="1"/>
  <c r="I158" i="10" s="1"/>
  <c r="J158" i="10" a="1"/>
  <c r="J158" i="10" s="1"/>
  <c r="K158" i="10" a="1"/>
  <c r="K158" i="10" s="1"/>
  <c r="L158" i="10" a="1"/>
  <c r="L158" i="10" s="1"/>
  <c r="M158" i="10" a="1"/>
  <c r="M158" i="10" s="1"/>
  <c r="N158" i="10"/>
  <c r="O158" i="10"/>
  <c r="P158" i="10"/>
  <c r="B159" i="10"/>
  <c r="D159" i="10"/>
  <c r="E159" i="10"/>
  <c r="F159" i="10"/>
  <c r="G159" i="10"/>
  <c r="H159" i="10" a="1"/>
  <c r="H159" i="10" s="1"/>
  <c r="I159" i="10" a="1"/>
  <c r="I159" i="10" s="1"/>
  <c r="J159" i="10" a="1"/>
  <c r="J159" i="10" s="1"/>
  <c r="K159" i="10" a="1"/>
  <c r="K159" i="10" s="1"/>
  <c r="L159" i="10" a="1"/>
  <c r="L159" i="10" s="1"/>
  <c r="M159" i="10" a="1"/>
  <c r="M159" i="10" s="1"/>
  <c r="N159" i="10"/>
  <c r="O159" i="10"/>
  <c r="P159" i="10"/>
  <c r="B160" i="10"/>
  <c r="D160" i="10"/>
  <c r="E160" i="10"/>
  <c r="F160" i="10"/>
  <c r="G160" i="10"/>
  <c r="H160" i="10" a="1"/>
  <c r="H160" i="10" s="1"/>
  <c r="I160" i="10" a="1"/>
  <c r="I160" i="10" s="1"/>
  <c r="J160" i="10" a="1"/>
  <c r="J160" i="10" s="1"/>
  <c r="K160" i="10" a="1"/>
  <c r="K160" i="10" s="1"/>
  <c r="L160" i="10" a="1"/>
  <c r="L160" i="10" s="1"/>
  <c r="M160" i="10" a="1"/>
  <c r="M160" i="10" s="1"/>
  <c r="N160" i="10"/>
  <c r="O160" i="10"/>
  <c r="P160" i="10"/>
  <c r="B161" i="10"/>
  <c r="D161" i="10"/>
  <c r="E161" i="10"/>
  <c r="F161" i="10"/>
  <c r="G161" i="10"/>
  <c r="H161" i="10" a="1"/>
  <c r="H161" i="10" s="1"/>
  <c r="I161" i="10" a="1"/>
  <c r="I161" i="10" s="1"/>
  <c r="J161" i="10" a="1"/>
  <c r="J161" i="10" s="1"/>
  <c r="K161" i="10" a="1"/>
  <c r="K161" i="10" s="1"/>
  <c r="L161" i="10" a="1"/>
  <c r="L161" i="10" s="1"/>
  <c r="M161" i="10" a="1"/>
  <c r="M161" i="10" s="1"/>
  <c r="N161" i="10"/>
  <c r="O161" i="10"/>
  <c r="P161" i="10"/>
  <c r="B162" i="10"/>
  <c r="D162" i="10"/>
  <c r="E162" i="10"/>
  <c r="F162" i="10"/>
  <c r="G162" i="10"/>
  <c r="H162" i="10" a="1"/>
  <c r="H162" i="10" s="1"/>
  <c r="I162" i="10" a="1"/>
  <c r="I162" i="10" s="1"/>
  <c r="J162" i="10" a="1"/>
  <c r="J162" i="10" s="1"/>
  <c r="K162" i="10" a="1"/>
  <c r="K162" i="10" s="1"/>
  <c r="L162" i="10" a="1"/>
  <c r="L162" i="10" s="1"/>
  <c r="M162" i="10" a="1"/>
  <c r="M162" i="10" s="1"/>
  <c r="N162" i="10"/>
  <c r="O162" i="10"/>
  <c r="P162" i="10"/>
  <c r="B163" i="10"/>
  <c r="D163" i="10"/>
  <c r="E163" i="10"/>
  <c r="F163" i="10"/>
  <c r="G163" i="10"/>
  <c r="H163" i="10" a="1"/>
  <c r="H163" i="10" s="1"/>
  <c r="I163" i="10" a="1"/>
  <c r="I163" i="10" s="1"/>
  <c r="J163" i="10" a="1"/>
  <c r="J163" i="10" s="1"/>
  <c r="K163" i="10" a="1"/>
  <c r="K163" i="10" s="1"/>
  <c r="L163" i="10" a="1"/>
  <c r="L163" i="10" s="1"/>
  <c r="M163" i="10" a="1"/>
  <c r="M163" i="10" s="1"/>
  <c r="N163" i="10"/>
  <c r="O163" i="10"/>
  <c r="P163" i="10"/>
  <c r="B164" i="10"/>
  <c r="D164" i="10"/>
  <c r="E164" i="10"/>
  <c r="F164" i="10"/>
  <c r="G164" i="10"/>
  <c r="H164" i="10" a="1"/>
  <c r="H164" i="10" s="1"/>
  <c r="I164" i="10" a="1"/>
  <c r="I164" i="10" s="1"/>
  <c r="J164" i="10" a="1"/>
  <c r="J164" i="10" s="1"/>
  <c r="K164" i="10" a="1"/>
  <c r="K164" i="10" s="1"/>
  <c r="L164" i="10" a="1"/>
  <c r="L164" i="10" s="1"/>
  <c r="M164" i="10" a="1"/>
  <c r="M164" i="10" s="1"/>
  <c r="N164" i="10"/>
  <c r="O164" i="10"/>
  <c r="P164" i="10"/>
  <c r="B165" i="10"/>
  <c r="D165" i="10"/>
  <c r="E165" i="10"/>
  <c r="F165" i="10"/>
  <c r="G165" i="10"/>
  <c r="H165" i="10" a="1"/>
  <c r="H165" i="10" s="1"/>
  <c r="I165" i="10" a="1"/>
  <c r="I165" i="10" s="1"/>
  <c r="J165" i="10" a="1"/>
  <c r="J165" i="10" s="1"/>
  <c r="K165" i="10" a="1"/>
  <c r="K165" i="10" s="1"/>
  <c r="L165" i="10" a="1"/>
  <c r="L165" i="10" s="1"/>
  <c r="M165" i="10" a="1"/>
  <c r="M165" i="10" s="1"/>
  <c r="N165" i="10"/>
  <c r="O165" i="10"/>
  <c r="P165" i="10"/>
  <c r="B166" i="10"/>
  <c r="G166" i="10"/>
  <c r="B167" i="10"/>
  <c r="G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D166" i="10"/>
  <c r="E166" i="10"/>
  <c r="F166" i="10"/>
  <c r="H166" i="10" a="1"/>
  <c r="H166" i="10" s="1"/>
  <c r="I166" i="10" a="1"/>
  <c r="I166" i="10" s="1"/>
  <c r="J166" i="10" a="1"/>
  <c r="J166" i="10" s="1"/>
  <c r="K166" i="10" a="1"/>
  <c r="K166" i="10" s="1"/>
  <c r="L166" i="10" a="1"/>
  <c r="L166" i="10" s="1"/>
  <c r="M166" i="10" a="1"/>
  <c r="M166" i="10" s="1"/>
  <c r="N166" i="10"/>
  <c r="O166" i="10"/>
  <c r="P166" i="10"/>
  <c r="D167" i="10"/>
  <c r="E167" i="10"/>
  <c r="F167" i="10"/>
  <c r="H167" i="10" a="1"/>
  <c r="H167" i="10" s="1"/>
  <c r="I167" i="10" a="1"/>
  <c r="I167" i="10" s="1"/>
  <c r="J167" i="10" a="1"/>
  <c r="J167" i="10" s="1"/>
  <c r="K167" i="10" a="1"/>
  <c r="K167" i="10" s="1"/>
  <c r="L167" i="10" a="1"/>
  <c r="L167" i="10" s="1"/>
  <c r="M167" i="10" a="1"/>
  <c r="M167" i="10" s="1"/>
  <c r="N167" i="10"/>
  <c r="O167" i="10"/>
  <c r="P167" i="10"/>
  <c r="D168" i="10"/>
  <c r="E168" i="10"/>
  <c r="F168" i="10"/>
  <c r="H168" i="10" a="1"/>
  <c r="H168" i="10" s="1"/>
  <c r="I168" i="10" a="1"/>
  <c r="I168" i="10" s="1"/>
  <c r="J168" i="10" a="1"/>
  <c r="J168" i="10" s="1"/>
  <c r="K168" i="10" a="1"/>
  <c r="K168" i="10" s="1"/>
  <c r="L168" i="10" a="1"/>
  <c r="L168" i="10" s="1"/>
  <c r="M168" i="10" a="1"/>
  <c r="M168" i="10" s="1"/>
  <c r="N168" i="10"/>
  <c r="O168" i="10"/>
  <c r="P168" i="10"/>
  <c r="D169" i="10"/>
  <c r="E169" i="10"/>
  <c r="F169" i="10"/>
  <c r="H169" i="10" a="1"/>
  <c r="H169" i="10" s="1"/>
  <c r="I169" i="10" a="1"/>
  <c r="I169" i="10" s="1"/>
  <c r="J169" i="10" a="1"/>
  <c r="J169" i="10" s="1"/>
  <c r="K169" i="10" a="1"/>
  <c r="K169" i="10" s="1"/>
  <c r="L169" i="10" a="1"/>
  <c r="L169" i="10" s="1"/>
  <c r="M169" i="10" a="1"/>
  <c r="M169" i="10" s="1"/>
  <c r="N169" i="10"/>
  <c r="O169" i="10"/>
  <c r="P169" i="10"/>
  <c r="D170" i="10"/>
  <c r="E170" i="10"/>
  <c r="F170" i="10"/>
  <c r="H170" i="10" a="1"/>
  <c r="H170" i="10" s="1"/>
  <c r="I170" i="10" a="1"/>
  <c r="I170" i="10" s="1"/>
  <c r="J170" i="10" a="1"/>
  <c r="J170" i="10" s="1"/>
  <c r="K170" i="10" a="1"/>
  <c r="K170" i="10" s="1"/>
  <c r="L170" i="10" a="1"/>
  <c r="L170" i="10" s="1"/>
  <c r="M170" i="10" a="1"/>
  <c r="M170" i="10" s="1"/>
  <c r="N170" i="10"/>
  <c r="O170" i="10"/>
  <c r="P170" i="10"/>
  <c r="D171" i="10"/>
  <c r="E171" i="10"/>
  <c r="F171" i="10"/>
  <c r="H171" i="10" a="1"/>
  <c r="H171" i="10" s="1"/>
  <c r="I171" i="10" a="1"/>
  <c r="I171" i="10" s="1"/>
  <c r="J171" i="10" a="1"/>
  <c r="J171" i="10" s="1"/>
  <c r="K171" i="10" a="1"/>
  <c r="K171" i="10" s="1"/>
  <c r="L171" i="10" a="1"/>
  <c r="L171" i="10" s="1"/>
  <c r="M171" i="10" a="1"/>
  <c r="M171" i="10" s="1"/>
  <c r="N171" i="10"/>
  <c r="O171" i="10"/>
  <c r="P171" i="10"/>
  <c r="D172" i="10"/>
  <c r="E172" i="10"/>
  <c r="F172" i="10"/>
  <c r="H172" i="10" a="1"/>
  <c r="H172" i="10" s="1"/>
  <c r="I172" i="10" a="1"/>
  <c r="I172" i="10" s="1"/>
  <c r="J172" i="10" a="1"/>
  <c r="J172" i="10" s="1"/>
  <c r="K172" i="10" a="1"/>
  <c r="K172" i="10" s="1"/>
  <c r="L172" i="10" a="1"/>
  <c r="L172" i="10" s="1"/>
  <c r="M172" i="10" a="1"/>
  <c r="M172" i="10" s="1"/>
  <c r="N172" i="10"/>
  <c r="O172" i="10"/>
  <c r="P172" i="10"/>
  <c r="D173" i="10"/>
  <c r="E173" i="10"/>
  <c r="F173" i="10"/>
  <c r="H173" i="10" a="1"/>
  <c r="H173" i="10" s="1"/>
  <c r="I173" i="10" a="1"/>
  <c r="I173" i="10" s="1"/>
  <c r="J173" i="10" a="1"/>
  <c r="J173" i="10" s="1"/>
  <c r="K173" i="10" a="1"/>
  <c r="K173" i="10" s="1"/>
  <c r="L173" i="10" a="1"/>
  <c r="L173" i="10" s="1"/>
  <c r="M173" i="10" a="1"/>
  <c r="M173" i="10" s="1"/>
  <c r="N173" i="10"/>
  <c r="O173" i="10"/>
  <c r="P173" i="10"/>
  <c r="D174" i="10"/>
  <c r="E174" i="10"/>
  <c r="F174" i="10"/>
  <c r="H174" i="10" a="1"/>
  <c r="H174" i="10" s="1"/>
  <c r="I174" i="10" a="1"/>
  <c r="I174" i="10" s="1"/>
  <c r="J174" i="10" a="1"/>
  <c r="J174" i="10" s="1"/>
  <c r="K174" i="10" a="1"/>
  <c r="K174" i="10" s="1"/>
  <c r="L174" i="10" a="1"/>
  <c r="L174" i="10" s="1"/>
  <c r="M174" i="10" a="1"/>
  <c r="M174" i="10" s="1"/>
  <c r="N174" i="10"/>
  <c r="O174" i="10"/>
  <c r="P174" i="10"/>
  <c r="D175" i="10"/>
  <c r="E175" i="10"/>
  <c r="F175" i="10"/>
  <c r="H175" i="10" a="1"/>
  <c r="H175" i="10" s="1"/>
  <c r="I175" i="10" a="1"/>
  <c r="I175" i="10" s="1"/>
  <c r="J175" i="10" a="1"/>
  <c r="J175" i="10" s="1"/>
  <c r="K175" i="10" a="1"/>
  <c r="K175" i="10" s="1"/>
  <c r="L175" i="10" a="1"/>
  <c r="L175" i="10" s="1"/>
  <c r="M175" i="10" a="1"/>
  <c r="M175" i="10" s="1"/>
  <c r="N175" i="10"/>
  <c r="O175" i="10"/>
  <c r="P175" i="10"/>
  <c r="D176" i="10"/>
  <c r="E176" i="10"/>
  <c r="F176" i="10"/>
  <c r="H176" i="10" a="1"/>
  <c r="H176" i="10" s="1"/>
  <c r="I176" i="10" a="1"/>
  <c r="I176" i="10" s="1"/>
  <c r="J176" i="10" a="1"/>
  <c r="J176" i="10" s="1"/>
  <c r="K176" i="10" a="1"/>
  <c r="K176" i="10" s="1"/>
  <c r="L176" i="10" a="1"/>
  <c r="L176" i="10" s="1"/>
  <c r="M176" i="10" a="1"/>
  <c r="M176" i="10" s="1"/>
  <c r="N176" i="10"/>
  <c r="O176" i="10"/>
  <c r="P176" i="10"/>
  <c r="D177" i="10"/>
  <c r="E177" i="10"/>
  <c r="F177" i="10"/>
  <c r="H177" i="10" a="1"/>
  <c r="H177" i="10" s="1"/>
  <c r="I177" i="10" a="1"/>
  <c r="I177" i="10" s="1"/>
  <c r="J177" i="10" a="1"/>
  <c r="J177" i="10" s="1"/>
  <c r="K177" i="10" a="1"/>
  <c r="K177" i="10" s="1"/>
  <c r="L177" i="10" a="1"/>
  <c r="L177" i="10" s="1"/>
  <c r="M177" i="10" a="1"/>
  <c r="M177" i="10" s="1"/>
  <c r="N177" i="10"/>
  <c r="O177" i="10"/>
  <c r="P177" i="10"/>
  <c r="D178" i="10"/>
  <c r="E178" i="10"/>
  <c r="F178" i="10"/>
  <c r="H178" i="10" a="1"/>
  <c r="H178" i="10" s="1"/>
  <c r="I178" i="10" a="1"/>
  <c r="I178" i="10" s="1"/>
  <c r="J178" i="10" a="1"/>
  <c r="J178" i="10" s="1"/>
  <c r="K178" i="10" a="1"/>
  <c r="K178" i="10" s="1"/>
  <c r="L178" i="10" a="1"/>
  <c r="L178" i="10" s="1"/>
  <c r="M178" i="10" a="1"/>
  <c r="M178" i="10" s="1"/>
  <c r="N178" i="10"/>
  <c r="O178" i="10"/>
  <c r="P178" i="10"/>
  <c r="D179" i="10"/>
  <c r="E179" i="10"/>
  <c r="F179" i="10"/>
  <c r="H179" i="10" a="1"/>
  <c r="H179" i="10" s="1"/>
  <c r="I179" i="10" a="1"/>
  <c r="I179" i="10" s="1"/>
  <c r="J179" i="10" a="1"/>
  <c r="J179" i="10" s="1"/>
  <c r="K179" i="10" a="1"/>
  <c r="K179" i="10" s="1"/>
  <c r="L179" i="10" a="1"/>
  <c r="L179" i="10" s="1"/>
  <c r="M179" i="10" a="1"/>
  <c r="M179" i="10" s="1"/>
  <c r="N179" i="10"/>
  <c r="O179" i="10"/>
  <c r="P179" i="10"/>
  <c r="D180" i="10"/>
  <c r="E180" i="10"/>
  <c r="F180" i="10"/>
  <c r="H180" i="10" a="1"/>
  <c r="H180" i="10" s="1"/>
  <c r="I180" i="10" a="1"/>
  <c r="I180" i="10" s="1"/>
  <c r="J180" i="10" a="1"/>
  <c r="J180" i="10" s="1"/>
  <c r="K180" i="10" a="1"/>
  <c r="K180" i="10" s="1"/>
  <c r="L180" i="10" a="1"/>
  <c r="L180" i="10" s="1"/>
  <c r="M180" i="10" a="1"/>
  <c r="M180" i="10" s="1"/>
  <c r="N180" i="10"/>
  <c r="O180" i="10"/>
  <c r="P180" i="10"/>
  <c r="D181" i="10"/>
  <c r="E181" i="10"/>
  <c r="F181" i="10"/>
  <c r="H181" i="10" a="1"/>
  <c r="H181" i="10" s="1"/>
  <c r="I181" i="10" a="1"/>
  <c r="I181" i="10" s="1"/>
  <c r="J181" i="10" a="1"/>
  <c r="J181" i="10" s="1"/>
  <c r="K181" i="10" a="1"/>
  <c r="K181" i="10" s="1"/>
  <c r="L181" i="10" a="1"/>
  <c r="L181" i="10" s="1"/>
  <c r="M181" i="10" a="1"/>
  <c r="M181" i="10" s="1"/>
  <c r="N181" i="10"/>
  <c r="O181" i="10"/>
  <c r="P181" i="10"/>
  <c r="D182" i="10"/>
  <c r="E182" i="10"/>
  <c r="F182" i="10"/>
  <c r="H182" i="10" a="1"/>
  <c r="H182" i="10" s="1"/>
  <c r="I182" i="10" a="1"/>
  <c r="I182" i="10" s="1"/>
  <c r="J182" i="10" a="1"/>
  <c r="J182" i="10" s="1"/>
  <c r="K182" i="10" a="1"/>
  <c r="K182" i="10" s="1"/>
  <c r="L182" i="10" a="1"/>
  <c r="L182" i="10" s="1"/>
  <c r="M182" i="10" a="1"/>
  <c r="M182" i="10" s="1"/>
  <c r="N182" i="10"/>
  <c r="O182" i="10"/>
  <c r="P182" i="10"/>
  <c r="D183" i="10"/>
  <c r="E183" i="10"/>
  <c r="F183" i="10"/>
  <c r="H183" i="10" a="1"/>
  <c r="H183" i="10" s="1"/>
  <c r="I183" i="10" a="1"/>
  <c r="I183" i="10" s="1"/>
  <c r="J183" i="10" a="1"/>
  <c r="J183" i="10" s="1"/>
  <c r="K183" i="10" a="1"/>
  <c r="K183" i="10" s="1"/>
  <c r="L183" i="10" a="1"/>
  <c r="L183" i="10" s="1"/>
  <c r="M183" i="10" a="1"/>
  <c r="M183" i="10" s="1"/>
  <c r="N183" i="10"/>
  <c r="O183" i="10"/>
  <c r="P183" i="10"/>
  <c r="D184" i="10"/>
  <c r="E184" i="10"/>
  <c r="F184" i="10"/>
  <c r="H184" i="10" a="1"/>
  <c r="H184" i="10" s="1"/>
  <c r="I184" i="10" a="1"/>
  <c r="I184" i="10" s="1"/>
  <c r="J184" i="10" a="1"/>
  <c r="J184" i="10" s="1"/>
  <c r="K184" i="10" a="1"/>
  <c r="K184" i="10" s="1"/>
  <c r="L184" i="10" a="1"/>
  <c r="L184" i="10" s="1"/>
  <c r="M184" i="10" a="1"/>
  <c r="M184" i="10" s="1"/>
  <c r="N184" i="10"/>
  <c r="O184" i="10"/>
  <c r="P184" i="10"/>
  <c r="D185" i="10"/>
  <c r="E185" i="10"/>
  <c r="F185" i="10"/>
  <c r="H185" i="10" a="1"/>
  <c r="H185" i="10" s="1"/>
  <c r="I185" i="10" a="1"/>
  <c r="I185" i="10" s="1"/>
  <c r="J185" i="10" a="1"/>
  <c r="J185" i="10" s="1"/>
  <c r="K185" i="10" a="1"/>
  <c r="K185" i="10" s="1"/>
  <c r="L185" i="10" a="1"/>
  <c r="L185" i="10" s="1"/>
  <c r="M185" i="10" a="1"/>
  <c r="M185" i="10" s="1"/>
  <c r="N185" i="10"/>
  <c r="O185" i="10"/>
  <c r="P185" i="10"/>
  <c r="D186" i="10"/>
  <c r="E186" i="10"/>
  <c r="F186" i="10"/>
  <c r="H186" i="10" a="1"/>
  <c r="H186" i="10" s="1"/>
  <c r="I186" i="10" a="1"/>
  <c r="I186" i="10" s="1"/>
  <c r="J186" i="10" a="1"/>
  <c r="J186" i="10" s="1"/>
  <c r="K186" i="10" a="1"/>
  <c r="K186" i="10" s="1"/>
  <c r="L186" i="10" a="1"/>
  <c r="L186" i="10" s="1"/>
  <c r="M186" i="10" a="1"/>
  <c r="M186" i="10" s="1"/>
  <c r="N186" i="10"/>
  <c r="O186" i="10"/>
  <c r="P186" i="10"/>
  <c r="D187" i="10"/>
  <c r="E187" i="10"/>
  <c r="F187" i="10"/>
  <c r="H187" i="10" a="1"/>
  <c r="H187" i="10" s="1"/>
  <c r="I187" i="10" a="1"/>
  <c r="I187" i="10" s="1"/>
  <c r="J187" i="10" a="1"/>
  <c r="J187" i="10" s="1"/>
  <c r="K187" i="10" a="1"/>
  <c r="K187" i="10" s="1"/>
  <c r="L187" i="10" a="1"/>
  <c r="L187" i="10" s="1"/>
  <c r="M187" i="10" a="1"/>
  <c r="M187" i="10" s="1"/>
  <c r="N187" i="10"/>
  <c r="O187" i="10"/>
  <c r="P187" i="10"/>
  <c r="D188" i="10"/>
  <c r="E188" i="10"/>
  <c r="F188" i="10"/>
  <c r="H188" i="10" a="1"/>
  <c r="H188" i="10" s="1"/>
  <c r="I188" i="10" a="1"/>
  <c r="I188" i="10" s="1"/>
  <c r="J188" i="10" a="1"/>
  <c r="J188" i="10" s="1"/>
  <c r="K188" i="10" a="1"/>
  <c r="K188" i="10" s="1"/>
  <c r="L188" i="10" a="1"/>
  <c r="L188" i="10" s="1"/>
  <c r="M188" i="10" a="1"/>
  <c r="M188" i="10" s="1"/>
  <c r="N188" i="10"/>
  <c r="O188" i="10"/>
  <c r="P188" i="10"/>
  <c r="D189" i="10"/>
  <c r="E189" i="10"/>
  <c r="F189" i="10"/>
  <c r="H189" i="10" a="1"/>
  <c r="H189" i="10" s="1"/>
  <c r="I189" i="10" a="1"/>
  <c r="I189" i="10" s="1"/>
  <c r="J189" i="10" a="1"/>
  <c r="J189" i="10" s="1"/>
  <c r="K189" i="10" a="1"/>
  <c r="K189" i="10" s="1"/>
  <c r="L189" i="10" a="1"/>
  <c r="L189" i="10" s="1"/>
  <c r="M189" i="10" a="1"/>
  <c r="M189" i="10" s="1"/>
  <c r="N189" i="10"/>
  <c r="O189" i="10"/>
  <c r="P189" i="10"/>
  <c r="D190" i="10"/>
  <c r="E190" i="10"/>
  <c r="F190" i="10"/>
  <c r="H190" i="10" a="1"/>
  <c r="H190" i="10" s="1"/>
  <c r="I190" i="10" a="1"/>
  <c r="I190" i="10" s="1"/>
  <c r="J190" i="10" a="1"/>
  <c r="J190" i="10" s="1"/>
  <c r="K190" i="10" a="1"/>
  <c r="K190" i="10" s="1"/>
  <c r="L190" i="10" a="1"/>
  <c r="L190" i="10" s="1"/>
  <c r="M190" i="10" a="1"/>
  <c r="M190" i="10" s="1"/>
  <c r="N190" i="10"/>
  <c r="O190" i="10"/>
  <c r="P190" i="10"/>
  <c r="D191" i="10"/>
  <c r="E191" i="10"/>
  <c r="F191" i="10"/>
  <c r="H191" i="10" a="1"/>
  <c r="H191" i="10" s="1"/>
  <c r="I191" i="10" a="1"/>
  <c r="I191" i="10" s="1"/>
  <c r="J191" i="10" a="1"/>
  <c r="J191" i="10" s="1"/>
  <c r="K191" i="10" a="1"/>
  <c r="K191" i="10" s="1"/>
  <c r="L191" i="10" a="1"/>
  <c r="L191" i="10" s="1"/>
  <c r="M191" i="10" a="1"/>
  <c r="M191" i="10" s="1"/>
  <c r="N191" i="10"/>
  <c r="O191" i="10"/>
  <c r="P191" i="10"/>
  <c r="D192" i="10"/>
  <c r="E192" i="10"/>
  <c r="F192" i="10"/>
  <c r="H192" i="10" a="1"/>
  <c r="H192" i="10" s="1"/>
  <c r="I192" i="10" a="1"/>
  <c r="I192" i="10" s="1"/>
  <c r="J192" i="10" a="1"/>
  <c r="J192" i="10" s="1"/>
  <c r="K192" i="10" a="1"/>
  <c r="K192" i="10" s="1"/>
  <c r="L192" i="10" a="1"/>
  <c r="L192" i="10" s="1"/>
  <c r="M192" i="10" a="1"/>
  <c r="M192" i="10" s="1"/>
  <c r="N192" i="10"/>
  <c r="O192" i="10"/>
  <c r="P192" i="10"/>
  <c r="D193" i="10"/>
  <c r="E193" i="10"/>
  <c r="F193" i="10"/>
  <c r="H193" i="10" a="1"/>
  <c r="H193" i="10" s="1"/>
  <c r="I193" i="10" a="1"/>
  <c r="I193" i="10" s="1"/>
  <c r="J193" i="10" a="1"/>
  <c r="J193" i="10" s="1"/>
  <c r="K193" i="10" a="1"/>
  <c r="K193" i="10" s="1"/>
  <c r="L193" i="10" a="1"/>
  <c r="L193" i="10" s="1"/>
  <c r="M193" i="10" a="1"/>
  <c r="M193" i="10" s="1"/>
  <c r="N193" i="10"/>
  <c r="O193" i="10"/>
  <c r="P193" i="10"/>
  <c r="D194" i="10"/>
  <c r="E194" i="10"/>
  <c r="F194" i="10"/>
  <c r="H194" i="10" a="1"/>
  <c r="H194" i="10" s="1"/>
  <c r="I194" i="10" a="1"/>
  <c r="I194" i="10" s="1"/>
  <c r="J194" i="10" a="1"/>
  <c r="J194" i="10" s="1"/>
  <c r="K194" i="10" a="1"/>
  <c r="K194" i="10" s="1"/>
  <c r="L194" i="10" a="1"/>
  <c r="L194" i="10" s="1"/>
  <c r="M194" i="10" a="1"/>
  <c r="M194" i="10" s="1"/>
  <c r="N194" i="10"/>
  <c r="O194" i="10"/>
  <c r="P194" i="10"/>
  <c r="D195" i="10"/>
  <c r="E195" i="10"/>
  <c r="F195" i="10"/>
  <c r="H195" i="10" a="1"/>
  <c r="H195" i="10" s="1"/>
  <c r="I195" i="10" a="1"/>
  <c r="I195" i="10" s="1"/>
  <c r="J195" i="10" a="1"/>
  <c r="J195" i="10" s="1"/>
  <c r="K195" i="10" a="1"/>
  <c r="K195" i="10" s="1"/>
  <c r="L195" i="10" a="1"/>
  <c r="L195" i="10" s="1"/>
  <c r="M195" i="10" a="1"/>
  <c r="M195" i="10" s="1"/>
  <c r="N195" i="10"/>
  <c r="O195" i="10"/>
  <c r="P195" i="10"/>
  <c r="D196" i="10"/>
  <c r="E196" i="10"/>
  <c r="F196" i="10"/>
  <c r="H196" i="10" a="1"/>
  <c r="H196" i="10" s="1"/>
  <c r="I196" i="10" a="1"/>
  <c r="I196" i="10" s="1"/>
  <c r="J196" i="10" a="1"/>
  <c r="J196" i="10" s="1"/>
  <c r="K196" i="10" a="1"/>
  <c r="K196" i="10" s="1"/>
  <c r="L196" i="10" a="1"/>
  <c r="L196" i="10" s="1"/>
  <c r="M196" i="10" a="1"/>
  <c r="M196" i="10" s="1"/>
  <c r="N196" i="10"/>
  <c r="O196" i="10"/>
  <c r="P196" i="10"/>
  <c r="D197" i="10"/>
  <c r="E197" i="10"/>
  <c r="F197" i="10"/>
  <c r="H197" i="10" a="1"/>
  <c r="H197" i="10" s="1"/>
  <c r="I197" i="10" a="1"/>
  <c r="I197" i="10" s="1"/>
  <c r="J197" i="10" a="1"/>
  <c r="J197" i="10" s="1"/>
  <c r="K197" i="10" a="1"/>
  <c r="K197" i="10" s="1"/>
  <c r="L197" i="10" a="1"/>
  <c r="L197" i="10" s="1"/>
  <c r="M197" i="10" a="1"/>
  <c r="M197" i="10" s="1"/>
  <c r="N197" i="10"/>
  <c r="O197" i="10"/>
  <c r="P197" i="10"/>
  <c r="D198" i="10"/>
  <c r="E198" i="10"/>
  <c r="F198" i="10"/>
  <c r="H198" i="10" a="1"/>
  <c r="H198" i="10" s="1"/>
  <c r="I198" i="10" a="1"/>
  <c r="I198" i="10" s="1"/>
  <c r="J198" i="10" a="1"/>
  <c r="J198" i="10" s="1"/>
  <c r="K198" i="10" a="1"/>
  <c r="K198" i="10" s="1"/>
  <c r="L198" i="10" a="1"/>
  <c r="L198" i="10" s="1"/>
  <c r="M198" i="10" a="1"/>
  <c r="M198" i="10" s="1"/>
  <c r="N198" i="10"/>
  <c r="O198" i="10"/>
  <c r="P198" i="10"/>
  <c r="D199" i="10"/>
  <c r="E199" i="10"/>
  <c r="F199" i="10"/>
  <c r="H199" i="10" a="1"/>
  <c r="H199" i="10" s="1"/>
  <c r="I199" i="10" a="1"/>
  <c r="I199" i="10" s="1"/>
  <c r="J199" i="10" a="1"/>
  <c r="J199" i="10" s="1"/>
  <c r="K199" i="10" a="1"/>
  <c r="K199" i="10" s="1"/>
  <c r="L199" i="10" a="1"/>
  <c r="L199" i="10" s="1"/>
  <c r="M199" i="10" a="1"/>
  <c r="M199" i="10" s="1"/>
  <c r="N199" i="10"/>
  <c r="O199" i="10"/>
  <c r="P199" i="10"/>
  <c r="D200" i="10"/>
  <c r="E200" i="10"/>
  <c r="F200" i="10"/>
  <c r="H200" i="10" a="1"/>
  <c r="H200" i="10" s="1"/>
  <c r="I200" i="10" a="1"/>
  <c r="I200" i="10" s="1"/>
  <c r="J200" i="10" a="1"/>
  <c r="J200" i="10" s="1"/>
  <c r="K200" i="10" a="1"/>
  <c r="K200" i="10" s="1"/>
  <c r="L200" i="10" a="1"/>
  <c r="L200" i="10" s="1"/>
  <c r="M200" i="10" a="1"/>
  <c r="M200" i="10" s="1"/>
  <c r="N200" i="10"/>
  <c r="O200" i="10"/>
  <c r="P200" i="10"/>
  <c r="D201" i="10"/>
  <c r="E201" i="10"/>
  <c r="F201" i="10"/>
  <c r="H201" i="10" a="1"/>
  <c r="H201" i="10" s="1"/>
  <c r="I201" i="10" a="1"/>
  <c r="I201" i="10" s="1"/>
  <c r="J201" i="10" a="1"/>
  <c r="J201" i="10" s="1"/>
  <c r="K201" i="10" a="1"/>
  <c r="K201" i="10" s="1"/>
  <c r="L201" i="10" a="1"/>
  <c r="L201" i="10" s="1"/>
  <c r="M201" i="10" a="1"/>
  <c r="M201" i="10" s="1"/>
  <c r="N201" i="10"/>
  <c r="O201" i="10"/>
  <c r="P201" i="10"/>
  <c r="D202" i="10"/>
  <c r="E202" i="10"/>
  <c r="F202" i="10"/>
  <c r="H202" i="10" a="1"/>
  <c r="H202" i="10" s="1"/>
  <c r="I202" i="10" a="1"/>
  <c r="I202" i="10" s="1"/>
  <c r="J202" i="10" a="1"/>
  <c r="J202" i="10" s="1"/>
  <c r="K202" i="10" a="1"/>
  <c r="K202" i="10" s="1"/>
  <c r="L202" i="10" a="1"/>
  <c r="L202" i="10" s="1"/>
  <c r="M202" i="10" a="1"/>
  <c r="M202" i="10" s="1"/>
  <c r="N202" i="10"/>
  <c r="O202" i="10"/>
  <c r="P202" i="10"/>
  <c r="D203" i="10"/>
  <c r="E203" i="10"/>
  <c r="F203" i="10"/>
  <c r="H203" i="10" a="1"/>
  <c r="H203" i="10" s="1"/>
  <c r="I203" i="10" a="1"/>
  <c r="I203" i="10" s="1"/>
  <c r="J203" i="10" a="1"/>
  <c r="J203" i="10" s="1"/>
  <c r="K203" i="10" a="1"/>
  <c r="K203" i="10" s="1"/>
  <c r="L203" i="10" a="1"/>
  <c r="L203" i="10" s="1"/>
  <c r="M203" i="10" a="1"/>
  <c r="M203" i="10" s="1"/>
  <c r="N203" i="10"/>
  <c r="O203" i="10"/>
  <c r="P203" i="10"/>
  <c r="D204" i="10"/>
  <c r="E204" i="10"/>
  <c r="F204" i="10"/>
  <c r="H204" i="10" a="1"/>
  <c r="H204" i="10" s="1"/>
  <c r="I204" i="10" a="1"/>
  <c r="I204" i="10" s="1"/>
  <c r="J204" i="10" a="1"/>
  <c r="J204" i="10" s="1"/>
  <c r="K204" i="10" a="1"/>
  <c r="K204" i="10" s="1"/>
  <c r="L204" i="10" a="1"/>
  <c r="L204" i="10" s="1"/>
  <c r="M204" i="10" a="1"/>
  <c r="M204" i="10" s="1"/>
  <c r="N204" i="10"/>
  <c r="O204" i="10"/>
  <c r="P204" i="10"/>
  <c r="D205" i="10"/>
  <c r="E205" i="10"/>
  <c r="F205" i="10"/>
  <c r="H205" i="10" a="1"/>
  <c r="H205" i="10" s="1"/>
  <c r="I205" i="10" a="1"/>
  <c r="I205" i="10" s="1"/>
  <c r="J205" i="10" a="1"/>
  <c r="J205" i="10" s="1"/>
  <c r="K205" i="10" a="1"/>
  <c r="K205" i="10" s="1"/>
  <c r="L205" i="10" a="1"/>
  <c r="L205" i="10" s="1"/>
  <c r="M205" i="10" a="1"/>
  <c r="M205" i="10" s="1"/>
  <c r="N205" i="10"/>
  <c r="O205" i="10"/>
  <c r="P205" i="10"/>
  <c r="D206" i="10"/>
  <c r="E206" i="10"/>
  <c r="F206" i="10"/>
  <c r="H206" i="10" a="1"/>
  <c r="H206" i="10" s="1"/>
  <c r="I206" i="10" a="1"/>
  <c r="I206" i="10" s="1"/>
  <c r="J206" i="10" a="1"/>
  <c r="J206" i="10" s="1"/>
  <c r="K206" i="10" a="1"/>
  <c r="K206" i="10" s="1"/>
  <c r="L206" i="10" a="1"/>
  <c r="L206" i="10" s="1"/>
  <c r="M206" i="10" a="1"/>
  <c r="M206" i="10" s="1"/>
  <c r="N206" i="10"/>
  <c r="O206" i="10"/>
  <c r="P206" i="10"/>
  <c r="D207" i="10"/>
  <c r="E207" i="10"/>
  <c r="F207" i="10"/>
  <c r="H207" i="10" a="1"/>
  <c r="H207" i="10" s="1"/>
  <c r="I207" i="10" a="1"/>
  <c r="I207" i="10" s="1"/>
  <c r="J207" i="10" a="1"/>
  <c r="J207" i="10" s="1"/>
  <c r="K207" i="10" a="1"/>
  <c r="K207" i="10" s="1"/>
  <c r="L207" i="10" a="1"/>
  <c r="L207" i="10" s="1"/>
  <c r="M207" i="10" a="1"/>
  <c r="M207" i="10" s="1"/>
  <c r="N207" i="10"/>
  <c r="O207" i="10"/>
  <c r="P207" i="10"/>
  <c r="D208" i="10"/>
  <c r="E208" i="10"/>
  <c r="F208" i="10"/>
  <c r="H208" i="10" a="1"/>
  <c r="H208" i="10" s="1"/>
  <c r="I208" i="10" a="1"/>
  <c r="I208" i="10" s="1"/>
  <c r="J208" i="10" a="1"/>
  <c r="J208" i="10" s="1"/>
  <c r="K208" i="10" a="1"/>
  <c r="K208" i="10" s="1"/>
  <c r="L208" i="10" a="1"/>
  <c r="L208" i="10" s="1"/>
  <c r="M208" i="10" a="1"/>
  <c r="M208" i="10" s="1"/>
  <c r="N208" i="10"/>
  <c r="O208" i="10"/>
  <c r="P208" i="10"/>
  <c r="D209" i="10"/>
  <c r="E209" i="10"/>
  <c r="F209" i="10"/>
  <c r="H209" i="10" a="1"/>
  <c r="H209" i="10" s="1"/>
  <c r="I209" i="10" a="1"/>
  <c r="I209" i="10" s="1"/>
  <c r="J209" i="10" a="1"/>
  <c r="J209" i="10" s="1"/>
  <c r="K209" i="10" a="1"/>
  <c r="K209" i="10" s="1"/>
  <c r="L209" i="10" a="1"/>
  <c r="L209" i="10" s="1"/>
  <c r="M209" i="10" a="1"/>
  <c r="M209" i="10" s="1"/>
  <c r="N209" i="10"/>
  <c r="O209" i="10"/>
  <c r="P209" i="10"/>
  <c r="D210" i="10"/>
  <c r="E210" i="10"/>
  <c r="F210" i="10"/>
  <c r="H210" i="10" a="1"/>
  <c r="H210" i="10" s="1"/>
  <c r="I210" i="10" a="1"/>
  <c r="I210" i="10" s="1"/>
  <c r="J210" i="10" a="1"/>
  <c r="J210" i="10" s="1"/>
  <c r="K210" i="10" a="1"/>
  <c r="K210" i="10" s="1"/>
  <c r="L210" i="10" a="1"/>
  <c r="L210" i="10" s="1"/>
  <c r="M210" i="10" a="1"/>
  <c r="M210" i="10" s="1"/>
  <c r="N210" i="10"/>
  <c r="O210" i="10"/>
  <c r="P210" i="10"/>
  <c r="D211" i="10"/>
  <c r="E211" i="10"/>
  <c r="F211" i="10"/>
  <c r="H211" i="10" a="1"/>
  <c r="H211" i="10" s="1"/>
  <c r="I211" i="10" a="1"/>
  <c r="I211" i="10" s="1"/>
  <c r="J211" i="10" a="1"/>
  <c r="J211" i="10" s="1"/>
  <c r="K211" i="10" a="1"/>
  <c r="K211" i="10" s="1"/>
  <c r="L211" i="10" a="1"/>
  <c r="L211" i="10" s="1"/>
  <c r="M211" i="10" a="1"/>
  <c r="M211" i="10" s="1"/>
  <c r="N211" i="10"/>
  <c r="O211" i="10"/>
  <c r="P211" i="10"/>
  <c r="D212" i="10"/>
  <c r="E212" i="10"/>
  <c r="F212" i="10"/>
  <c r="H212" i="10" a="1"/>
  <c r="H212" i="10" s="1"/>
  <c r="I212" i="10" a="1"/>
  <c r="I212" i="10" s="1"/>
  <c r="J212" i="10" a="1"/>
  <c r="J212" i="10" s="1"/>
  <c r="K212" i="10" a="1"/>
  <c r="K212" i="10" s="1"/>
  <c r="L212" i="10" a="1"/>
  <c r="L212" i="10" s="1"/>
  <c r="M212" i="10" a="1"/>
  <c r="M212" i="10" s="1"/>
  <c r="N212" i="10"/>
  <c r="O212" i="10"/>
  <c r="P212" i="10"/>
  <c r="D213" i="10"/>
  <c r="E213" i="10"/>
  <c r="F213" i="10"/>
  <c r="H213" i="10" a="1"/>
  <c r="H213" i="10" s="1"/>
  <c r="I213" i="10" a="1"/>
  <c r="I213" i="10" s="1"/>
  <c r="J213" i="10" a="1"/>
  <c r="J213" i="10" s="1"/>
  <c r="K213" i="10" a="1"/>
  <c r="K213" i="10" s="1"/>
  <c r="L213" i="10" a="1"/>
  <c r="L213" i="10" s="1"/>
  <c r="M213" i="10" a="1"/>
  <c r="M213" i="10" s="1"/>
  <c r="N213" i="10"/>
  <c r="O213" i="10"/>
  <c r="P213" i="10"/>
  <c r="D214" i="10"/>
  <c r="E214" i="10"/>
  <c r="F214" i="10"/>
  <c r="H214" i="10" a="1"/>
  <c r="H214" i="10" s="1"/>
  <c r="I214" i="10" a="1"/>
  <c r="I214" i="10" s="1"/>
  <c r="J214" i="10" a="1"/>
  <c r="J214" i="10" s="1"/>
  <c r="K214" i="10" a="1"/>
  <c r="K214" i="10" s="1"/>
  <c r="L214" i="10" a="1"/>
  <c r="L214" i="10" s="1"/>
  <c r="M214" i="10" a="1"/>
  <c r="M214" i="10" s="1"/>
  <c r="N214" i="10"/>
  <c r="O214" i="10"/>
  <c r="P214" i="10"/>
  <c r="D215" i="10"/>
  <c r="E215" i="10"/>
  <c r="F215" i="10"/>
  <c r="H215" i="10" a="1"/>
  <c r="H215" i="10" s="1"/>
  <c r="I215" i="10" a="1"/>
  <c r="I215" i="10" s="1"/>
  <c r="J215" i="10" a="1"/>
  <c r="J215" i="10" s="1"/>
  <c r="K215" i="10" a="1"/>
  <c r="K215" i="10" s="1"/>
  <c r="L215" i="10" a="1"/>
  <c r="L215" i="10" s="1"/>
  <c r="M215" i="10" a="1"/>
  <c r="M215" i="10" s="1"/>
  <c r="N215" i="10"/>
  <c r="O215" i="10"/>
  <c r="P215" i="10"/>
  <c r="D216" i="10"/>
  <c r="E216" i="10"/>
  <c r="F216" i="10"/>
  <c r="H216" i="10" a="1"/>
  <c r="H216" i="10" s="1"/>
  <c r="I216" i="10" a="1"/>
  <c r="I216" i="10" s="1"/>
  <c r="J216" i="10" a="1"/>
  <c r="J216" i="10" s="1"/>
  <c r="K216" i="10" a="1"/>
  <c r="K216" i="10" s="1"/>
  <c r="L216" i="10" a="1"/>
  <c r="L216" i="10" s="1"/>
  <c r="M216" i="10" a="1"/>
  <c r="M216" i="10" s="1"/>
  <c r="N216" i="10"/>
  <c r="O216" i="10"/>
  <c r="P216" i="10"/>
  <c r="D217" i="10"/>
  <c r="E217" i="10"/>
  <c r="F217" i="10"/>
  <c r="H217" i="10" a="1"/>
  <c r="H217" i="10" s="1"/>
  <c r="I217" i="10" a="1"/>
  <c r="I217" i="10" s="1"/>
  <c r="J217" i="10" a="1"/>
  <c r="J217" i="10" s="1"/>
  <c r="K217" i="10" a="1"/>
  <c r="K217" i="10" s="1"/>
  <c r="L217" i="10" a="1"/>
  <c r="L217" i="10" s="1"/>
  <c r="M217" i="10" a="1"/>
  <c r="M217" i="10" s="1"/>
  <c r="N217" i="10"/>
  <c r="O217" i="10"/>
  <c r="P217" i="10"/>
  <c r="D218" i="10"/>
  <c r="E218" i="10"/>
  <c r="F218" i="10"/>
  <c r="H218" i="10" a="1"/>
  <c r="H218" i="10" s="1"/>
  <c r="I218" i="10" a="1"/>
  <c r="I218" i="10" s="1"/>
  <c r="J218" i="10" a="1"/>
  <c r="J218" i="10" s="1"/>
  <c r="K218" i="10" a="1"/>
  <c r="K218" i="10" s="1"/>
  <c r="L218" i="10" a="1"/>
  <c r="L218" i="10" s="1"/>
  <c r="M218" i="10" a="1"/>
  <c r="M218" i="10" s="1"/>
  <c r="N218" i="10"/>
  <c r="O218" i="10"/>
  <c r="P218" i="10"/>
  <c r="D219" i="10"/>
  <c r="E219" i="10"/>
  <c r="F219" i="10"/>
  <c r="H219" i="10" a="1"/>
  <c r="H219" i="10" s="1"/>
  <c r="I219" i="10" a="1"/>
  <c r="I219" i="10" s="1"/>
  <c r="J219" i="10" a="1"/>
  <c r="J219" i="10" s="1"/>
  <c r="K219" i="10" a="1"/>
  <c r="K219" i="10" s="1"/>
  <c r="L219" i="10" a="1"/>
  <c r="L219" i="10" s="1"/>
  <c r="M219" i="10" a="1"/>
  <c r="M219" i="10" s="1"/>
  <c r="N219" i="10"/>
  <c r="O219" i="10"/>
  <c r="P219" i="10"/>
  <c r="D220" i="10"/>
  <c r="E220" i="10"/>
  <c r="F220" i="10"/>
  <c r="H220" i="10" a="1"/>
  <c r="H220" i="10" s="1"/>
  <c r="I220" i="10" a="1"/>
  <c r="I220" i="10" s="1"/>
  <c r="J220" i="10" a="1"/>
  <c r="J220" i="10" s="1"/>
  <c r="K220" i="10" a="1"/>
  <c r="K220" i="10" s="1"/>
  <c r="L220" i="10" a="1"/>
  <c r="L220" i="10" s="1"/>
  <c r="M220" i="10" a="1"/>
  <c r="M220" i="10" s="1"/>
  <c r="N220" i="10"/>
  <c r="O220" i="10"/>
  <c r="P220" i="10"/>
  <c r="D221" i="10"/>
  <c r="E221" i="10"/>
  <c r="F221" i="10"/>
  <c r="H221" i="10" a="1"/>
  <c r="H221" i="10" s="1"/>
  <c r="I221" i="10" a="1"/>
  <c r="I221" i="10" s="1"/>
  <c r="J221" i="10" a="1"/>
  <c r="J221" i="10" s="1"/>
  <c r="K221" i="10" a="1"/>
  <c r="K221" i="10" s="1"/>
  <c r="L221" i="10" a="1"/>
  <c r="L221" i="10" s="1"/>
  <c r="M221" i="10" a="1"/>
  <c r="M221" i="10" s="1"/>
  <c r="N221" i="10"/>
  <c r="O221" i="10"/>
  <c r="P221" i="10"/>
  <c r="D222" i="10"/>
  <c r="E222" i="10"/>
  <c r="F222" i="10"/>
  <c r="H222" i="10" a="1"/>
  <c r="H222" i="10" s="1"/>
  <c r="I222" i="10" a="1"/>
  <c r="I222" i="10" s="1"/>
  <c r="J222" i="10" a="1"/>
  <c r="J222" i="10" s="1"/>
  <c r="K222" i="10" a="1"/>
  <c r="K222" i="10" s="1"/>
  <c r="L222" i="10" a="1"/>
  <c r="L222" i="10" s="1"/>
  <c r="M222" i="10" a="1"/>
  <c r="M222" i="10" s="1"/>
  <c r="N222" i="10"/>
  <c r="O222" i="10"/>
  <c r="P222" i="10"/>
  <c r="D223" i="10"/>
  <c r="E223" i="10"/>
  <c r="F223" i="10"/>
  <c r="H223" i="10" a="1"/>
  <c r="H223" i="10" s="1"/>
  <c r="I223" i="10" a="1"/>
  <c r="I223" i="10" s="1"/>
  <c r="J223" i="10" a="1"/>
  <c r="J223" i="10" s="1"/>
  <c r="K223" i="10" a="1"/>
  <c r="K223" i="10" s="1"/>
  <c r="L223" i="10" a="1"/>
  <c r="L223" i="10" s="1"/>
  <c r="M223" i="10" a="1"/>
  <c r="M223" i="10" s="1"/>
  <c r="N223" i="10"/>
  <c r="O223" i="10"/>
  <c r="P223" i="10"/>
  <c r="D224" i="10"/>
  <c r="E224" i="10"/>
  <c r="F224" i="10"/>
  <c r="H224" i="10" a="1"/>
  <c r="H224" i="10" s="1"/>
  <c r="I224" i="10" a="1"/>
  <c r="I224" i="10" s="1"/>
  <c r="J224" i="10" a="1"/>
  <c r="J224" i="10" s="1"/>
  <c r="K224" i="10" a="1"/>
  <c r="K224" i="10" s="1"/>
  <c r="L224" i="10" a="1"/>
  <c r="L224" i="10" s="1"/>
  <c r="M224" i="10" a="1"/>
  <c r="M224" i="10" s="1"/>
  <c r="N224" i="10"/>
  <c r="O224" i="10"/>
  <c r="P224" i="10"/>
  <c r="D225" i="10"/>
  <c r="E225" i="10"/>
  <c r="F225" i="10"/>
  <c r="H225" i="10" a="1"/>
  <c r="H225" i="10" s="1"/>
  <c r="I225" i="10" a="1"/>
  <c r="I225" i="10" s="1"/>
  <c r="J225" i="10" a="1"/>
  <c r="J225" i="10" s="1"/>
  <c r="K225" i="10" a="1"/>
  <c r="K225" i="10" s="1"/>
  <c r="L225" i="10" a="1"/>
  <c r="L225" i="10" s="1"/>
  <c r="M225" i="10" a="1"/>
  <c r="M225" i="10" s="1"/>
  <c r="N225" i="10"/>
  <c r="O225" i="10"/>
  <c r="P225" i="10"/>
  <c r="D226" i="10"/>
  <c r="E226" i="10"/>
  <c r="F226" i="10"/>
  <c r="H226" i="10" a="1"/>
  <c r="H226" i="10" s="1"/>
  <c r="I226" i="10" a="1"/>
  <c r="I226" i="10" s="1"/>
  <c r="J226" i="10" a="1"/>
  <c r="J226" i="10" s="1"/>
  <c r="K226" i="10" a="1"/>
  <c r="K226" i="10" s="1"/>
  <c r="L226" i="10" a="1"/>
  <c r="L226" i="10" s="1"/>
  <c r="M226" i="10" a="1"/>
  <c r="M226" i="10" s="1"/>
  <c r="N226" i="10"/>
  <c r="O226" i="10"/>
  <c r="P226" i="10"/>
  <c r="D227" i="10"/>
  <c r="E227" i="10"/>
  <c r="F227" i="10"/>
  <c r="H227" i="10" a="1"/>
  <c r="H227" i="10" s="1"/>
  <c r="I227" i="10" a="1"/>
  <c r="I227" i="10" s="1"/>
  <c r="J227" i="10" a="1"/>
  <c r="J227" i="10" s="1"/>
  <c r="K227" i="10" a="1"/>
  <c r="K227" i="10" s="1"/>
  <c r="L227" i="10" a="1"/>
  <c r="L227" i="10" s="1"/>
  <c r="M227" i="10" a="1"/>
  <c r="M227" i="10" s="1"/>
  <c r="N227" i="10"/>
  <c r="O227" i="10"/>
  <c r="P227" i="10"/>
  <c r="D228" i="10"/>
  <c r="E228" i="10"/>
  <c r="F228" i="10"/>
  <c r="H228" i="10" a="1"/>
  <c r="H228" i="10" s="1"/>
  <c r="I228" i="10" a="1"/>
  <c r="I228" i="10" s="1"/>
  <c r="J228" i="10" a="1"/>
  <c r="J228" i="10" s="1"/>
  <c r="K228" i="10" a="1"/>
  <c r="K228" i="10" s="1"/>
  <c r="L228" i="10" a="1"/>
  <c r="L228" i="10" s="1"/>
  <c r="M228" i="10" a="1"/>
  <c r="M228" i="10" s="1"/>
  <c r="N228" i="10"/>
  <c r="O228" i="10"/>
  <c r="P228" i="10"/>
  <c r="D229" i="10"/>
  <c r="E229" i="10"/>
  <c r="F229" i="10"/>
  <c r="H229" i="10" a="1"/>
  <c r="H229" i="10" s="1"/>
  <c r="I229" i="10" a="1"/>
  <c r="I229" i="10" s="1"/>
  <c r="J229" i="10" a="1"/>
  <c r="J229" i="10" s="1"/>
  <c r="K229" i="10" a="1"/>
  <c r="K229" i="10" s="1"/>
  <c r="L229" i="10" a="1"/>
  <c r="L229" i="10" s="1"/>
  <c r="M229" i="10" a="1"/>
  <c r="M229" i="10" s="1"/>
  <c r="N229" i="10"/>
  <c r="O229" i="10"/>
  <c r="P229" i="10"/>
  <c r="D230" i="10"/>
  <c r="E230" i="10"/>
  <c r="F230" i="10"/>
  <c r="H230" i="10" a="1"/>
  <c r="H230" i="10" s="1"/>
  <c r="I230" i="10" a="1"/>
  <c r="I230" i="10" s="1"/>
  <c r="J230" i="10" a="1"/>
  <c r="J230" i="10" s="1"/>
  <c r="K230" i="10" a="1"/>
  <c r="K230" i="10" s="1"/>
  <c r="L230" i="10" a="1"/>
  <c r="L230" i="10" s="1"/>
  <c r="M230" i="10" a="1"/>
  <c r="M230" i="10" s="1"/>
  <c r="N230" i="10"/>
  <c r="O230" i="10"/>
  <c r="P230" i="10"/>
  <c r="D231" i="10"/>
  <c r="E231" i="10"/>
  <c r="F231" i="10"/>
  <c r="H231" i="10" a="1"/>
  <c r="H231" i="10" s="1"/>
  <c r="I231" i="10" a="1"/>
  <c r="I231" i="10" s="1"/>
  <c r="J231" i="10" a="1"/>
  <c r="J231" i="10" s="1"/>
  <c r="K231" i="10" a="1"/>
  <c r="K231" i="10" s="1"/>
  <c r="L231" i="10" a="1"/>
  <c r="L231" i="10" s="1"/>
  <c r="M231" i="10" a="1"/>
  <c r="M231" i="10" s="1"/>
  <c r="N231" i="10"/>
  <c r="O231" i="10"/>
  <c r="P231" i="10"/>
  <c r="D232" i="10"/>
  <c r="E232" i="10"/>
  <c r="F232" i="10"/>
  <c r="H232" i="10" a="1"/>
  <c r="H232" i="10" s="1"/>
  <c r="I232" i="10" a="1"/>
  <c r="I232" i="10" s="1"/>
  <c r="J232" i="10" a="1"/>
  <c r="J232" i="10" s="1"/>
  <c r="K232" i="10" a="1"/>
  <c r="K232" i="10" s="1"/>
  <c r="L232" i="10" a="1"/>
  <c r="L232" i="10" s="1"/>
  <c r="M232" i="10" a="1"/>
  <c r="M232" i="10" s="1"/>
  <c r="N232" i="10"/>
  <c r="O232" i="10"/>
  <c r="P232" i="10"/>
  <c r="D233" i="10"/>
  <c r="E233" i="10"/>
  <c r="F233" i="10"/>
  <c r="H233" i="10" a="1"/>
  <c r="H233" i="10" s="1"/>
  <c r="I233" i="10" a="1"/>
  <c r="I233" i="10" s="1"/>
  <c r="J233" i="10" a="1"/>
  <c r="J233" i="10" s="1"/>
  <c r="K233" i="10" a="1"/>
  <c r="K233" i="10" s="1"/>
  <c r="L233" i="10" a="1"/>
  <c r="L233" i="10" s="1"/>
  <c r="M233" i="10" a="1"/>
  <c r="M233" i="10" s="1"/>
  <c r="N233" i="10"/>
  <c r="O233" i="10"/>
  <c r="P233" i="10"/>
  <c r="D234" i="10"/>
  <c r="E234" i="10"/>
  <c r="F234" i="10"/>
  <c r="H234" i="10" a="1"/>
  <c r="H234" i="10" s="1"/>
  <c r="I234" i="10" a="1"/>
  <c r="I234" i="10" s="1"/>
  <c r="J234" i="10" a="1"/>
  <c r="J234" i="10" s="1"/>
  <c r="K234" i="10" a="1"/>
  <c r="K234" i="10" s="1"/>
  <c r="L234" i="10" a="1"/>
  <c r="L234" i="10" s="1"/>
  <c r="M234" i="10" a="1"/>
  <c r="M234" i="10" s="1"/>
  <c r="N234" i="10"/>
  <c r="O234" i="10"/>
  <c r="P234" i="10"/>
  <c r="D235" i="10"/>
  <c r="E235" i="10"/>
  <c r="F235" i="10"/>
  <c r="H235" i="10" a="1"/>
  <c r="H235" i="10" s="1"/>
  <c r="I235" i="10" a="1"/>
  <c r="I235" i="10" s="1"/>
  <c r="J235" i="10" a="1"/>
  <c r="J235" i="10" s="1"/>
  <c r="K235" i="10" a="1"/>
  <c r="K235" i="10" s="1"/>
  <c r="L235" i="10" a="1"/>
  <c r="L235" i="10" s="1"/>
  <c r="M235" i="10" a="1"/>
  <c r="M235" i="10" s="1"/>
  <c r="N235" i="10"/>
  <c r="O235" i="10"/>
  <c r="P235" i="10"/>
  <c r="D236" i="10"/>
  <c r="E236" i="10"/>
  <c r="F236" i="10"/>
  <c r="H236" i="10" a="1"/>
  <c r="H236" i="10" s="1"/>
  <c r="I236" i="10" a="1"/>
  <c r="I236" i="10" s="1"/>
  <c r="J236" i="10" a="1"/>
  <c r="J236" i="10" s="1"/>
  <c r="K236" i="10" a="1"/>
  <c r="K236" i="10" s="1"/>
  <c r="L236" i="10" a="1"/>
  <c r="L236" i="10" s="1"/>
  <c r="M236" i="10" a="1"/>
  <c r="M236" i="10" s="1"/>
  <c r="N236" i="10"/>
  <c r="O236" i="10"/>
  <c r="P236" i="10"/>
  <c r="D237" i="10"/>
  <c r="E237" i="10"/>
  <c r="F237" i="10"/>
  <c r="H237" i="10" a="1"/>
  <c r="H237" i="10" s="1"/>
  <c r="I237" i="10" a="1"/>
  <c r="I237" i="10" s="1"/>
  <c r="J237" i="10" a="1"/>
  <c r="J237" i="10" s="1"/>
  <c r="K237" i="10" a="1"/>
  <c r="K237" i="10" s="1"/>
  <c r="L237" i="10" a="1"/>
  <c r="L237" i="10" s="1"/>
  <c r="M237" i="10" a="1"/>
  <c r="M237" i="10" s="1"/>
  <c r="N237" i="10"/>
  <c r="O237" i="10"/>
  <c r="P237" i="10"/>
  <c r="D238" i="10"/>
  <c r="E238" i="10"/>
  <c r="F238" i="10"/>
  <c r="H238" i="10" a="1"/>
  <c r="H238" i="10" s="1"/>
  <c r="I238" i="10" a="1"/>
  <c r="I238" i="10" s="1"/>
  <c r="J238" i="10" a="1"/>
  <c r="J238" i="10" s="1"/>
  <c r="K238" i="10" a="1"/>
  <c r="K238" i="10" s="1"/>
  <c r="L238" i="10" a="1"/>
  <c r="L238" i="10" s="1"/>
  <c r="M238" i="10" a="1"/>
  <c r="M238" i="10" s="1"/>
  <c r="N238" i="10"/>
  <c r="O238" i="10"/>
  <c r="P238" i="10"/>
  <c r="D239" i="10"/>
  <c r="E239" i="10"/>
  <c r="F239" i="10"/>
  <c r="H239" i="10" a="1"/>
  <c r="H239" i="10" s="1"/>
  <c r="I239" i="10" a="1"/>
  <c r="I239" i="10" s="1"/>
  <c r="J239" i="10" a="1"/>
  <c r="J239" i="10" s="1"/>
  <c r="K239" i="10" a="1"/>
  <c r="K239" i="10" s="1"/>
  <c r="L239" i="10" a="1"/>
  <c r="L239" i="10" s="1"/>
  <c r="M239" i="10" a="1"/>
  <c r="M239" i="10" s="1"/>
  <c r="N239" i="10"/>
  <c r="O239" i="10"/>
  <c r="P239" i="10"/>
  <c r="D240" i="10"/>
  <c r="E240" i="10"/>
  <c r="F240" i="10"/>
  <c r="H240" i="10" a="1"/>
  <c r="H240" i="10" s="1"/>
  <c r="I240" i="10" a="1"/>
  <c r="I240" i="10" s="1"/>
  <c r="J240" i="10" a="1"/>
  <c r="J240" i="10" s="1"/>
  <c r="K240" i="10" a="1"/>
  <c r="K240" i="10" s="1"/>
  <c r="L240" i="10" a="1"/>
  <c r="L240" i="10" s="1"/>
  <c r="M240" i="10" a="1"/>
  <c r="M240" i="10" s="1"/>
  <c r="N240" i="10"/>
  <c r="O240" i="10"/>
  <c r="P240" i="10"/>
  <c r="D241" i="10"/>
  <c r="E241" i="10"/>
  <c r="F241" i="10"/>
  <c r="H241" i="10" a="1"/>
  <c r="H241" i="10" s="1"/>
  <c r="I241" i="10" a="1"/>
  <c r="I241" i="10" s="1"/>
  <c r="J241" i="10" a="1"/>
  <c r="J241" i="10" s="1"/>
  <c r="K241" i="10" a="1"/>
  <c r="K241" i="10" s="1"/>
  <c r="L241" i="10" a="1"/>
  <c r="L241" i="10" s="1"/>
  <c r="M241" i="10" a="1"/>
  <c r="M241" i="10" s="1"/>
  <c r="N241" i="10"/>
  <c r="O241" i="10"/>
  <c r="P241" i="10"/>
  <c r="D242" i="10"/>
  <c r="E242" i="10"/>
  <c r="F242" i="10"/>
  <c r="H242" i="10" a="1"/>
  <c r="H242" i="10" s="1"/>
  <c r="I242" i="10" a="1"/>
  <c r="I242" i="10" s="1"/>
  <c r="J242" i="10" a="1"/>
  <c r="J242" i="10" s="1"/>
  <c r="K242" i="10" a="1"/>
  <c r="K242" i="10" s="1"/>
  <c r="L242" i="10" a="1"/>
  <c r="L242" i="10" s="1"/>
  <c r="M242" i="10" a="1"/>
  <c r="M242" i="10" s="1"/>
  <c r="N242" i="10"/>
  <c r="O242" i="10"/>
  <c r="P242" i="10"/>
  <c r="D243" i="10"/>
  <c r="E243" i="10"/>
  <c r="F243" i="10"/>
  <c r="H243" i="10" a="1"/>
  <c r="H243" i="10" s="1"/>
  <c r="I243" i="10" a="1"/>
  <c r="I243" i="10" s="1"/>
  <c r="J243" i="10" a="1"/>
  <c r="J243" i="10" s="1"/>
  <c r="K243" i="10" a="1"/>
  <c r="K243" i="10" s="1"/>
  <c r="L243" i="10" a="1"/>
  <c r="L243" i="10" s="1"/>
  <c r="M243" i="10" a="1"/>
  <c r="M243" i="10" s="1"/>
  <c r="N243" i="10"/>
  <c r="O243" i="10"/>
  <c r="P243" i="10"/>
  <c r="D244" i="10"/>
  <c r="E244" i="10"/>
  <c r="F244" i="10"/>
  <c r="H244" i="10" a="1"/>
  <c r="H244" i="10" s="1"/>
  <c r="I244" i="10" a="1"/>
  <c r="I244" i="10" s="1"/>
  <c r="J244" i="10" a="1"/>
  <c r="J244" i="10" s="1"/>
  <c r="K244" i="10" a="1"/>
  <c r="K244" i="10" s="1"/>
  <c r="L244" i="10" a="1"/>
  <c r="L244" i="10" s="1"/>
  <c r="M244" i="10" a="1"/>
  <c r="M244" i="10" s="1"/>
  <c r="N244" i="10"/>
  <c r="O244" i="10"/>
  <c r="P244" i="10"/>
  <c r="D245" i="10"/>
  <c r="E245" i="10"/>
  <c r="F245" i="10"/>
  <c r="H245" i="10" a="1"/>
  <c r="H245" i="10" s="1"/>
  <c r="I245" i="10" a="1"/>
  <c r="I245" i="10" s="1"/>
  <c r="J245" i="10" a="1"/>
  <c r="J245" i="10" s="1"/>
  <c r="K245" i="10" a="1"/>
  <c r="K245" i="10" s="1"/>
  <c r="L245" i="10" a="1"/>
  <c r="L245" i="10" s="1"/>
  <c r="M245" i="10" a="1"/>
  <c r="M245" i="10" s="1"/>
  <c r="N245" i="10"/>
  <c r="O245" i="10"/>
  <c r="P245" i="10"/>
  <c r="D246" i="10"/>
  <c r="E246" i="10"/>
  <c r="F246" i="10"/>
  <c r="H246" i="10" a="1"/>
  <c r="H246" i="10" s="1"/>
  <c r="I246" i="10" a="1"/>
  <c r="I246" i="10" s="1"/>
  <c r="J246" i="10" a="1"/>
  <c r="J246" i="10" s="1"/>
  <c r="K246" i="10" a="1"/>
  <c r="K246" i="10" s="1"/>
  <c r="L246" i="10" a="1"/>
  <c r="L246" i="10" s="1"/>
  <c r="M246" i="10" a="1"/>
  <c r="M246" i="10" s="1"/>
  <c r="N246" i="10"/>
  <c r="O246" i="10"/>
  <c r="P246" i="10"/>
  <c r="D247" i="10"/>
  <c r="E247" i="10"/>
  <c r="F247" i="10"/>
  <c r="H247" i="10" a="1"/>
  <c r="H247" i="10" s="1"/>
  <c r="I247" i="10" a="1"/>
  <c r="I247" i="10" s="1"/>
  <c r="J247" i="10" a="1"/>
  <c r="J247" i="10" s="1"/>
  <c r="K247" i="10" a="1"/>
  <c r="K247" i="10" s="1"/>
  <c r="L247" i="10" a="1"/>
  <c r="L247" i="10" s="1"/>
  <c r="M247" i="10" a="1"/>
  <c r="M247" i="10" s="1"/>
  <c r="N247" i="10"/>
  <c r="O247" i="10"/>
  <c r="P247" i="10"/>
  <c r="D248" i="10"/>
  <c r="E248" i="10"/>
  <c r="F248" i="10"/>
  <c r="H248" i="10" a="1"/>
  <c r="H248" i="10" s="1"/>
  <c r="I248" i="10" a="1"/>
  <c r="I248" i="10" s="1"/>
  <c r="J248" i="10" a="1"/>
  <c r="J248" i="10" s="1"/>
  <c r="K248" i="10" a="1"/>
  <c r="K248" i="10" s="1"/>
  <c r="L248" i="10" a="1"/>
  <c r="L248" i="10" s="1"/>
  <c r="M248" i="10" a="1"/>
  <c r="M248" i="10" s="1"/>
  <c r="N248" i="10"/>
  <c r="O248" i="10"/>
  <c r="P248" i="10"/>
  <c r="D249" i="10"/>
  <c r="E249" i="10"/>
  <c r="F249" i="10"/>
  <c r="H249" i="10" a="1"/>
  <c r="H249" i="10" s="1"/>
  <c r="I249" i="10" a="1"/>
  <c r="I249" i="10" s="1"/>
  <c r="J249" i="10" a="1"/>
  <c r="J249" i="10" s="1"/>
  <c r="K249" i="10" a="1"/>
  <c r="K249" i="10" s="1"/>
  <c r="L249" i="10" a="1"/>
  <c r="L249" i="10" s="1"/>
  <c r="M249" i="10" a="1"/>
  <c r="M249" i="10" s="1"/>
  <c r="N249" i="10"/>
  <c r="O249" i="10"/>
  <c r="P249" i="10"/>
  <c r="D250" i="10"/>
  <c r="E250" i="10"/>
  <c r="F250" i="10"/>
  <c r="H250" i="10" a="1"/>
  <c r="H250" i="10" s="1"/>
  <c r="I250" i="10" a="1"/>
  <c r="I250" i="10" s="1"/>
  <c r="J250" i="10" a="1"/>
  <c r="J250" i="10" s="1"/>
  <c r="K250" i="10" a="1"/>
  <c r="K250" i="10" s="1"/>
  <c r="L250" i="10" a="1"/>
  <c r="L250" i="10" s="1"/>
  <c r="M250" i="10" a="1"/>
  <c r="M250" i="10" s="1"/>
  <c r="N250" i="10"/>
  <c r="O250" i="10"/>
  <c r="P250" i="10"/>
  <c r="D251" i="10"/>
  <c r="E251" i="10"/>
  <c r="F251" i="10"/>
  <c r="H251" i="10" a="1"/>
  <c r="H251" i="10" s="1"/>
  <c r="I251" i="10" a="1"/>
  <c r="I251" i="10" s="1"/>
  <c r="J251" i="10" a="1"/>
  <c r="J251" i="10" s="1"/>
  <c r="K251" i="10" a="1"/>
  <c r="K251" i="10" s="1"/>
  <c r="L251" i="10" a="1"/>
  <c r="L251" i="10" s="1"/>
  <c r="M251" i="10" a="1"/>
  <c r="M251" i="10" s="1"/>
  <c r="N251" i="10"/>
  <c r="O251" i="10"/>
  <c r="P251" i="10"/>
  <c r="D252" i="10"/>
  <c r="E252" i="10"/>
  <c r="F252" i="10"/>
  <c r="H252" i="10" a="1"/>
  <c r="H252" i="10" s="1"/>
  <c r="I252" i="10" a="1"/>
  <c r="I252" i="10" s="1"/>
  <c r="J252" i="10" a="1"/>
  <c r="J252" i="10" s="1"/>
  <c r="K252" i="10" a="1"/>
  <c r="K252" i="10" s="1"/>
  <c r="L252" i="10" a="1"/>
  <c r="L252" i="10" s="1"/>
  <c r="M252" i="10" a="1"/>
  <c r="M252" i="10" s="1"/>
  <c r="N252" i="10"/>
  <c r="O252" i="10"/>
  <c r="P252" i="10"/>
  <c r="D253" i="10"/>
  <c r="E253" i="10"/>
  <c r="F253" i="10"/>
  <c r="H253" i="10" a="1"/>
  <c r="H253" i="10" s="1"/>
  <c r="I253" i="10" a="1"/>
  <c r="I253" i="10" s="1"/>
  <c r="J253" i="10" a="1"/>
  <c r="J253" i="10" s="1"/>
  <c r="K253" i="10" a="1"/>
  <c r="K253" i="10" s="1"/>
  <c r="L253" i="10" a="1"/>
  <c r="L253" i="10" s="1"/>
  <c r="M253" i="10" a="1"/>
  <c r="M253" i="10" s="1"/>
  <c r="N253" i="10"/>
  <c r="O253" i="10"/>
  <c r="P253" i="10"/>
  <c r="D254" i="10"/>
  <c r="E254" i="10"/>
  <c r="F254" i="10"/>
  <c r="H254" i="10" a="1"/>
  <c r="H254" i="10" s="1"/>
  <c r="I254" i="10" a="1"/>
  <c r="I254" i="10" s="1"/>
  <c r="J254" i="10" a="1"/>
  <c r="J254" i="10" s="1"/>
  <c r="K254" i="10" a="1"/>
  <c r="K254" i="10" s="1"/>
  <c r="L254" i="10" a="1"/>
  <c r="L254" i="10" s="1"/>
  <c r="M254" i="10" a="1"/>
  <c r="M254" i="10" s="1"/>
  <c r="N254" i="10"/>
  <c r="O254" i="10"/>
  <c r="P254" i="10"/>
  <c r="D255" i="10"/>
  <c r="E255" i="10"/>
  <c r="F255" i="10"/>
  <c r="H255" i="10" a="1"/>
  <c r="H255" i="10" s="1"/>
  <c r="I255" i="10" a="1"/>
  <c r="I255" i="10" s="1"/>
  <c r="J255" i="10" a="1"/>
  <c r="J255" i="10" s="1"/>
  <c r="K255" i="10" a="1"/>
  <c r="K255" i="10" s="1"/>
  <c r="L255" i="10" a="1"/>
  <c r="L255" i="10" s="1"/>
  <c r="M255" i="10" a="1"/>
  <c r="M255" i="10" s="1"/>
  <c r="N255" i="10"/>
  <c r="O255" i="10"/>
  <c r="P255" i="10"/>
  <c r="D256" i="10"/>
  <c r="E256" i="10"/>
  <c r="F256" i="10"/>
  <c r="H256" i="10" a="1"/>
  <c r="H256" i="10" s="1"/>
  <c r="I256" i="10" a="1"/>
  <c r="I256" i="10" s="1"/>
  <c r="J256" i="10" a="1"/>
  <c r="J256" i="10" s="1"/>
  <c r="K256" i="10" a="1"/>
  <c r="K256" i="10" s="1"/>
  <c r="L256" i="10" a="1"/>
  <c r="L256" i="10" s="1"/>
  <c r="M256" i="10" a="1"/>
  <c r="M256" i="10" s="1"/>
  <c r="N256" i="10"/>
  <c r="O256" i="10"/>
  <c r="P256" i="10"/>
  <c r="D257" i="10"/>
  <c r="E257" i="10"/>
  <c r="F257" i="10"/>
  <c r="H257" i="10" a="1"/>
  <c r="H257" i="10" s="1"/>
  <c r="I257" i="10" a="1"/>
  <c r="I257" i="10" s="1"/>
  <c r="J257" i="10" a="1"/>
  <c r="J257" i="10" s="1"/>
  <c r="K257" i="10" a="1"/>
  <c r="K257" i="10" s="1"/>
  <c r="L257" i="10" a="1"/>
  <c r="L257" i="10" s="1"/>
  <c r="M257" i="10" a="1"/>
  <c r="M257" i="10" s="1"/>
  <c r="N257" i="10"/>
  <c r="O257" i="10"/>
  <c r="P257" i="10"/>
  <c r="D258" i="10"/>
  <c r="E258" i="10"/>
  <c r="F258" i="10"/>
  <c r="H258" i="10" a="1"/>
  <c r="H258" i="10" s="1"/>
  <c r="I258" i="10" a="1"/>
  <c r="I258" i="10" s="1"/>
  <c r="J258" i="10" a="1"/>
  <c r="J258" i="10" s="1"/>
  <c r="K258" i="10" a="1"/>
  <c r="K258" i="10" s="1"/>
  <c r="L258" i="10" a="1"/>
  <c r="L258" i="10" s="1"/>
  <c r="M258" i="10" a="1"/>
  <c r="M258" i="10" s="1"/>
  <c r="N258" i="10"/>
  <c r="O258" i="10"/>
  <c r="P258" i="10"/>
  <c r="D259" i="10"/>
  <c r="E259" i="10"/>
  <c r="F259" i="10"/>
  <c r="H259" i="10" a="1"/>
  <c r="H259" i="10" s="1"/>
  <c r="I259" i="10" a="1"/>
  <c r="I259" i="10" s="1"/>
  <c r="J259" i="10" a="1"/>
  <c r="J259" i="10" s="1"/>
  <c r="K259" i="10" a="1"/>
  <c r="K259" i="10" s="1"/>
  <c r="L259" i="10" a="1"/>
  <c r="L259" i="10" s="1"/>
  <c r="M259" i="10" a="1"/>
  <c r="M259" i="10" s="1"/>
  <c r="N259" i="10"/>
  <c r="O259" i="10"/>
  <c r="P259" i="10"/>
  <c r="D260" i="10"/>
  <c r="E260" i="10"/>
  <c r="F260" i="10"/>
  <c r="H260" i="10" a="1"/>
  <c r="H260" i="10" s="1"/>
  <c r="I260" i="10" a="1"/>
  <c r="I260" i="10" s="1"/>
  <c r="J260" i="10" a="1"/>
  <c r="J260" i="10" s="1"/>
  <c r="K260" i="10" a="1"/>
  <c r="K260" i="10" s="1"/>
  <c r="L260" i="10" a="1"/>
  <c r="L260" i="10" s="1"/>
  <c r="M260" i="10" a="1"/>
  <c r="M260" i="10" s="1"/>
  <c r="N260" i="10"/>
  <c r="O260" i="10"/>
  <c r="P260" i="10"/>
  <c r="D261" i="10"/>
  <c r="E261" i="10"/>
  <c r="F261" i="10"/>
  <c r="H261" i="10" a="1"/>
  <c r="H261" i="10" s="1"/>
  <c r="I261" i="10" a="1"/>
  <c r="I261" i="10" s="1"/>
  <c r="J261" i="10" a="1"/>
  <c r="J261" i="10" s="1"/>
  <c r="K261" i="10" a="1"/>
  <c r="K261" i="10" s="1"/>
  <c r="L261" i="10" a="1"/>
  <c r="L261" i="10" s="1"/>
  <c r="M261" i="10" a="1"/>
  <c r="M261" i="10" s="1"/>
  <c r="N261" i="10"/>
  <c r="O261" i="10"/>
  <c r="P261" i="10"/>
  <c r="D262" i="10"/>
  <c r="E262" i="10"/>
  <c r="F262" i="10"/>
  <c r="H262" i="10" a="1"/>
  <c r="H262" i="10" s="1"/>
  <c r="I262" i="10" a="1"/>
  <c r="I262" i="10" s="1"/>
  <c r="J262" i="10" a="1"/>
  <c r="J262" i="10" s="1"/>
  <c r="K262" i="10" a="1"/>
  <c r="K262" i="10" s="1"/>
  <c r="L262" i="10" a="1"/>
  <c r="L262" i="10" s="1"/>
  <c r="M262" i="10" a="1"/>
  <c r="M262" i="10" s="1"/>
  <c r="N262" i="10"/>
  <c r="O262" i="10"/>
  <c r="P262" i="10"/>
  <c r="D263" i="10"/>
  <c r="E263" i="10"/>
  <c r="F263" i="10"/>
  <c r="H263" i="10" a="1"/>
  <c r="H263" i="10" s="1"/>
  <c r="I263" i="10" a="1"/>
  <c r="I263" i="10" s="1"/>
  <c r="J263" i="10" a="1"/>
  <c r="J263" i="10" s="1"/>
  <c r="K263" i="10" a="1"/>
  <c r="K263" i="10" s="1"/>
  <c r="L263" i="10" a="1"/>
  <c r="L263" i="10" s="1"/>
  <c r="M263" i="10" a="1"/>
  <c r="M263" i="10" s="1"/>
  <c r="N263" i="10"/>
  <c r="O263" i="10"/>
  <c r="P263" i="10"/>
  <c r="D264" i="10"/>
  <c r="E264" i="10"/>
  <c r="F264" i="10"/>
  <c r="H264" i="10" a="1"/>
  <c r="H264" i="10" s="1"/>
  <c r="I264" i="10" a="1"/>
  <c r="I264" i="10" s="1"/>
  <c r="J264" i="10" a="1"/>
  <c r="J264" i="10" s="1"/>
  <c r="K264" i="10" a="1"/>
  <c r="K264" i="10" s="1"/>
  <c r="L264" i="10" a="1"/>
  <c r="L264" i="10" s="1"/>
  <c r="M264" i="10" a="1"/>
  <c r="M264" i="10" s="1"/>
  <c r="N264" i="10"/>
  <c r="O264" i="10"/>
  <c r="P264" i="10"/>
  <c r="D265" i="10"/>
  <c r="E265" i="10"/>
  <c r="F265" i="10"/>
  <c r="H265" i="10" a="1"/>
  <c r="H265" i="10" s="1"/>
  <c r="I265" i="10" a="1"/>
  <c r="I265" i="10" s="1"/>
  <c r="J265" i="10" a="1"/>
  <c r="J265" i="10" s="1"/>
  <c r="K265" i="10" a="1"/>
  <c r="K265" i="10" s="1"/>
  <c r="L265" i="10" a="1"/>
  <c r="L265" i="10" s="1"/>
  <c r="M265" i="10" a="1"/>
  <c r="M265" i="10" s="1"/>
  <c r="N265" i="10"/>
  <c r="O265" i="10"/>
  <c r="P265" i="10"/>
  <c r="D266" i="10"/>
  <c r="E266" i="10"/>
  <c r="F266" i="10"/>
  <c r="H266" i="10" a="1"/>
  <c r="H266" i="10" s="1"/>
  <c r="I266" i="10" a="1"/>
  <c r="I266" i="10" s="1"/>
  <c r="J266" i="10" a="1"/>
  <c r="J266" i="10" s="1"/>
  <c r="K266" i="10" a="1"/>
  <c r="K266" i="10" s="1"/>
  <c r="L266" i="10" a="1"/>
  <c r="L266" i="10" s="1"/>
  <c r="M266" i="10" a="1"/>
  <c r="M266" i="10" s="1"/>
  <c r="N266" i="10"/>
  <c r="O266" i="10"/>
  <c r="P266" i="10"/>
  <c r="D267" i="10"/>
  <c r="E267" i="10"/>
  <c r="F267" i="10"/>
  <c r="H267" i="10" a="1"/>
  <c r="H267" i="10" s="1"/>
  <c r="I267" i="10" a="1"/>
  <c r="I267" i="10" s="1"/>
  <c r="J267" i="10" a="1"/>
  <c r="J267" i="10" s="1"/>
  <c r="K267" i="10" a="1"/>
  <c r="K267" i="10" s="1"/>
  <c r="L267" i="10" a="1"/>
  <c r="L267" i="10" s="1"/>
  <c r="M267" i="10" a="1"/>
  <c r="M267" i="10" s="1"/>
  <c r="N267" i="10"/>
  <c r="O267" i="10"/>
  <c r="P267" i="10"/>
  <c r="D268" i="10"/>
  <c r="E268" i="10"/>
  <c r="F268" i="10"/>
  <c r="H268" i="10" a="1"/>
  <c r="H268" i="10" s="1"/>
  <c r="I268" i="10" a="1"/>
  <c r="I268" i="10" s="1"/>
  <c r="J268" i="10" a="1"/>
  <c r="J268" i="10" s="1"/>
  <c r="K268" i="10" a="1"/>
  <c r="K268" i="10" s="1"/>
  <c r="L268" i="10" a="1"/>
  <c r="L268" i="10" s="1"/>
  <c r="M268" i="10" a="1"/>
  <c r="M268" i="10" s="1"/>
  <c r="N268" i="10"/>
  <c r="O268" i="10"/>
  <c r="P268" i="10"/>
  <c r="D269" i="10"/>
  <c r="E269" i="10"/>
  <c r="F269" i="10"/>
  <c r="H269" i="10" a="1"/>
  <c r="H269" i="10" s="1"/>
  <c r="I269" i="10" a="1"/>
  <c r="I269" i="10" s="1"/>
  <c r="J269" i="10" a="1"/>
  <c r="J269" i="10" s="1"/>
  <c r="K269" i="10" a="1"/>
  <c r="K269" i="10" s="1"/>
  <c r="L269" i="10" a="1"/>
  <c r="L269" i="10" s="1"/>
  <c r="M269" i="10" a="1"/>
  <c r="M269" i="10" s="1"/>
  <c r="N269" i="10"/>
  <c r="O269" i="10"/>
  <c r="P269" i="10"/>
  <c r="D270" i="10"/>
  <c r="E270" i="10"/>
  <c r="F270" i="10"/>
  <c r="H270" i="10" a="1"/>
  <c r="H270" i="10" s="1"/>
  <c r="I270" i="10" a="1"/>
  <c r="I270" i="10" s="1"/>
  <c r="J270" i="10" a="1"/>
  <c r="J270" i="10" s="1"/>
  <c r="K270" i="10" a="1"/>
  <c r="K270" i="10" s="1"/>
  <c r="L270" i="10" a="1"/>
  <c r="L270" i="10" s="1"/>
  <c r="M270" i="10" a="1"/>
  <c r="M270" i="10" s="1"/>
  <c r="N270" i="10"/>
  <c r="O270" i="10"/>
  <c r="P270" i="10"/>
  <c r="D271" i="10"/>
  <c r="E271" i="10"/>
  <c r="F271" i="10"/>
  <c r="H271" i="10" a="1"/>
  <c r="H271" i="10" s="1"/>
  <c r="I271" i="10" a="1"/>
  <c r="I271" i="10" s="1"/>
  <c r="J271" i="10" a="1"/>
  <c r="J271" i="10" s="1"/>
  <c r="K271" i="10" a="1"/>
  <c r="K271" i="10" s="1"/>
  <c r="L271" i="10" a="1"/>
  <c r="L271" i="10" s="1"/>
  <c r="M271" i="10" a="1"/>
  <c r="M271" i="10" s="1"/>
  <c r="N271" i="10"/>
  <c r="O271" i="10"/>
  <c r="P271" i="10"/>
  <c r="D272" i="10"/>
  <c r="E272" i="10"/>
  <c r="F272" i="10"/>
  <c r="H272" i="10" a="1"/>
  <c r="H272" i="10" s="1"/>
  <c r="I272" i="10" a="1"/>
  <c r="I272" i="10" s="1"/>
  <c r="J272" i="10" a="1"/>
  <c r="J272" i="10" s="1"/>
  <c r="K272" i="10" a="1"/>
  <c r="K272" i="10" s="1"/>
  <c r="L272" i="10" a="1"/>
  <c r="L272" i="10" s="1"/>
  <c r="M272" i="10" a="1"/>
  <c r="M272" i="10" s="1"/>
  <c r="N272" i="10"/>
  <c r="O272" i="10"/>
  <c r="P272" i="10"/>
  <c r="D273" i="10"/>
  <c r="E273" i="10"/>
  <c r="F273" i="10"/>
  <c r="H273" i="10" a="1"/>
  <c r="H273" i="10" s="1"/>
  <c r="I273" i="10" a="1"/>
  <c r="I273" i="10" s="1"/>
  <c r="J273" i="10" a="1"/>
  <c r="J273" i="10" s="1"/>
  <c r="K273" i="10" a="1"/>
  <c r="K273" i="10" s="1"/>
  <c r="L273" i="10" a="1"/>
  <c r="L273" i="10" s="1"/>
  <c r="M273" i="10" a="1"/>
  <c r="M273" i="10" s="1"/>
  <c r="N273" i="10"/>
  <c r="O273" i="10"/>
  <c r="P273" i="10"/>
  <c r="D274" i="10"/>
  <c r="E274" i="10"/>
  <c r="F274" i="10"/>
  <c r="H274" i="10" a="1"/>
  <c r="H274" i="10" s="1"/>
  <c r="I274" i="10" a="1"/>
  <c r="I274" i="10" s="1"/>
  <c r="J274" i="10" a="1"/>
  <c r="J274" i="10" s="1"/>
  <c r="K274" i="10" a="1"/>
  <c r="K274" i="10" s="1"/>
  <c r="L274" i="10" a="1"/>
  <c r="L274" i="10" s="1"/>
  <c r="M274" i="10" a="1"/>
  <c r="M274" i="10" s="1"/>
  <c r="N274" i="10"/>
  <c r="O274" i="10"/>
  <c r="P274" i="10"/>
  <c r="D275" i="10"/>
  <c r="E275" i="10"/>
  <c r="F275" i="10"/>
  <c r="H275" i="10" a="1"/>
  <c r="H275" i="10" s="1"/>
  <c r="I275" i="10" a="1"/>
  <c r="I275" i="10" s="1"/>
  <c r="J275" i="10" a="1"/>
  <c r="J275" i="10" s="1"/>
  <c r="K275" i="10" a="1"/>
  <c r="K275" i="10" s="1"/>
  <c r="L275" i="10" a="1"/>
  <c r="L275" i="10" s="1"/>
  <c r="M275" i="10" a="1"/>
  <c r="M275" i="10" s="1"/>
  <c r="N275" i="10"/>
  <c r="O275" i="10"/>
  <c r="P275" i="10"/>
  <c r="D276" i="10"/>
  <c r="E276" i="10"/>
  <c r="F276" i="10"/>
  <c r="H276" i="10" a="1"/>
  <c r="H276" i="10" s="1"/>
  <c r="I276" i="10" a="1"/>
  <c r="I276" i="10" s="1"/>
  <c r="J276" i="10" a="1"/>
  <c r="J276" i="10" s="1"/>
  <c r="K276" i="10" a="1"/>
  <c r="K276" i="10" s="1"/>
  <c r="L276" i="10" a="1"/>
  <c r="L276" i="10" s="1"/>
  <c r="M276" i="10" a="1"/>
  <c r="M276" i="10" s="1"/>
  <c r="N276" i="10"/>
  <c r="O276" i="10"/>
  <c r="P276" i="10"/>
  <c r="D277" i="10"/>
  <c r="E277" i="10"/>
  <c r="F277" i="10"/>
  <c r="H277" i="10" a="1"/>
  <c r="H277" i="10" s="1"/>
  <c r="I277" i="10" a="1"/>
  <c r="I277" i="10" s="1"/>
  <c r="J277" i="10" a="1"/>
  <c r="J277" i="10" s="1"/>
  <c r="K277" i="10" a="1"/>
  <c r="K277" i="10" s="1"/>
  <c r="L277" i="10" a="1"/>
  <c r="L277" i="10" s="1"/>
  <c r="M277" i="10" a="1"/>
  <c r="M277" i="10" s="1"/>
  <c r="N277" i="10"/>
  <c r="O277" i="10"/>
  <c r="P277" i="10"/>
  <c r="D278" i="10"/>
  <c r="E278" i="10"/>
  <c r="F278" i="10"/>
  <c r="H278" i="10" a="1"/>
  <c r="H278" i="10" s="1"/>
  <c r="I278" i="10" a="1"/>
  <c r="I278" i="10" s="1"/>
  <c r="J278" i="10" a="1"/>
  <c r="J278" i="10" s="1"/>
  <c r="K278" i="10" a="1"/>
  <c r="K278" i="10" s="1"/>
  <c r="L278" i="10" a="1"/>
  <c r="L278" i="10" s="1"/>
  <c r="M278" i="10" a="1"/>
  <c r="M278" i="10" s="1"/>
  <c r="N278" i="10"/>
  <c r="O278" i="10"/>
  <c r="P278" i="10"/>
  <c r="D279" i="10"/>
  <c r="E279" i="10"/>
  <c r="F279" i="10"/>
  <c r="H279" i="10" a="1"/>
  <c r="H279" i="10" s="1"/>
  <c r="I279" i="10" a="1"/>
  <c r="I279" i="10" s="1"/>
  <c r="J279" i="10" a="1"/>
  <c r="J279" i="10" s="1"/>
  <c r="K279" i="10" a="1"/>
  <c r="K279" i="10" s="1"/>
  <c r="L279" i="10" a="1"/>
  <c r="L279" i="10" s="1"/>
  <c r="M279" i="10" a="1"/>
  <c r="M279" i="10" s="1"/>
  <c r="N279" i="10"/>
  <c r="O279" i="10"/>
  <c r="P279" i="10"/>
  <c r="D280" i="10"/>
  <c r="E280" i="10"/>
  <c r="F280" i="10"/>
  <c r="H280" i="10" a="1"/>
  <c r="H280" i="10" s="1"/>
  <c r="I280" i="10" a="1"/>
  <c r="I280" i="10" s="1"/>
  <c r="J280" i="10" a="1"/>
  <c r="J280" i="10" s="1"/>
  <c r="K280" i="10" a="1"/>
  <c r="K280" i="10" s="1"/>
  <c r="L280" i="10" a="1"/>
  <c r="L280" i="10" s="1"/>
  <c r="M280" i="10" a="1"/>
  <c r="M280" i="10" s="1"/>
  <c r="N280" i="10"/>
  <c r="O280" i="10"/>
  <c r="P280" i="10"/>
  <c r="D281" i="10"/>
  <c r="E281" i="10"/>
  <c r="F281" i="10"/>
  <c r="H281" i="10" a="1"/>
  <c r="H281" i="10" s="1"/>
  <c r="I281" i="10" a="1"/>
  <c r="I281" i="10" s="1"/>
  <c r="J281" i="10" a="1"/>
  <c r="J281" i="10" s="1"/>
  <c r="K281" i="10" a="1"/>
  <c r="K281" i="10" s="1"/>
  <c r="L281" i="10" a="1"/>
  <c r="L281" i="10" s="1"/>
  <c r="M281" i="10" a="1"/>
  <c r="M281" i="10" s="1"/>
  <c r="N281" i="10"/>
  <c r="O281" i="10"/>
  <c r="P281" i="10"/>
  <c r="D282" i="10"/>
  <c r="E282" i="10"/>
  <c r="F282" i="10"/>
  <c r="H282" i="10" a="1"/>
  <c r="H282" i="10" s="1"/>
  <c r="I282" i="10" a="1"/>
  <c r="I282" i="10" s="1"/>
  <c r="J282" i="10" a="1"/>
  <c r="J282" i="10" s="1"/>
  <c r="K282" i="10" a="1"/>
  <c r="K282" i="10" s="1"/>
  <c r="L282" i="10" a="1"/>
  <c r="L282" i="10" s="1"/>
  <c r="M282" i="10" a="1"/>
  <c r="M282" i="10" s="1"/>
  <c r="N282" i="10"/>
  <c r="O282" i="10"/>
  <c r="P282" i="10"/>
  <c r="D283" i="10"/>
  <c r="E283" i="10"/>
  <c r="F283" i="10"/>
  <c r="H283" i="10" a="1"/>
  <c r="H283" i="10" s="1"/>
  <c r="I283" i="10" a="1"/>
  <c r="I283" i="10" s="1"/>
  <c r="J283" i="10" a="1"/>
  <c r="J283" i="10" s="1"/>
  <c r="K283" i="10" a="1"/>
  <c r="K283" i="10" s="1"/>
  <c r="L283" i="10" a="1"/>
  <c r="L283" i="10" s="1"/>
  <c r="M283" i="10" a="1"/>
  <c r="M283" i="10" s="1"/>
  <c r="N283" i="10"/>
  <c r="O283" i="10"/>
  <c r="P283" i="10"/>
  <c r="D284" i="10"/>
  <c r="E284" i="10"/>
  <c r="F284" i="10"/>
  <c r="H284" i="10" a="1"/>
  <c r="H284" i="10" s="1"/>
  <c r="I284" i="10" a="1"/>
  <c r="I284" i="10" s="1"/>
  <c r="J284" i="10" a="1"/>
  <c r="J284" i="10" s="1"/>
  <c r="K284" i="10" a="1"/>
  <c r="K284" i="10" s="1"/>
  <c r="L284" i="10" a="1"/>
  <c r="L284" i="10" s="1"/>
  <c r="M284" i="10" a="1"/>
  <c r="M284" i="10" s="1"/>
  <c r="N284" i="10"/>
  <c r="O284" i="10"/>
  <c r="P284" i="10"/>
  <c r="D285" i="10"/>
  <c r="E285" i="10"/>
  <c r="F285" i="10"/>
  <c r="H285" i="10" a="1"/>
  <c r="H285" i="10" s="1"/>
  <c r="I285" i="10" a="1"/>
  <c r="I285" i="10" s="1"/>
  <c r="J285" i="10" a="1"/>
  <c r="J285" i="10" s="1"/>
  <c r="K285" i="10" a="1"/>
  <c r="K285" i="10" s="1"/>
  <c r="L285" i="10" a="1"/>
  <c r="L285" i="10" s="1"/>
  <c r="M285" i="10" a="1"/>
  <c r="M285" i="10" s="1"/>
  <c r="N285" i="10"/>
  <c r="O285" i="10"/>
  <c r="P285" i="10"/>
  <c r="D286" i="10"/>
  <c r="E286" i="10"/>
  <c r="F286" i="10"/>
  <c r="H286" i="10" a="1"/>
  <c r="H286" i="10" s="1"/>
  <c r="I286" i="10" a="1"/>
  <c r="I286" i="10" s="1"/>
  <c r="J286" i="10" a="1"/>
  <c r="J286" i="10" s="1"/>
  <c r="K286" i="10" a="1"/>
  <c r="K286" i="10" s="1"/>
  <c r="L286" i="10" a="1"/>
  <c r="L286" i="10" s="1"/>
  <c r="M286" i="10" a="1"/>
  <c r="M286" i="10" s="1"/>
  <c r="N286" i="10"/>
  <c r="O286" i="10"/>
  <c r="P286" i="10"/>
  <c r="D287" i="10"/>
  <c r="E287" i="10"/>
  <c r="F287" i="10"/>
  <c r="H287" i="10" a="1"/>
  <c r="H287" i="10" s="1"/>
  <c r="I287" i="10" a="1"/>
  <c r="I287" i="10" s="1"/>
  <c r="J287" i="10" a="1"/>
  <c r="J287" i="10" s="1"/>
  <c r="K287" i="10" a="1"/>
  <c r="K287" i="10" s="1"/>
  <c r="L287" i="10" a="1"/>
  <c r="L287" i="10" s="1"/>
  <c r="M287" i="10" a="1"/>
  <c r="M287" i="10" s="1"/>
  <c r="N287" i="10"/>
  <c r="O287" i="10"/>
  <c r="P287" i="10"/>
  <c r="D288" i="10"/>
  <c r="E288" i="10"/>
  <c r="F288" i="10"/>
  <c r="H288" i="10" a="1"/>
  <c r="H288" i="10" s="1"/>
  <c r="I288" i="10" a="1"/>
  <c r="I288" i="10" s="1"/>
  <c r="J288" i="10" a="1"/>
  <c r="J288" i="10" s="1"/>
  <c r="K288" i="10" a="1"/>
  <c r="K288" i="10" s="1"/>
  <c r="L288" i="10" a="1"/>
  <c r="L288" i="10" s="1"/>
  <c r="M288" i="10" a="1"/>
  <c r="M288" i="10" s="1"/>
  <c r="N288" i="10"/>
  <c r="O288" i="10"/>
  <c r="P288" i="10"/>
  <c r="D289" i="10"/>
  <c r="E289" i="10"/>
  <c r="F289" i="10"/>
  <c r="H289" i="10" a="1"/>
  <c r="H289" i="10" s="1"/>
  <c r="I289" i="10" a="1"/>
  <c r="I289" i="10" s="1"/>
  <c r="J289" i="10" a="1"/>
  <c r="J289" i="10" s="1"/>
  <c r="K289" i="10" a="1"/>
  <c r="K289" i="10" s="1"/>
  <c r="L289" i="10" a="1"/>
  <c r="L289" i="10" s="1"/>
  <c r="M289" i="10" a="1"/>
  <c r="M289" i="10" s="1"/>
  <c r="N289" i="10"/>
  <c r="O289" i="10"/>
  <c r="P289" i="10"/>
  <c r="D290" i="10"/>
  <c r="E290" i="10"/>
  <c r="F290" i="10"/>
  <c r="H290" i="10" a="1"/>
  <c r="H290" i="10" s="1"/>
  <c r="I290" i="10" a="1"/>
  <c r="I290" i="10" s="1"/>
  <c r="J290" i="10" a="1"/>
  <c r="J290" i="10" s="1"/>
  <c r="K290" i="10" a="1"/>
  <c r="K290" i="10" s="1"/>
  <c r="L290" i="10" a="1"/>
  <c r="L290" i="10" s="1"/>
  <c r="M290" i="10" a="1"/>
  <c r="M290" i="10" s="1"/>
  <c r="N290" i="10"/>
  <c r="O290" i="10"/>
  <c r="P290" i="10"/>
  <c r="D291" i="10"/>
  <c r="E291" i="10"/>
  <c r="F291" i="10"/>
  <c r="H291" i="10" a="1"/>
  <c r="H291" i="10" s="1"/>
  <c r="I291" i="10" a="1"/>
  <c r="I291" i="10" s="1"/>
  <c r="J291" i="10" a="1"/>
  <c r="J291" i="10" s="1"/>
  <c r="K291" i="10" a="1"/>
  <c r="K291" i="10" s="1"/>
  <c r="L291" i="10" a="1"/>
  <c r="L291" i="10" s="1"/>
  <c r="M291" i="10" a="1"/>
  <c r="M291" i="10" s="1"/>
  <c r="N291" i="10"/>
  <c r="O291" i="10"/>
  <c r="P291" i="10"/>
  <c r="D292" i="10"/>
  <c r="E292" i="10"/>
  <c r="F292" i="10"/>
  <c r="H292" i="10" a="1"/>
  <c r="H292" i="10" s="1"/>
  <c r="I292" i="10" a="1"/>
  <c r="I292" i="10" s="1"/>
  <c r="J292" i="10" a="1"/>
  <c r="J292" i="10" s="1"/>
  <c r="K292" i="10" a="1"/>
  <c r="K292" i="10" s="1"/>
  <c r="L292" i="10" a="1"/>
  <c r="L292" i="10" s="1"/>
  <c r="M292" i="10" a="1"/>
  <c r="M292" i="10" s="1"/>
  <c r="N292" i="10"/>
  <c r="O292" i="10"/>
  <c r="P292" i="10"/>
  <c r="D293" i="10"/>
  <c r="E293" i="10"/>
  <c r="F293" i="10"/>
  <c r="H293" i="10" a="1"/>
  <c r="H293" i="10" s="1"/>
  <c r="I293" i="10" a="1"/>
  <c r="I293" i="10" s="1"/>
  <c r="J293" i="10" a="1"/>
  <c r="J293" i="10" s="1"/>
  <c r="K293" i="10" a="1"/>
  <c r="K293" i="10" s="1"/>
  <c r="L293" i="10" a="1"/>
  <c r="L293" i="10" s="1"/>
  <c r="M293" i="10" a="1"/>
  <c r="M293" i="10" s="1"/>
  <c r="N293" i="10"/>
  <c r="O293" i="10"/>
  <c r="P293" i="10"/>
  <c r="D294" i="10"/>
  <c r="E294" i="10"/>
  <c r="F294" i="10"/>
  <c r="H294" i="10" a="1"/>
  <c r="H294" i="10" s="1"/>
  <c r="I294" i="10" a="1"/>
  <c r="I294" i="10" s="1"/>
  <c r="J294" i="10" a="1"/>
  <c r="J294" i="10" s="1"/>
  <c r="K294" i="10" a="1"/>
  <c r="K294" i="10" s="1"/>
  <c r="L294" i="10" a="1"/>
  <c r="L294" i="10" s="1"/>
  <c r="M294" i="10" a="1"/>
  <c r="M294" i="10" s="1"/>
  <c r="N294" i="10"/>
  <c r="O294" i="10"/>
  <c r="P294" i="10"/>
  <c r="D295" i="10"/>
  <c r="E295" i="10"/>
  <c r="F295" i="10"/>
  <c r="H295" i="10" a="1"/>
  <c r="H295" i="10" s="1"/>
  <c r="I295" i="10" a="1"/>
  <c r="I295" i="10" s="1"/>
  <c r="J295" i="10" a="1"/>
  <c r="J295" i="10" s="1"/>
  <c r="K295" i="10" a="1"/>
  <c r="K295" i="10" s="1"/>
  <c r="L295" i="10" a="1"/>
  <c r="L295" i="10" s="1"/>
  <c r="M295" i="10" a="1"/>
  <c r="M295" i="10" s="1"/>
  <c r="N295" i="10"/>
  <c r="O295" i="10"/>
  <c r="P295" i="10"/>
  <c r="D296" i="10"/>
  <c r="E296" i="10"/>
  <c r="F296" i="10"/>
  <c r="H296" i="10" a="1"/>
  <c r="H296" i="10" s="1"/>
  <c r="I296" i="10" a="1"/>
  <c r="I296" i="10" s="1"/>
  <c r="J296" i="10" a="1"/>
  <c r="J296" i="10" s="1"/>
  <c r="K296" i="10" a="1"/>
  <c r="K296" i="10" s="1"/>
  <c r="L296" i="10" a="1"/>
  <c r="L296" i="10" s="1"/>
  <c r="M296" i="10" a="1"/>
  <c r="M296" i="10" s="1"/>
  <c r="N296" i="10"/>
  <c r="O296" i="10"/>
  <c r="P296" i="10"/>
  <c r="D297" i="10"/>
  <c r="E297" i="10"/>
  <c r="F297" i="10"/>
  <c r="H297" i="10" a="1"/>
  <c r="H297" i="10" s="1"/>
  <c r="I297" i="10" a="1"/>
  <c r="I297" i="10" s="1"/>
  <c r="J297" i="10" a="1"/>
  <c r="J297" i="10" s="1"/>
  <c r="K297" i="10" a="1"/>
  <c r="K297" i="10" s="1"/>
  <c r="L297" i="10" a="1"/>
  <c r="L297" i="10" s="1"/>
  <c r="M297" i="10" a="1"/>
  <c r="M297" i="10" s="1"/>
  <c r="N297" i="10"/>
  <c r="O297" i="10"/>
  <c r="P297" i="10"/>
  <c r="D298" i="10"/>
  <c r="E298" i="10"/>
  <c r="F298" i="10"/>
  <c r="H298" i="10" a="1"/>
  <c r="H298" i="10" s="1"/>
  <c r="I298" i="10" a="1"/>
  <c r="I298" i="10" s="1"/>
  <c r="J298" i="10" a="1"/>
  <c r="J298" i="10" s="1"/>
  <c r="K298" i="10" a="1"/>
  <c r="K298" i="10" s="1"/>
  <c r="L298" i="10" a="1"/>
  <c r="L298" i="10" s="1"/>
  <c r="M298" i="10" a="1"/>
  <c r="M298" i="10" s="1"/>
  <c r="N298" i="10"/>
  <c r="O298" i="10"/>
  <c r="P298" i="10"/>
  <c r="D299" i="10"/>
  <c r="E299" i="10"/>
  <c r="F299" i="10"/>
  <c r="H299" i="10" a="1"/>
  <c r="H299" i="10" s="1"/>
  <c r="I299" i="10" a="1"/>
  <c r="I299" i="10" s="1"/>
  <c r="J299" i="10" a="1"/>
  <c r="J299" i="10" s="1"/>
  <c r="K299" i="10" a="1"/>
  <c r="K299" i="10" s="1"/>
  <c r="L299" i="10" a="1"/>
  <c r="L299" i="10" s="1"/>
  <c r="M299" i="10" a="1"/>
  <c r="M299" i="10" s="1"/>
  <c r="N299" i="10"/>
  <c r="O299" i="10"/>
  <c r="P299" i="10"/>
  <c r="D300" i="10"/>
  <c r="E300" i="10"/>
  <c r="F300" i="10"/>
  <c r="H300" i="10" a="1"/>
  <c r="H300" i="10" s="1"/>
  <c r="I300" i="10" a="1"/>
  <c r="I300" i="10" s="1"/>
  <c r="J300" i="10" a="1"/>
  <c r="J300" i="10" s="1"/>
  <c r="K300" i="10" a="1"/>
  <c r="K300" i="10" s="1"/>
  <c r="L300" i="10" a="1"/>
  <c r="L300" i="10" s="1"/>
  <c r="M300" i="10" a="1"/>
  <c r="M300" i="10" s="1"/>
  <c r="N300" i="10"/>
  <c r="O300" i="10"/>
  <c r="P300" i="10"/>
  <c r="D301" i="10"/>
  <c r="E301" i="10"/>
  <c r="F301" i="10"/>
  <c r="H301" i="10" a="1"/>
  <c r="H301" i="10" s="1"/>
  <c r="I301" i="10" a="1"/>
  <c r="I301" i="10" s="1"/>
  <c r="J301" i="10" a="1"/>
  <c r="J301" i="10" s="1"/>
  <c r="K301" i="10" a="1"/>
  <c r="K301" i="10" s="1"/>
  <c r="L301" i="10" a="1"/>
  <c r="L301" i="10" s="1"/>
  <c r="M301" i="10" a="1"/>
  <c r="M301" i="10" s="1"/>
  <c r="N301" i="10"/>
  <c r="O301" i="10"/>
  <c r="P301" i="10"/>
  <c r="D302" i="10"/>
  <c r="E302" i="10"/>
  <c r="F302" i="10"/>
  <c r="H302" i="10" a="1"/>
  <c r="H302" i="10" s="1"/>
  <c r="I302" i="10" a="1"/>
  <c r="I302" i="10" s="1"/>
  <c r="J302" i="10" a="1"/>
  <c r="J302" i="10" s="1"/>
  <c r="K302" i="10" a="1"/>
  <c r="K302" i="10" s="1"/>
  <c r="L302" i="10" a="1"/>
  <c r="L302" i="10" s="1"/>
  <c r="M302" i="10" a="1"/>
  <c r="M302" i="10" s="1"/>
  <c r="N302" i="10"/>
  <c r="O302" i="10"/>
  <c r="P302" i="10"/>
  <c r="D303" i="10"/>
  <c r="E303" i="10"/>
  <c r="F303" i="10"/>
  <c r="H303" i="10" a="1"/>
  <c r="H303" i="10" s="1"/>
  <c r="I303" i="10" a="1"/>
  <c r="I303" i="10" s="1"/>
  <c r="J303" i="10" a="1"/>
  <c r="J303" i="10" s="1"/>
  <c r="K303" i="10" a="1"/>
  <c r="K303" i="10" s="1"/>
  <c r="L303" i="10" a="1"/>
  <c r="L303" i="10" s="1"/>
  <c r="M303" i="10" a="1"/>
  <c r="M303" i="10" s="1"/>
  <c r="N303" i="10"/>
  <c r="O303" i="10"/>
  <c r="P303" i="10"/>
  <c r="D304" i="10"/>
  <c r="E304" i="10"/>
  <c r="F304" i="10"/>
  <c r="H304" i="10" a="1"/>
  <c r="H304" i="10" s="1"/>
  <c r="I304" i="10" a="1"/>
  <c r="I304" i="10" s="1"/>
  <c r="J304" i="10" a="1"/>
  <c r="J304" i="10" s="1"/>
  <c r="K304" i="10" a="1"/>
  <c r="K304" i="10" s="1"/>
  <c r="L304" i="10" a="1"/>
  <c r="L304" i="10" s="1"/>
  <c r="M304" i="10" a="1"/>
  <c r="M304" i="10" s="1"/>
  <c r="N304" i="10"/>
  <c r="O304" i="10"/>
  <c r="P304" i="10"/>
  <c r="D305" i="10"/>
  <c r="E305" i="10"/>
  <c r="F305" i="10"/>
  <c r="H305" i="10" a="1"/>
  <c r="H305" i="10" s="1"/>
  <c r="I305" i="10" a="1"/>
  <c r="I305" i="10" s="1"/>
  <c r="J305" i="10" a="1"/>
  <c r="J305" i="10" s="1"/>
  <c r="K305" i="10" a="1"/>
  <c r="K305" i="10" s="1"/>
  <c r="L305" i="10" a="1"/>
  <c r="L305" i="10" s="1"/>
  <c r="M305" i="10" a="1"/>
  <c r="M305" i="10" s="1"/>
  <c r="N305" i="10"/>
  <c r="O305" i="10"/>
  <c r="P305" i="10"/>
  <c r="D306" i="10"/>
  <c r="E306" i="10"/>
  <c r="F306" i="10"/>
  <c r="H306" i="10" a="1"/>
  <c r="H306" i="10" s="1"/>
  <c r="I306" i="10" a="1"/>
  <c r="I306" i="10" s="1"/>
  <c r="J306" i="10" a="1"/>
  <c r="J306" i="10" s="1"/>
  <c r="K306" i="10" a="1"/>
  <c r="K306" i="10" s="1"/>
  <c r="L306" i="10" a="1"/>
  <c r="L306" i="10" s="1"/>
  <c r="M306" i="10" a="1"/>
  <c r="M306" i="10" s="1"/>
  <c r="N306" i="10"/>
  <c r="O306" i="10"/>
  <c r="P306" i="10"/>
  <c r="D307" i="10"/>
  <c r="E307" i="10"/>
  <c r="F307" i="10"/>
  <c r="H307" i="10" a="1"/>
  <c r="H307" i="10" s="1"/>
  <c r="I307" i="10" a="1"/>
  <c r="I307" i="10" s="1"/>
  <c r="J307" i="10" a="1"/>
  <c r="J307" i="10" s="1"/>
  <c r="K307" i="10" a="1"/>
  <c r="K307" i="10" s="1"/>
  <c r="L307" i="10" a="1"/>
  <c r="L307" i="10" s="1"/>
  <c r="M307" i="10" a="1"/>
  <c r="M307" i="10" s="1"/>
  <c r="N307" i="10"/>
  <c r="O307" i="10"/>
  <c r="P307" i="10"/>
  <c r="D308" i="10"/>
  <c r="E308" i="10"/>
  <c r="F308" i="10"/>
  <c r="H308" i="10" a="1"/>
  <c r="H308" i="10" s="1"/>
  <c r="I308" i="10" a="1"/>
  <c r="I308" i="10" s="1"/>
  <c r="J308" i="10" a="1"/>
  <c r="J308" i="10" s="1"/>
  <c r="K308" i="10" a="1"/>
  <c r="K308" i="10" s="1"/>
  <c r="L308" i="10" a="1"/>
  <c r="L308" i="10" s="1"/>
  <c r="M308" i="10" a="1"/>
  <c r="M308" i="10" s="1"/>
  <c r="N308" i="10"/>
  <c r="O308" i="10"/>
  <c r="P308" i="10"/>
  <c r="D309" i="10"/>
  <c r="E309" i="10"/>
  <c r="F309" i="10"/>
  <c r="H309" i="10" a="1"/>
  <c r="H309" i="10" s="1"/>
  <c r="I309" i="10" a="1"/>
  <c r="I309" i="10" s="1"/>
  <c r="J309" i="10" a="1"/>
  <c r="J309" i="10" s="1"/>
  <c r="K309" i="10" a="1"/>
  <c r="K309" i="10" s="1"/>
  <c r="L309" i="10" a="1"/>
  <c r="L309" i="10" s="1"/>
  <c r="M309" i="10" a="1"/>
  <c r="M309" i="10" s="1"/>
  <c r="N309" i="10"/>
  <c r="O309" i="10"/>
  <c r="P309" i="10"/>
  <c r="D310" i="10"/>
  <c r="E310" i="10"/>
  <c r="F310" i="10"/>
  <c r="H310" i="10" a="1"/>
  <c r="H310" i="10" s="1"/>
  <c r="I310" i="10" a="1"/>
  <c r="I310" i="10" s="1"/>
  <c r="J310" i="10" a="1"/>
  <c r="J310" i="10" s="1"/>
  <c r="K310" i="10" a="1"/>
  <c r="K310" i="10" s="1"/>
  <c r="L310" i="10" a="1"/>
  <c r="L310" i="10" s="1"/>
  <c r="M310" i="10" a="1"/>
  <c r="M310" i="10" s="1"/>
  <c r="N310" i="10"/>
  <c r="O310" i="10"/>
  <c r="P310" i="10"/>
  <c r="D311" i="10"/>
  <c r="E311" i="10"/>
  <c r="F311" i="10"/>
  <c r="H311" i="10" a="1"/>
  <c r="H311" i="10" s="1"/>
  <c r="I311" i="10" a="1"/>
  <c r="I311" i="10" s="1"/>
  <c r="J311" i="10" a="1"/>
  <c r="J311" i="10" s="1"/>
  <c r="K311" i="10" a="1"/>
  <c r="K311" i="10" s="1"/>
  <c r="L311" i="10" a="1"/>
  <c r="L311" i="10" s="1"/>
  <c r="M311" i="10" a="1"/>
  <c r="M311" i="10" s="1"/>
  <c r="N311" i="10"/>
  <c r="O311" i="10"/>
  <c r="P311" i="10"/>
  <c r="D312" i="10"/>
  <c r="E312" i="10"/>
  <c r="F312" i="10"/>
  <c r="H312" i="10" a="1"/>
  <c r="H312" i="10" s="1"/>
  <c r="I312" i="10" a="1"/>
  <c r="I312" i="10" s="1"/>
  <c r="J312" i="10" a="1"/>
  <c r="J312" i="10" s="1"/>
  <c r="K312" i="10" a="1"/>
  <c r="K312" i="10" s="1"/>
  <c r="L312" i="10" a="1"/>
  <c r="L312" i="10" s="1"/>
  <c r="M312" i="10" a="1"/>
  <c r="M312" i="10" s="1"/>
  <c r="N312" i="10"/>
  <c r="O312" i="10"/>
  <c r="P312" i="10"/>
  <c r="D313" i="10"/>
  <c r="E313" i="10"/>
  <c r="F313" i="10"/>
  <c r="H313" i="10" a="1"/>
  <c r="H313" i="10" s="1"/>
  <c r="I313" i="10" a="1"/>
  <c r="I313" i="10" s="1"/>
  <c r="J313" i="10" a="1"/>
  <c r="J313" i="10" s="1"/>
  <c r="K313" i="10" a="1"/>
  <c r="K313" i="10" s="1"/>
  <c r="L313" i="10" a="1"/>
  <c r="L313" i="10" s="1"/>
  <c r="M313" i="10" a="1"/>
  <c r="M313" i="10" s="1"/>
  <c r="N313" i="10"/>
  <c r="O313" i="10"/>
  <c r="P313" i="10"/>
  <c r="D314" i="10"/>
  <c r="E314" i="10"/>
  <c r="F314" i="10"/>
  <c r="H314" i="10" a="1"/>
  <c r="H314" i="10" s="1"/>
  <c r="I314" i="10" a="1"/>
  <c r="I314" i="10" s="1"/>
  <c r="J314" i="10" a="1"/>
  <c r="J314" i="10" s="1"/>
  <c r="K314" i="10" a="1"/>
  <c r="K314" i="10" s="1"/>
  <c r="L314" i="10" a="1"/>
  <c r="L314" i="10" s="1"/>
  <c r="M314" i="10" a="1"/>
  <c r="M314" i="10" s="1"/>
  <c r="N314" i="10"/>
  <c r="O314" i="10"/>
  <c r="P314" i="10"/>
  <c r="D315" i="10"/>
  <c r="E315" i="10"/>
  <c r="F315" i="10"/>
  <c r="H315" i="10" a="1"/>
  <c r="H315" i="10" s="1"/>
  <c r="I315" i="10" a="1"/>
  <c r="I315" i="10" s="1"/>
  <c r="J315" i="10" a="1"/>
  <c r="J315" i="10" s="1"/>
  <c r="K315" i="10" a="1"/>
  <c r="K315" i="10" s="1"/>
  <c r="L315" i="10" a="1"/>
  <c r="L315" i="10" s="1"/>
  <c r="M315" i="10" a="1"/>
  <c r="M315" i="10" s="1"/>
  <c r="N315" i="10"/>
  <c r="O315" i="10"/>
  <c r="P315" i="10"/>
  <c r="D316" i="10"/>
  <c r="E316" i="10"/>
  <c r="F316" i="10"/>
  <c r="H316" i="10" a="1"/>
  <c r="H316" i="10" s="1"/>
  <c r="I316" i="10" a="1"/>
  <c r="I316" i="10" s="1"/>
  <c r="J316" i="10" a="1"/>
  <c r="J316" i="10" s="1"/>
  <c r="K316" i="10" a="1"/>
  <c r="K316" i="10" s="1"/>
  <c r="L316" i="10" a="1"/>
  <c r="L316" i="10" s="1"/>
  <c r="M316" i="10" a="1"/>
  <c r="M316" i="10" s="1"/>
  <c r="N316" i="10"/>
  <c r="O316" i="10"/>
  <c r="P316" i="10"/>
  <c r="D317" i="10"/>
  <c r="E317" i="10"/>
  <c r="F317" i="10"/>
  <c r="H317" i="10" a="1"/>
  <c r="H317" i="10" s="1"/>
  <c r="I317" i="10" a="1"/>
  <c r="I317" i="10" s="1"/>
  <c r="J317" i="10" a="1"/>
  <c r="J317" i="10" s="1"/>
  <c r="K317" i="10" a="1"/>
  <c r="K317" i="10" s="1"/>
  <c r="L317" i="10" a="1"/>
  <c r="L317" i="10" s="1"/>
  <c r="M317" i="10" a="1"/>
  <c r="M317" i="10" s="1"/>
  <c r="N317" i="10"/>
  <c r="O317" i="10"/>
  <c r="P317" i="10"/>
  <c r="D318" i="10"/>
  <c r="E318" i="10"/>
  <c r="F318" i="10"/>
  <c r="H318" i="10" a="1"/>
  <c r="H318" i="10" s="1"/>
  <c r="I318" i="10" a="1"/>
  <c r="I318" i="10" s="1"/>
  <c r="J318" i="10" a="1"/>
  <c r="J318" i="10" s="1"/>
  <c r="K318" i="10" a="1"/>
  <c r="K318" i="10" s="1"/>
  <c r="L318" i="10" a="1"/>
  <c r="L318" i="10" s="1"/>
  <c r="M318" i="10" a="1"/>
  <c r="M318" i="10" s="1"/>
  <c r="N318" i="10"/>
  <c r="O318" i="10"/>
  <c r="P318" i="10"/>
  <c r="D319" i="10"/>
  <c r="E319" i="10"/>
  <c r="F319" i="10"/>
  <c r="H319" i="10" a="1"/>
  <c r="H319" i="10" s="1"/>
  <c r="I319" i="10" a="1"/>
  <c r="I319" i="10" s="1"/>
  <c r="J319" i="10" a="1"/>
  <c r="J319" i="10" s="1"/>
  <c r="K319" i="10" a="1"/>
  <c r="K319" i="10" s="1"/>
  <c r="L319" i="10" a="1"/>
  <c r="L319" i="10" s="1"/>
  <c r="M319" i="10" a="1"/>
  <c r="M319" i="10" s="1"/>
  <c r="N319" i="10"/>
  <c r="O319" i="10"/>
  <c r="P319" i="10"/>
  <c r="D320" i="10"/>
  <c r="E320" i="10"/>
  <c r="F320" i="10"/>
  <c r="H320" i="10" a="1"/>
  <c r="H320" i="10" s="1"/>
  <c r="I320" i="10" a="1"/>
  <c r="I320" i="10" s="1"/>
  <c r="J320" i="10" a="1"/>
  <c r="J320" i="10" s="1"/>
  <c r="K320" i="10" a="1"/>
  <c r="K320" i="10" s="1"/>
  <c r="L320" i="10" a="1"/>
  <c r="L320" i="10" s="1"/>
  <c r="M320" i="10" a="1"/>
  <c r="M320" i="10" s="1"/>
  <c r="N320" i="10"/>
  <c r="O320" i="10"/>
  <c r="P320" i="10"/>
  <c r="D321" i="10"/>
  <c r="E321" i="10"/>
  <c r="F321" i="10"/>
  <c r="H321" i="10" a="1"/>
  <c r="H321" i="10" s="1"/>
  <c r="I321" i="10" a="1"/>
  <c r="I321" i="10" s="1"/>
  <c r="J321" i="10" a="1"/>
  <c r="J321" i="10" s="1"/>
  <c r="K321" i="10" a="1"/>
  <c r="K321" i="10" s="1"/>
  <c r="L321" i="10" a="1"/>
  <c r="L321" i="10" s="1"/>
  <c r="M321" i="10" a="1"/>
  <c r="M321" i="10" s="1"/>
  <c r="N321" i="10"/>
  <c r="O321" i="10"/>
  <c r="P321" i="10"/>
  <c r="D322" i="10"/>
  <c r="E322" i="10"/>
  <c r="F322" i="10"/>
  <c r="H322" i="10" a="1"/>
  <c r="H322" i="10" s="1"/>
  <c r="I322" i="10" a="1"/>
  <c r="I322" i="10" s="1"/>
  <c r="J322" i="10" a="1"/>
  <c r="J322" i="10" s="1"/>
  <c r="K322" i="10" a="1"/>
  <c r="K322" i="10" s="1"/>
  <c r="L322" i="10" a="1"/>
  <c r="L322" i="10" s="1"/>
  <c r="M322" i="10" a="1"/>
  <c r="M322" i="10" s="1"/>
  <c r="N322" i="10"/>
  <c r="O322" i="10"/>
  <c r="P322" i="10"/>
  <c r="D323" i="10"/>
  <c r="E323" i="10"/>
  <c r="F323" i="10"/>
  <c r="H323" i="10" a="1"/>
  <c r="H323" i="10" s="1"/>
  <c r="I323" i="10" a="1"/>
  <c r="I323" i="10" s="1"/>
  <c r="J323" i="10" a="1"/>
  <c r="J323" i="10" s="1"/>
  <c r="K323" i="10" a="1"/>
  <c r="K323" i="10" s="1"/>
  <c r="L323" i="10" a="1"/>
  <c r="L323" i="10" s="1"/>
  <c r="M323" i="10" a="1"/>
  <c r="M323" i="10" s="1"/>
  <c r="N323" i="10"/>
  <c r="O323" i="10"/>
  <c r="P323" i="10"/>
  <c r="D324" i="10"/>
  <c r="E324" i="10"/>
  <c r="F324" i="10"/>
  <c r="H324" i="10" a="1"/>
  <c r="H324" i="10" s="1"/>
  <c r="I324" i="10" a="1"/>
  <c r="I324" i="10" s="1"/>
  <c r="J324" i="10" a="1"/>
  <c r="J324" i="10" s="1"/>
  <c r="K324" i="10" a="1"/>
  <c r="K324" i="10" s="1"/>
  <c r="L324" i="10" a="1"/>
  <c r="L324" i="10" s="1"/>
  <c r="M324" i="10" a="1"/>
  <c r="M324" i="10" s="1"/>
  <c r="N324" i="10"/>
  <c r="O324" i="10"/>
  <c r="P324" i="10"/>
  <c r="D325" i="10"/>
  <c r="E325" i="10"/>
  <c r="F325" i="10"/>
  <c r="H325" i="10" a="1"/>
  <c r="H325" i="10" s="1"/>
  <c r="I325" i="10" a="1"/>
  <c r="I325" i="10" s="1"/>
  <c r="J325" i="10" a="1"/>
  <c r="J325" i="10" s="1"/>
  <c r="K325" i="10" a="1"/>
  <c r="K325" i="10" s="1"/>
  <c r="L325" i="10" a="1"/>
  <c r="L325" i="10" s="1"/>
  <c r="M325" i="10" a="1"/>
  <c r="M325" i="10" s="1"/>
  <c r="N325" i="10"/>
  <c r="O325" i="10"/>
  <c r="P325" i="10"/>
  <c r="D326" i="10"/>
  <c r="E326" i="10"/>
  <c r="F326" i="10"/>
  <c r="H326" i="10" a="1"/>
  <c r="H326" i="10" s="1"/>
  <c r="I326" i="10" a="1"/>
  <c r="I326" i="10" s="1"/>
  <c r="J326" i="10" a="1"/>
  <c r="J326" i="10" s="1"/>
  <c r="K326" i="10" a="1"/>
  <c r="K326" i="10" s="1"/>
  <c r="L326" i="10" a="1"/>
  <c r="L326" i="10" s="1"/>
  <c r="M326" i="10" a="1"/>
  <c r="M326" i="10" s="1"/>
  <c r="N326" i="10"/>
  <c r="O326" i="10"/>
  <c r="P326" i="10"/>
  <c r="D327" i="10"/>
  <c r="E327" i="10"/>
  <c r="F327" i="10"/>
  <c r="H327" i="10" a="1"/>
  <c r="H327" i="10" s="1"/>
  <c r="I327" i="10" a="1"/>
  <c r="I327" i="10" s="1"/>
  <c r="J327" i="10" a="1"/>
  <c r="J327" i="10" s="1"/>
  <c r="K327" i="10" a="1"/>
  <c r="K327" i="10" s="1"/>
  <c r="L327" i="10" a="1"/>
  <c r="L327" i="10" s="1"/>
  <c r="M327" i="10" a="1"/>
  <c r="M327" i="10" s="1"/>
  <c r="N327" i="10"/>
  <c r="O327" i="10"/>
  <c r="P327" i="10"/>
  <c r="D328" i="10"/>
  <c r="E328" i="10"/>
  <c r="F328" i="10"/>
  <c r="H328" i="10" a="1"/>
  <c r="H328" i="10" s="1"/>
  <c r="I328" i="10" a="1"/>
  <c r="I328" i="10" s="1"/>
  <c r="J328" i="10" a="1"/>
  <c r="J328" i="10" s="1"/>
  <c r="K328" i="10" a="1"/>
  <c r="K328" i="10" s="1"/>
  <c r="L328" i="10" a="1"/>
  <c r="L328" i="10" s="1"/>
  <c r="M328" i="10" a="1"/>
  <c r="M328" i="10" s="1"/>
  <c r="N328" i="10"/>
  <c r="O328" i="10"/>
  <c r="P328" i="10"/>
  <c r="D329" i="10"/>
  <c r="E329" i="10"/>
  <c r="F329" i="10"/>
  <c r="H329" i="10" a="1"/>
  <c r="H329" i="10" s="1"/>
  <c r="I329" i="10" a="1"/>
  <c r="I329" i="10" s="1"/>
  <c r="J329" i="10" a="1"/>
  <c r="J329" i="10" s="1"/>
  <c r="K329" i="10" a="1"/>
  <c r="K329" i="10" s="1"/>
  <c r="L329" i="10" a="1"/>
  <c r="L329" i="10" s="1"/>
  <c r="M329" i="10" a="1"/>
  <c r="M329" i="10" s="1"/>
  <c r="N329" i="10"/>
  <c r="O329" i="10"/>
  <c r="P329" i="10"/>
  <c r="D330" i="10"/>
  <c r="E330" i="10"/>
  <c r="F330" i="10"/>
  <c r="H330" i="10" a="1"/>
  <c r="H330" i="10" s="1"/>
  <c r="I330" i="10" a="1"/>
  <c r="I330" i="10" s="1"/>
  <c r="J330" i="10" a="1"/>
  <c r="J330" i="10" s="1"/>
  <c r="K330" i="10" a="1"/>
  <c r="K330" i="10" s="1"/>
  <c r="L330" i="10" a="1"/>
  <c r="L330" i="10" s="1"/>
  <c r="M330" i="10" a="1"/>
  <c r="M330" i="10" s="1"/>
  <c r="N330" i="10"/>
  <c r="O330" i="10"/>
  <c r="P330" i="10"/>
  <c r="D331" i="10"/>
  <c r="E331" i="10"/>
  <c r="F331" i="10"/>
  <c r="H331" i="10" a="1"/>
  <c r="H331" i="10" s="1"/>
  <c r="I331" i="10" a="1"/>
  <c r="I331" i="10" s="1"/>
  <c r="J331" i="10" a="1"/>
  <c r="J331" i="10" s="1"/>
  <c r="K331" i="10" a="1"/>
  <c r="K331" i="10" s="1"/>
  <c r="L331" i="10" a="1"/>
  <c r="L331" i="10" s="1"/>
  <c r="M331" i="10" a="1"/>
  <c r="M331" i="10" s="1"/>
  <c r="N331" i="10"/>
  <c r="O331" i="10"/>
  <c r="P331" i="10"/>
  <c r="D332" i="10"/>
  <c r="E332" i="10"/>
  <c r="F332" i="10"/>
  <c r="H332" i="10" a="1"/>
  <c r="H332" i="10" s="1"/>
  <c r="I332" i="10" a="1"/>
  <c r="I332" i="10" s="1"/>
  <c r="J332" i="10" a="1"/>
  <c r="J332" i="10" s="1"/>
  <c r="K332" i="10" a="1"/>
  <c r="K332" i="10" s="1"/>
  <c r="L332" i="10" a="1"/>
  <c r="L332" i="10" s="1"/>
  <c r="M332" i="10" a="1"/>
  <c r="M332" i="10" s="1"/>
  <c r="N332" i="10"/>
  <c r="O332" i="10"/>
  <c r="P332" i="10"/>
  <c r="D333" i="10"/>
  <c r="E333" i="10"/>
  <c r="F333" i="10"/>
  <c r="H333" i="10" a="1"/>
  <c r="H333" i="10" s="1"/>
  <c r="I333" i="10" a="1"/>
  <c r="I333" i="10" s="1"/>
  <c r="J333" i="10" a="1"/>
  <c r="J333" i="10" s="1"/>
  <c r="K333" i="10" a="1"/>
  <c r="K333" i="10" s="1"/>
  <c r="L333" i="10" a="1"/>
  <c r="L333" i="10" s="1"/>
  <c r="M333" i="10" a="1"/>
  <c r="M333" i="10" s="1"/>
  <c r="N333" i="10"/>
  <c r="O333" i="10"/>
  <c r="P333" i="10"/>
  <c r="D334" i="10"/>
  <c r="E334" i="10"/>
  <c r="F334" i="10"/>
  <c r="H334" i="10" a="1"/>
  <c r="H334" i="10" s="1"/>
  <c r="I334" i="10" a="1"/>
  <c r="I334" i="10" s="1"/>
  <c r="J334" i="10" a="1"/>
  <c r="J334" i="10" s="1"/>
  <c r="K334" i="10" a="1"/>
  <c r="K334" i="10" s="1"/>
  <c r="L334" i="10" a="1"/>
  <c r="L334" i="10" s="1"/>
  <c r="M334" i="10" a="1"/>
  <c r="M334" i="10" s="1"/>
  <c r="N334" i="10"/>
  <c r="O334" i="10"/>
  <c r="P334" i="10"/>
  <c r="D335" i="10"/>
  <c r="E335" i="10"/>
  <c r="F335" i="10"/>
  <c r="H335" i="10" a="1"/>
  <c r="H335" i="10" s="1"/>
  <c r="I335" i="10" a="1"/>
  <c r="I335" i="10" s="1"/>
  <c r="J335" i="10" a="1"/>
  <c r="J335" i="10" s="1"/>
  <c r="K335" i="10" a="1"/>
  <c r="K335" i="10" s="1"/>
  <c r="L335" i="10" a="1"/>
  <c r="L335" i="10" s="1"/>
  <c r="M335" i="10" a="1"/>
  <c r="M335" i="10" s="1"/>
  <c r="N335" i="10"/>
  <c r="O335" i="10"/>
  <c r="P335" i="10"/>
  <c r="D336" i="10"/>
  <c r="E336" i="10"/>
  <c r="F336" i="10"/>
  <c r="H336" i="10" a="1"/>
  <c r="H336" i="10" s="1"/>
  <c r="I336" i="10" a="1"/>
  <c r="I336" i="10" s="1"/>
  <c r="J336" i="10" a="1"/>
  <c r="J336" i="10" s="1"/>
  <c r="K336" i="10" a="1"/>
  <c r="K336" i="10" s="1"/>
  <c r="L336" i="10" a="1"/>
  <c r="L336" i="10" s="1"/>
  <c r="M336" i="10" a="1"/>
  <c r="M336" i="10" s="1"/>
  <c r="N336" i="10"/>
  <c r="O336" i="10"/>
  <c r="P336" i="10"/>
  <c r="D337" i="10"/>
  <c r="E337" i="10"/>
  <c r="F337" i="10"/>
  <c r="H337" i="10" a="1"/>
  <c r="H337" i="10" s="1"/>
  <c r="I337" i="10" a="1"/>
  <c r="I337" i="10" s="1"/>
  <c r="J337" i="10" a="1"/>
  <c r="J337" i="10" s="1"/>
  <c r="K337" i="10" a="1"/>
  <c r="K337" i="10" s="1"/>
  <c r="L337" i="10" a="1"/>
  <c r="L337" i="10" s="1"/>
  <c r="M337" i="10" a="1"/>
  <c r="M337" i="10" s="1"/>
  <c r="N337" i="10"/>
  <c r="O337" i="10"/>
  <c r="P337" i="10"/>
  <c r="D338" i="10"/>
  <c r="E338" i="10"/>
  <c r="F338" i="10"/>
  <c r="H338" i="10" a="1"/>
  <c r="H338" i="10" s="1"/>
  <c r="I338" i="10" a="1"/>
  <c r="I338" i="10" s="1"/>
  <c r="J338" i="10" a="1"/>
  <c r="J338" i="10" s="1"/>
  <c r="K338" i="10" a="1"/>
  <c r="K338" i="10" s="1"/>
  <c r="L338" i="10" a="1"/>
  <c r="L338" i="10" s="1"/>
  <c r="M338" i="10" a="1"/>
  <c r="M338" i="10" s="1"/>
  <c r="N338" i="10"/>
  <c r="O338" i="10"/>
  <c r="P338" i="10"/>
  <c r="D339" i="10"/>
  <c r="E339" i="10"/>
  <c r="F339" i="10"/>
  <c r="H339" i="10" a="1"/>
  <c r="H339" i="10" s="1"/>
  <c r="I339" i="10" a="1"/>
  <c r="I339" i="10" s="1"/>
  <c r="J339" i="10" a="1"/>
  <c r="J339" i="10" s="1"/>
  <c r="K339" i="10" a="1"/>
  <c r="K339" i="10" s="1"/>
  <c r="L339" i="10" a="1"/>
  <c r="L339" i="10" s="1"/>
  <c r="M339" i="10" a="1"/>
  <c r="M339" i="10" s="1"/>
  <c r="N339" i="10"/>
  <c r="O339" i="10"/>
  <c r="P339" i="10"/>
  <c r="D340" i="10"/>
  <c r="E340" i="10"/>
  <c r="F340" i="10"/>
  <c r="H340" i="10" a="1"/>
  <c r="H340" i="10" s="1"/>
  <c r="I340" i="10" a="1"/>
  <c r="I340" i="10" s="1"/>
  <c r="J340" i="10" a="1"/>
  <c r="J340" i="10" s="1"/>
  <c r="K340" i="10" a="1"/>
  <c r="K340" i="10" s="1"/>
  <c r="L340" i="10" a="1"/>
  <c r="L340" i="10" s="1"/>
  <c r="M340" i="10" a="1"/>
  <c r="M340" i="10" s="1"/>
  <c r="N340" i="10"/>
  <c r="O340" i="10"/>
  <c r="P340" i="10"/>
  <c r="D341" i="10"/>
  <c r="E341" i="10"/>
  <c r="F341" i="10"/>
  <c r="H341" i="10" a="1"/>
  <c r="H341" i="10" s="1"/>
  <c r="I341" i="10" a="1"/>
  <c r="I341" i="10" s="1"/>
  <c r="J341" i="10" a="1"/>
  <c r="J341" i="10" s="1"/>
  <c r="K341" i="10" a="1"/>
  <c r="K341" i="10" s="1"/>
  <c r="L341" i="10" a="1"/>
  <c r="L341" i="10" s="1"/>
  <c r="M341" i="10" a="1"/>
  <c r="M341" i="10" s="1"/>
  <c r="N341" i="10"/>
  <c r="O341" i="10"/>
  <c r="P341" i="10"/>
  <c r="D342" i="10"/>
  <c r="E342" i="10"/>
  <c r="F342" i="10"/>
  <c r="H342" i="10" a="1"/>
  <c r="H342" i="10" s="1"/>
  <c r="I342" i="10" a="1"/>
  <c r="I342" i="10" s="1"/>
  <c r="J342" i="10" a="1"/>
  <c r="J342" i="10" s="1"/>
  <c r="K342" i="10" a="1"/>
  <c r="K342" i="10" s="1"/>
  <c r="L342" i="10" a="1"/>
  <c r="L342" i="10" s="1"/>
  <c r="M342" i="10" a="1"/>
  <c r="M342" i="10" s="1"/>
  <c r="N342" i="10"/>
  <c r="O342" i="10"/>
  <c r="P342" i="10"/>
  <c r="D343" i="10"/>
  <c r="E343" i="10"/>
  <c r="F343" i="10"/>
  <c r="H343" i="10" a="1"/>
  <c r="H343" i="10" s="1"/>
  <c r="I343" i="10" a="1"/>
  <c r="I343" i="10" s="1"/>
  <c r="J343" i="10" a="1"/>
  <c r="J343" i="10" s="1"/>
  <c r="K343" i="10" a="1"/>
  <c r="K343" i="10" s="1"/>
  <c r="L343" i="10" a="1"/>
  <c r="L343" i="10" s="1"/>
  <c r="M343" i="10" a="1"/>
  <c r="M343" i="10" s="1"/>
  <c r="N343" i="10"/>
  <c r="O343" i="10"/>
  <c r="P343" i="10"/>
  <c r="D344" i="10"/>
  <c r="E344" i="10"/>
  <c r="F344" i="10"/>
  <c r="H344" i="10" a="1"/>
  <c r="H344" i="10" s="1"/>
  <c r="I344" i="10" a="1"/>
  <c r="I344" i="10" s="1"/>
  <c r="J344" i="10" a="1"/>
  <c r="J344" i="10" s="1"/>
  <c r="K344" i="10" a="1"/>
  <c r="K344" i="10" s="1"/>
  <c r="L344" i="10" a="1"/>
  <c r="L344" i="10" s="1"/>
  <c r="M344" i="10" a="1"/>
  <c r="M344" i="10" s="1"/>
  <c r="N344" i="10"/>
  <c r="O344" i="10"/>
  <c r="P344" i="10"/>
  <c r="D345" i="10"/>
  <c r="E345" i="10"/>
  <c r="F345" i="10"/>
  <c r="H345" i="10" a="1"/>
  <c r="H345" i="10" s="1"/>
  <c r="I345" i="10" a="1"/>
  <c r="I345" i="10" s="1"/>
  <c r="J345" i="10" a="1"/>
  <c r="J345" i="10" s="1"/>
  <c r="K345" i="10" a="1"/>
  <c r="K345" i="10" s="1"/>
  <c r="L345" i="10" a="1"/>
  <c r="L345" i="10" s="1"/>
  <c r="M345" i="10" a="1"/>
  <c r="M345" i="10" s="1"/>
  <c r="N345" i="10"/>
  <c r="O345" i="10"/>
  <c r="P345" i="10"/>
  <c r="D346" i="10"/>
  <c r="E346" i="10"/>
  <c r="F346" i="10"/>
  <c r="H346" i="10" a="1"/>
  <c r="H346" i="10" s="1"/>
  <c r="I346" i="10" a="1"/>
  <c r="I346" i="10" s="1"/>
  <c r="J346" i="10" a="1"/>
  <c r="J346" i="10" s="1"/>
  <c r="K346" i="10" a="1"/>
  <c r="K346" i="10" s="1"/>
  <c r="L346" i="10" a="1"/>
  <c r="L346" i="10" s="1"/>
  <c r="M346" i="10" a="1"/>
  <c r="M346" i="10" s="1"/>
  <c r="N346" i="10"/>
  <c r="O346" i="10"/>
  <c r="P346" i="10"/>
  <c r="D347" i="10"/>
  <c r="E347" i="10"/>
  <c r="F347" i="10"/>
  <c r="H347" i="10" a="1"/>
  <c r="H347" i="10" s="1"/>
  <c r="I347" i="10" a="1"/>
  <c r="I347" i="10" s="1"/>
  <c r="J347" i="10" a="1"/>
  <c r="J347" i="10" s="1"/>
  <c r="K347" i="10" a="1"/>
  <c r="K347" i="10" s="1"/>
  <c r="L347" i="10" a="1"/>
  <c r="L347" i="10" s="1"/>
  <c r="M347" i="10" a="1"/>
  <c r="M347" i="10" s="1"/>
  <c r="N347" i="10"/>
  <c r="O347" i="10"/>
  <c r="P347" i="10"/>
  <c r="D348" i="10"/>
  <c r="E348" i="10"/>
  <c r="F348" i="10"/>
  <c r="H348" i="10" a="1"/>
  <c r="H348" i="10" s="1"/>
  <c r="I348" i="10" a="1"/>
  <c r="I348" i="10" s="1"/>
  <c r="J348" i="10" a="1"/>
  <c r="J348" i="10" s="1"/>
  <c r="K348" i="10" a="1"/>
  <c r="K348" i="10" s="1"/>
  <c r="L348" i="10" a="1"/>
  <c r="L348" i="10" s="1"/>
  <c r="M348" i="10" a="1"/>
  <c r="M348" i="10" s="1"/>
  <c r="N348" i="10"/>
  <c r="O348" i="10"/>
  <c r="P348" i="10"/>
  <c r="D349" i="10"/>
  <c r="E349" i="10"/>
  <c r="F349" i="10"/>
  <c r="H349" i="10" a="1"/>
  <c r="H349" i="10" s="1"/>
  <c r="I349" i="10" a="1"/>
  <c r="I349" i="10" s="1"/>
  <c r="J349" i="10" a="1"/>
  <c r="J349" i="10" s="1"/>
  <c r="K349" i="10" a="1"/>
  <c r="K349" i="10" s="1"/>
  <c r="L349" i="10" a="1"/>
  <c r="L349" i="10" s="1"/>
  <c r="M349" i="10" a="1"/>
  <c r="M349" i="10" s="1"/>
  <c r="N349" i="10"/>
  <c r="O349" i="10"/>
  <c r="P349" i="10"/>
  <c r="D350" i="10"/>
  <c r="E350" i="10"/>
  <c r="F350" i="10"/>
  <c r="H350" i="10" a="1"/>
  <c r="H350" i="10" s="1"/>
  <c r="I350" i="10" a="1"/>
  <c r="I350" i="10" s="1"/>
  <c r="J350" i="10" a="1"/>
  <c r="J350" i="10" s="1"/>
  <c r="K350" i="10" a="1"/>
  <c r="K350" i="10" s="1"/>
  <c r="L350" i="10" a="1"/>
  <c r="L350" i="10" s="1"/>
  <c r="M350" i="10" a="1"/>
  <c r="M350" i="10" s="1"/>
  <c r="N350" i="10"/>
  <c r="O350" i="10"/>
  <c r="P350" i="10"/>
  <c r="D351" i="10"/>
  <c r="E351" i="10"/>
  <c r="F351" i="10"/>
  <c r="H351" i="10" a="1"/>
  <c r="H351" i="10" s="1"/>
  <c r="I351" i="10" a="1"/>
  <c r="I351" i="10" s="1"/>
  <c r="J351" i="10" a="1"/>
  <c r="J351" i="10" s="1"/>
  <c r="K351" i="10" a="1"/>
  <c r="K351" i="10" s="1"/>
  <c r="L351" i="10" a="1"/>
  <c r="L351" i="10" s="1"/>
  <c r="M351" i="10" a="1"/>
  <c r="M351" i="10" s="1"/>
  <c r="N351" i="10"/>
  <c r="O351" i="10"/>
  <c r="P351" i="10"/>
  <c r="D352" i="10"/>
  <c r="E352" i="10"/>
  <c r="F352" i="10"/>
  <c r="H352" i="10" a="1"/>
  <c r="H352" i="10" s="1"/>
  <c r="I352" i="10" a="1"/>
  <c r="I352" i="10" s="1"/>
  <c r="J352" i="10" a="1"/>
  <c r="J352" i="10" s="1"/>
  <c r="K352" i="10" a="1"/>
  <c r="K352" i="10" s="1"/>
  <c r="L352" i="10" a="1"/>
  <c r="L352" i="10" s="1"/>
  <c r="M352" i="10" a="1"/>
  <c r="M352" i="10" s="1"/>
  <c r="N352" i="10"/>
  <c r="O352" i="10"/>
  <c r="P352" i="10"/>
  <c r="D353" i="10"/>
  <c r="E353" i="10"/>
  <c r="F353" i="10"/>
  <c r="H353" i="10" a="1"/>
  <c r="H353" i="10" s="1"/>
  <c r="I353" i="10" a="1"/>
  <c r="I353" i="10" s="1"/>
  <c r="J353" i="10" a="1"/>
  <c r="J353" i="10" s="1"/>
  <c r="K353" i="10" a="1"/>
  <c r="K353" i="10" s="1"/>
  <c r="L353" i="10" a="1"/>
  <c r="L353" i="10" s="1"/>
  <c r="M353" i="10" a="1"/>
  <c r="M353" i="10" s="1"/>
  <c r="N353" i="10"/>
  <c r="O353" i="10"/>
  <c r="P353" i="10"/>
  <c r="D354" i="10"/>
  <c r="E354" i="10"/>
  <c r="F354" i="10"/>
  <c r="H354" i="10" a="1"/>
  <c r="H354" i="10" s="1"/>
  <c r="I354" i="10" a="1"/>
  <c r="I354" i="10" s="1"/>
  <c r="J354" i="10" a="1"/>
  <c r="J354" i="10" s="1"/>
  <c r="K354" i="10" a="1"/>
  <c r="K354" i="10" s="1"/>
  <c r="L354" i="10" a="1"/>
  <c r="L354" i="10" s="1"/>
  <c r="M354" i="10" a="1"/>
  <c r="M354" i="10" s="1"/>
  <c r="N354" i="10"/>
  <c r="O354" i="10"/>
  <c r="P354" i="10"/>
  <c r="D355" i="10"/>
  <c r="E355" i="10"/>
  <c r="F355" i="10"/>
  <c r="H355" i="10" a="1"/>
  <c r="H355" i="10" s="1"/>
  <c r="I355" i="10" a="1"/>
  <c r="I355" i="10" s="1"/>
  <c r="J355" i="10" a="1"/>
  <c r="J355" i="10" s="1"/>
  <c r="K355" i="10" a="1"/>
  <c r="K355" i="10" s="1"/>
  <c r="L355" i="10" a="1"/>
  <c r="L355" i="10" s="1"/>
  <c r="M355" i="10" a="1"/>
  <c r="M355" i="10" s="1"/>
  <c r="N355" i="10"/>
  <c r="O355" i="10"/>
  <c r="P355" i="10"/>
  <c r="D356" i="10"/>
  <c r="E356" i="10"/>
  <c r="F356" i="10"/>
  <c r="H356" i="10" a="1"/>
  <c r="H356" i="10" s="1"/>
  <c r="I356" i="10" a="1"/>
  <c r="I356" i="10" s="1"/>
  <c r="J356" i="10" a="1"/>
  <c r="J356" i="10" s="1"/>
  <c r="K356" i="10" a="1"/>
  <c r="K356" i="10" s="1"/>
  <c r="L356" i="10" a="1"/>
  <c r="L356" i="10" s="1"/>
  <c r="M356" i="10" a="1"/>
  <c r="M356" i="10" s="1"/>
  <c r="N356" i="10"/>
  <c r="O356" i="10"/>
  <c r="P356" i="10"/>
  <c r="D357" i="10"/>
  <c r="E357" i="10"/>
  <c r="F357" i="10"/>
  <c r="H357" i="10" a="1"/>
  <c r="H357" i="10" s="1"/>
  <c r="I357" i="10" a="1"/>
  <c r="I357" i="10" s="1"/>
  <c r="J357" i="10" a="1"/>
  <c r="J357" i="10" s="1"/>
  <c r="K357" i="10" a="1"/>
  <c r="K357" i="10" s="1"/>
  <c r="L357" i="10" a="1"/>
  <c r="L357" i="10" s="1"/>
  <c r="M357" i="10" a="1"/>
  <c r="M357" i="10" s="1"/>
  <c r="N357" i="10"/>
  <c r="O357" i="10"/>
  <c r="P357" i="10"/>
  <c r="D358" i="10"/>
  <c r="E358" i="10"/>
  <c r="F358" i="10"/>
  <c r="H358" i="10" a="1"/>
  <c r="H358" i="10" s="1"/>
  <c r="I358" i="10" a="1"/>
  <c r="I358" i="10" s="1"/>
  <c r="J358" i="10" a="1"/>
  <c r="J358" i="10" s="1"/>
  <c r="K358" i="10" a="1"/>
  <c r="K358" i="10" s="1"/>
  <c r="L358" i="10" a="1"/>
  <c r="L358" i="10" s="1"/>
  <c r="M358" i="10" a="1"/>
  <c r="M358" i="10" s="1"/>
  <c r="N358" i="10"/>
  <c r="O358" i="10"/>
  <c r="P358" i="10"/>
  <c r="D359" i="10"/>
  <c r="E359" i="10"/>
  <c r="F359" i="10"/>
  <c r="H359" i="10" a="1"/>
  <c r="H359" i="10" s="1"/>
  <c r="I359" i="10" a="1"/>
  <c r="I359" i="10" s="1"/>
  <c r="J359" i="10" a="1"/>
  <c r="J359" i="10" s="1"/>
  <c r="K359" i="10" a="1"/>
  <c r="K359" i="10" s="1"/>
  <c r="L359" i="10" a="1"/>
  <c r="L359" i="10" s="1"/>
  <c r="M359" i="10" a="1"/>
  <c r="M359" i="10" s="1"/>
  <c r="N359" i="10"/>
  <c r="O359" i="10"/>
  <c r="P359" i="10"/>
  <c r="D360" i="10"/>
  <c r="E360" i="10"/>
  <c r="F360" i="10"/>
  <c r="H360" i="10" a="1"/>
  <c r="H360" i="10" s="1"/>
  <c r="I360" i="10" a="1"/>
  <c r="I360" i="10" s="1"/>
  <c r="J360" i="10" a="1"/>
  <c r="J360" i="10" s="1"/>
  <c r="K360" i="10" a="1"/>
  <c r="K360" i="10" s="1"/>
  <c r="L360" i="10" a="1"/>
  <c r="L360" i="10" s="1"/>
  <c r="M360" i="10" a="1"/>
  <c r="M360" i="10" s="1"/>
  <c r="N360" i="10"/>
  <c r="O360" i="10"/>
  <c r="P360" i="10"/>
  <c r="D361" i="10"/>
  <c r="E361" i="10"/>
  <c r="F361" i="10"/>
  <c r="H361" i="10" a="1"/>
  <c r="H361" i="10" s="1"/>
  <c r="I361" i="10" a="1"/>
  <c r="I361" i="10" s="1"/>
  <c r="J361" i="10" a="1"/>
  <c r="J361" i="10" s="1"/>
  <c r="K361" i="10" a="1"/>
  <c r="K361" i="10" s="1"/>
  <c r="L361" i="10" a="1"/>
  <c r="L361" i="10" s="1"/>
  <c r="M361" i="10" a="1"/>
  <c r="M361" i="10" s="1"/>
  <c r="N361" i="10"/>
  <c r="O361" i="10"/>
  <c r="P361" i="10"/>
  <c r="D362" i="10"/>
  <c r="E362" i="10"/>
  <c r="F362" i="10"/>
  <c r="H362" i="10" a="1"/>
  <c r="H362" i="10" s="1"/>
  <c r="I362" i="10" a="1"/>
  <c r="I362" i="10" s="1"/>
  <c r="J362" i="10" a="1"/>
  <c r="J362" i="10" s="1"/>
  <c r="K362" i="10" a="1"/>
  <c r="K362" i="10" s="1"/>
  <c r="L362" i="10" a="1"/>
  <c r="L362" i="10" s="1"/>
  <c r="M362" i="10" a="1"/>
  <c r="M362" i="10" s="1"/>
  <c r="N362" i="10"/>
  <c r="O362" i="10"/>
  <c r="P362" i="10"/>
  <c r="D363" i="10"/>
  <c r="E363" i="10"/>
  <c r="F363" i="10"/>
  <c r="G363" i="10"/>
  <c r="H363" i="10" a="1"/>
  <c r="H363" i="10" s="1"/>
  <c r="I363" i="10" a="1"/>
  <c r="I363" i="10" s="1"/>
  <c r="J363" i="10" a="1"/>
  <c r="J363" i="10" s="1"/>
  <c r="K363" i="10" a="1"/>
  <c r="K363" i="10" s="1"/>
  <c r="L363" i="10" a="1"/>
  <c r="L363" i="10" s="1"/>
  <c r="M363" i="10" a="1"/>
  <c r="M363" i="10" s="1"/>
  <c r="N363" i="10"/>
  <c r="O363" i="10"/>
  <c r="P363" i="10"/>
  <c r="D364" i="10"/>
  <c r="E364" i="10"/>
  <c r="F364" i="10"/>
  <c r="G364" i="10"/>
  <c r="H364" i="10" a="1"/>
  <c r="H364" i="10" s="1"/>
  <c r="I364" i="10" a="1"/>
  <c r="I364" i="10" s="1"/>
  <c r="J364" i="10" a="1"/>
  <c r="J364" i="10" s="1"/>
  <c r="K364" i="10" a="1"/>
  <c r="K364" i="10" s="1"/>
  <c r="L364" i="10" a="1"/>
  <c r="L364" i="10" s="1"/>
  <c r="M364" i="10" a="1"/>
  <c r="M364" i="10" s="1"/>
  <c r="N364" i="10"/>
  <c r="O364" i="10"/>
  <c r="P364" i="10"/>
  <c r="D365" i="10"/>
  <c r="E365" i="10"/>
  <c r="F365" i="10"/>
  <c r="G365" i="10"/>
  <c r="H365" i="10" a="1"/>
  <c r="H365" i="10" s="1"/>
  <c r="I365" i="10" a="1"/>
  <c r="I365" i="10" s="1"/>
  <c r="J365" i="10" a="1"/>
  <c r="J365" i="10" s="1"/>
  <c r="K365" i="10" a="1"/>
  <c r="K365" i="10" s="1"/>
  <c r="L365" i="10" a="1"/>
  <c r="L365" i="10" s="1"/>
  <c r="M365" i="10" a="1"/>
  <c r="M365" i="10" s="1"/>
  <c r="N365" i="10"/>
  <c r="O365" i="10"/>
  <c r="P365" i="10"/>
  <c r="D366" i="10"/>
  <c r="E366" i="10"/>
  <c r="F366" i="10"/>
  <c r="G366" i="10"/>
  <c r="H366" i="10" a="1"/>
  <c r="H366" i="10" s="1"/>
  <c r="I366" i="10" a="1"/>
  <c r="I366" i="10" s="1"/>
  <c r="J366" i="10" a="1"/>
  <c r="J366" i="10" s="1"/>
  <c r="K366" i="10" a="1"/>
  <c r="K366" i="10" s="1"/>
  <c r="L366" i="10" a="1"/>
  <c r="L366" i="10" s="1"/>
  <c r="M366" i="10" a="1"/>
  <c r="M366" i="10" s="1"/>
  <c r="N366" i="10"/>
  <c r="O366" i="10"/>
  <c r="P366" i="10"/>
  <c r="D367" i="10"/>
  <c r="E367" i="10"/>
  <c r="F367" i="10"/>
  <c r="G367" i="10"/>
  <c r="H367" i="10" a="1"/>
  <c r="H367" i="10" s="1"/>
  <c r="I367" i="10" a="1"/>
  <c r="I367" i="10" s="1"/>
  <c r="J367" i="10" a="1"/>
  <c r="J367" i="10" s="1"/>
  <c r="K367" i="10" a="1"/>
  <c r="K367" i="10" s="1"/>
  <c r="L367" i="10" a="1"/>
  <c r="L367" i="10" s="1"/>
  <c r="M367" i="10" a="1"/>
  <c r="M367" i="10" s="1"/>
  <c r="N367" i="10"/>
  <c r="O367" i="10"/>
  <c r="P367" i="10"/>
  <c r="D368" i="10"/>
  <c r="E368" i="10"/>
  <c r="F368" i="10"/>
  <c r="G368" i="10"/>
  <c r="H368" i="10" a="1"/>
  <c r="H368" i="10" s="1"/>
  <c r="I368" i="10" a="1"/>
  <c r="I368" i="10" s="1"/>
  <c r="J368" i="10" a="1"/>
  <c r="J368" i="10" s="1"/>
  <c r="K368" i="10" a="1"/>
  <c r="K368" i="10" s="1"/>
  <c r="L368" i="10" a="1"/>
  <c r="L368" i="10" s="1"/>
  <c r="M368" i="10" a="1"/>
  <c r="M368" i="10" s="1"/>
  <c r="N368" i="10"/>
  <c r="O368" i="10"/>
  <c r="P368" i="10"/>
  <c r="D369" i="10"/>
  <c r="E369" i="10"/>
  <c r="F369" i="10"/>
  <c r="G369" i="10"/>
  <c r="H369" i="10" a="1"/>
  <c r="H369" i="10" s="1"/>
  <c r="I369" i="10" a="1"/>
  <c r="I369" i="10" s="1"/>
  <c r="J369" i="10" a="1"/>
  <c r="J369" i="10" s="1"/>
  <c r="K369" i="10" a="1"/>
  <c r="K369" i="10" s="1"/>
  <c r="L369" i="10" a="1"/>
  <c r="L369" i="10" s="1"/>
  <c r="M369" i="10" a="1"/>
  <c r="M369" i="10" s="1"/>
  <c r="N369" i="10"/>
  <c r="O369" i="10"/>
  <c r="P369" i="10"/>
  <c r="D370" i="10"/>
  <c r="E370" i="10"/>
  <c r="F370" i="10"/>
  <c r="G370" i="10"/>
  <c r="H370" i="10" a="1"/>
  <c r="H370" i="10" s="1"/>
  <c r="I370" i="10" a="1"/>
  <c r="I370" i="10" s="1"/>
  <c r="J370" i="10" a="1"/>
  <c r="J370" i="10" s="1"/>
  <c r="K370" i="10" a="1"/>
  <c r="K370" i="10" s="1"/>
  <c r="L370" i="10" a="1"/>
  <c r="L370" i="10" s="1"/>
  <c r="M370" i="10" a="1"/>
  <c r="M370" i="10" s="1"/>
  <c r="N370" i="10"/>
  <c r="O370" i="10"/>
  <c r="P370" i="10"/>
  <c r="D371" i="10"/>
  <c r="E371" i="10"/>
  <c r="F371" i="10"/>
  <c r="G371" i="10"/>
  <c r="H371" i="10" a="1"/>
  <c r="H371" i="10" s="1"/>
  <c r="I371" i="10" a="1"/>
  <c r="I371" i="10" s="1"/>
  <c r="J371" i="10" a="1"/>
  <c r="J371" i="10" s="1"/>
  <c r="K371" i="10" a="1"/>
  <c r="K371" i="10" s="1"/>
  <c r="L371" i="10" a="1"/>
  <c r="L371" i="10" s="1"/>
  <c r="M371" i="10" a="1"/>
  <c r="M371" i="10" s="1"/>
  <c r="N371" i="10"/>
  <c r="O371" i="10"/>
  <c r="P371" i="10"/>
  <c r="D372" i="10"/>
  <c r="E372" i="10"/>
  <c r="F372" i="10"/>
  <c r="G372" i="10"/>
  <c r="H372" i="10" a="1"/>
  <c r="H372" i="10" s="1"/>
  <c r="I372" i="10" a="1"/>
  <c r="I372" i="10" s="1"/>
  <c r="J372" i="10" a="1"/>
  <c r="J372" i="10" s="1"/>
  <c r="K372" i="10" a="1"/>
  <c r="K372" i="10" s="1"/>
  <c r="L372" i="10" a="1"/>
  <c r="L372" i="10" s="1"/>
  <c r="M372" i="10" a="1"/>
  <c r="M372" i="10" s="1"/>
  <c r="N372" i="10"/>
  <c r="O372" i="10"/>
  <c r="P372" i="10"/>
  <c r="D373" i="10"/>
  <c r="E373" i="10"/>
  <c r="F373" i="10"/>
  <c r="G373" i="10"/>
  <c r="H373" i="10" a="1"/>
  <c r="H373" i="10" s="1"/>
  <c r="I373" i="10" a="1"/>
  <c r="I373" i="10" s="1"/>
  <c r="J373" i="10" a="1"/>
  <c r="J373" i="10" s="1"/>
  <c r="K373" i="10" a="1"/>
  <c r="K373" i="10" s="1"/>
  <c r="L373" i="10" a="1"/>
  <c r="L373" i="10" s="1"/>
  <c r="M373" i="10" a="1"/>
  <c r="M373" i="10" s="1"/>
  <c r="N373" i="10"/>
  <c r="O373" i="10"/>
  <c r="P373" i="10"/>
  <c r="D374" i="10"/>
  <c r="E374" i="10"/>
  <c r="F374" i="10"/>
  <c r="G374" i="10"/>
  <c r="H374" i="10" a="1"/>
  <c r="H374" i="10" s="1"/>
  <c r="I374" i="10" a="1"/>
  <c r="I374" i="10" s="1"/>
  <c r="J374" i="10" a="1"/>
  <c r="J374" i="10" s="1"/>
  <c r="K374" i="10" a="1"/>
  <c r="K374" i="10" s="1"/>
  <c r="L374" i="10" a="1"/>
  <c r="L374" i="10" s="1"/>
  <c r="M374" i="10" a="1"/>
  <c r="M374" i="10" s="1"/>
  <c r="N374" i="10"/>
  <c r="O374" i="10"/>
  <c r="P374" i="10"/>
  <c r="D375" i="10"/>
  <c r="E375" i="10"/>
  <c r="F375" i="10"/>
  <c r="G375" i="10"/>
  <c r="H375" i="10" a="1"/>
  <c r="H375" i="10" s="1"/>
  <c r="I375" i="10" a="1"/>
  <c r="I375" i="10" s="1"/>
  <c r="J375" i="10" a="1"/>
  <c r="J375" i="10" s="1"/>
  <c r="K375" i="10" a="1"/>
  <c r="K375" i="10" s="1"/>
  <c r="L375" i="10" a="1"/>
  <c r="L375" i="10" s="1"/>
  <c r="M375" i="10" a="1"/>
  <c r="M375" i="10" s="1"/>
  <c r="N375" i="10"/>
  <c r="O375" i="10"/>
  <c r="P375" i="10"/>
  <c r="D376" i="10"/>
  <c r="E376" i="10"/>
  <c r="F376" i="10"/>
  <c r="G376" i="10"/>
  <c r="H376" i="10" a="1"/>
  <c r="H376" i="10" s="1"/>
  <c r="I376" i="10" a="1"/>
  <c r="I376" i="10" s="1"/>
  <c r="J376" i="10" a="1"/>
  <c r="J376" i="10" s="1"/>
  <c r="K376" i="10" a="1"/>
  <c r="K376" i="10" s="1"/>
  <c r="L376" i="10" a="1"/>
  <c r="L376" i="10" s="1"/>
  <c r="M376" i="10" a="1"/>
  <c r="M376" i="10" s="1"/>
  <c r="N376" i="10"/>
  <c r="O376" i="10"/>
  <c r="P376" i="10"/>
  <c r="D377" i="10"/>
  <c r="E377" i="10"/>
  <c r="F377" i="10"/>
  <c r="G377" i="10"/>
  <c r="H377" i="10" a="1"/>
  <c r="H377" i="10" s="1"/>
  <c r="I377" i="10" a="1"/>
  <c r="I377" i="10" s="1"/>
  <c r="J377" i="10" a="1"/>
  <c r="J377" i="10" s="1"/>
  <c r="K377" i="10" a="1"/>
  <c r="K377" i="10" s="1"/>
  <c r="L377" i="10" a="1"/>
  <c r="L377" i="10" s="1"/>
  <c r="M377" i="10" a="1"/>
  <c r="M377" i="10" s="1"/>
  <c r="N377" i="10"/>
  <c r="O377" i="10"/>
  <c r="P377" i="10"/>
  <c r="D378" i="10"/>
  <c r="E378" i="10"/>
  <c r="F378" i="10"/>
  <c r="G378" i="10"/>
  <c r="H378" i="10" a="1"/>
  <c r="H378" i="10" s="1"/>
  <c r="I378" i="10" a="1"/>
  <c r="I378" i="10" s="1"/>
  <c r="J378" i="10" a="1"/>
  <c r="J378" i="10" s="1"/>
  <c r="K378" i="10" a="1"/>
  <c r="K378" i="10" s="1"/>
  <c r="L378" i="10" a="1"/>
  <c r="L378" i="10" s="1"/>
  <c r="M378" i="10" a="1"/>
  <c r="M378" i="10" s="1"/>
  <c r="N378" i="10"/>
  <c r="O378" i="10"/>
  <c r="P378" i="10"/>
  <c r="D379" i="10"/>
  <c r="E379" i="10"/>
  <c r="F379" i="10"/>
  <c r="G379" i="10"/>
  <c r="H379" i="10" a="1"/>
  <c r="H379" i="10" s="1"/>
  <c r="I379" i="10" a="1"/>
  <c r="I379" i="10" s="1"/>
  <c r="J379" i="10" a="1"/>
  <c r="J379" i="10" s="1"/>
  <c r="K379" i="10" a="1"/>
  <c r="K379" i="10" s="1"/>
  <c r="L379" i="10" a="1"/>
  <c r="L379" i="10" s="1"/>
  <c r="M379" i="10" a="1"/>
  <c r="M379" i="10" s="1"/>
  <c r="N379" i="10"/>
  <c r="O379" i="10"/>
  <c r="P379" i="10"/>
  <c r="D380" i="10"/>
  <c r="E380" i="10"/>
  <c r="F380" i="10"/>
  <c r="G380" i="10"/>
  <c r="H380" i="10" a="1"/>
  <c r="H380" i="10" s="1"/>
  <c r="I380" i="10" a="1"/>
  <c r="I380" i="10" s="1"/>
  <c r="J380" i="10" a="1"/>
  <c r="J380" i="10" s="1"/>
  <c r="K380" i="10" a="1"/>
  <c r="K380" i="10" s="1"/>
  <c r="L380" i="10" a="1"/>
  <c r="L380" i="10" s="1"/>
  <c r="M380" i="10" a="1"/>
  <c r="M380" i="10" s="1"/>
  <c r="N380" i="10"/>
  <c r="O380" i="10"/>
  <c r="P380" i="10"/>
  <c r="D381" i="10"/>
  <c r="E381" i="10"/>
  <c r="F381" i="10"/>
  <c r="G381" i="10"/>
  <c r="H381" i="10" a="1"/>
  <c r="H381" i="10" s="1"/>
  <c r="I381" i="10" a="1"/>
  <c r="I381" i="10" s="1"/>
  <c r="J381" i="10" a="1"/>
  <c r="J381" i="10" s="1"/>
  <c r="K381" i="10" a="1"/>
  <c r="K381" i="10" s="1"/>
  <c r="L381" i="10" a="1"/>
  <c r="L381" i="10" s="1"/>
  <c r="M381" i="10" a="1"/>
  <c r="M381" i="10" s="1"/>
  <c r="N381" i="10"/>
  <c r="O381" i="10"/>
  <c r="P381" i="10"/>
  <c r="D382" i="10"/>
  <c r="E382" i="10"/>
  <c r="F382" i="10"/>
  <c r="G382" i="10"/>
  <c r="H382" i="10" a="1"/>
  <c r="H382" i="10" s="1"/>
  <c r="I382" i="10" a="1"/>
  <c r="I382" i="10" s="1"/>
  <c r="J382" i="10" a="1"/>
  <c r="J382" i="10" s="1"/>
  <c r="K382" i="10" a="1"/>
  <c r="K382" i="10" s="1"/>
  <c r="L382" i="10" a="1"/>
  <c r="L382" i="10" s="1"/>
  <c r="M382" i="10" a="1"/>
  <c r="M382" i="10" s="1"/>
  <c r="N382" i="10"/>
  <c r="O382" i="10"/>
  <c r="P382" i="10"/>
  <c r="D383" i="10"/>
  <c r="E383" i="10"/>
  <c r="F383" i="10"/>
  <c r="G383" i="10"/>
  <c r="H383" i="10" a="1"/>
  <c r="H383" i="10" s="1"/>
  <c r="I383" i="10" a="1"/>
  <c r="I383" i="10" s="1"/>
  <c r="J383" i="10" a="1"/>
  <c r="J383" i="10" s="1"/>
  <c r="K383" i="10" a="1"/>
  <c r="K383" i="10" s="1"/>
  <c r="L383" i="10" a="1"/>
  <c r="L383" i="10" s="1"/>
  <c r="M383" i="10" a="1"/>
  <c r="M383" i="10" s="1"/>
  <c r="N383" i="10"/>
  <c r="O383" i="10"/>
  <c r="P383" i="10"/>
  <c r="D384" i="10"/>
  <c r="E384" i="10"/>
  <c r="F384" i="10"/>
  <c r="G384" i="10"/>
  <c r="H384" i="10" a="1"/>
  <c r="H384" i="10" s="1"/>
  <c r="I384" i="10" a="1"/>
  <c r="I384" i="10" s="1"/>
  <c r="J384" i="10" a="1"/>
  <c r="J384" i="10" s="1"/>
  <c r="K384" i="10" a="1"/>
  <c r="K384" i="10" s="1"/>
  <c r="L384" i="10" a="1"/>
  <c r="L384" i="10" s="1"/>
  <c r="M384" i="10" a="1"/>
  <c r="M384" i="10" s="1"/>
  <c r="N384" i="10"/>
  <c r="O384" i="10"/>
  <c r="P384" i="10"/>
  <c r="D385" i="10"/>
  <c r="E385" i="10"/>
  <c r="F385" i="10"/>
  <c r="G385" i="10"/>
  <c r="H385" i="10" a="1"/>
  <c r="H385" i="10" s="1"/>
  <c r="I385" i="10" a="1"/>
  <c r="I385" i="10" s="1"/>
  <c r="J385" i="10" a="1"/>
  <c r="J385" i="10" s="1"/>
  <c r="K385" i="10" a="1"/>
  <c r="K385" i="10" s="1"/>
  <c r="L385" i="10" a="1"/>
  <c r="L385" i="10" s="1"/>
  <c r="M385" i="10" a="1"/>
  <c r="M385" i="10" s="1"/>
  <c r="N385" i="10"/>
  <c r="O385" i="10"/>
  <c r="P385" i="10"/>
  <c r="D386" i="10"/>
  <c r="E386" i="10"/>
  <c r="F386" i="10"/>
  <c r="G386" i="10"/>
  <c r="H386" i="10" a="1"/>
  <c r="H386" i="10" s="1"/>
  <c r="I386" i="10" a="1"/>
  <c r="I386" i="10" s="1"/>
  <c r="J386" i="10" a="1"/>
  <c r="J386" i="10" s="1"/>
  <c r="K386" i="10" a="1"/>
  <c r="K386" i="10" s="1"/>
  <c r="L386" i="10" a="1"/>
  <c r="L386" i="10" s="1"/>
  <c r="M386" i="10" a="1"/>
  <c r="M386" i="10" s="1"/>
  <c r="N386" i="10"/>
  <c r="O386" i="10"/>
  <c r="P386" i="10"/>
  <c r="D387" i="10"/>
  <c r="E387" i="10"/>
  <c r="F387" i="10"/>
  <c r="G387" i="10"/>
  <c r="H387" i="10" a="1"/>
  <c r="H387" i="10" s="1"/>
  <c r="I387" i="10" a="1"/>
  <c r="I387" i="10" s="1"/>
  <c r="J387" i="10" a="1"/>
  <c r="J387" i="10" s="1"/>
  <c r="K387" i="10" a="1"/>
  <c r="K387" i="10" s="1"/>
  <c r="L387" i="10" a="1"/>
  <c r="L387" i="10" s="1"/>
  <c r="M387" i="10" a="1"/>
  <c r="M387" i="10" s="1"/>
  <c r="N387" i="10"/>
  <c r="O387" i="10"/>
  <c r="P387" i="10"/>
  <c r="D388" i="10"/>
  <c r="E388" i="10"/>
  <c r="F388" i="10"/>
  <c r="G388" i="10"/>
  <c r="H388" i="10" a="1"/>
  <c r="H388" i="10" s="1"/>
  <c r="I388" i="10" a="1"/>
  <c r="I388" i="10" s="1"/>
  <c r="J388" i="10" a="1"/>
  <c r="J388" i="10" s="1"/>
  <c r="K388" i="10" a="1"/>
  <c r="K388" i="10" s="1"/>
  <c r="L388" i="10" a="1"/>
  <c r="L388" i="10" s="1"/>
  <c r="M388" i="10" a="1"/>
  <c r="M388" i="10" s="1"/>
  <c r="N388" i="10"/>
  <c r="O388" i="10"/>
  <c r="P388" i="10"/>
  <c r="D389" i="10"/>
  <c r="E389" i="10"/>
  <c r="F389" i="10"/>
  <c r="G389" i="10"/>
  <c r="H389" i="10" a="1"/>
  <c r="H389" i="10" s="1"/>
  <c r="I389" i="10" a="1"/>
  <c r="I389" i="10" s="1"/>
  <c r="J389" i="10" a="1"/>
  <c r="J389" i="10" s="1"/>
  <c r="K389" i="10" a="1"/>
  <c r="K389" i="10" s="1"/>
  <c r="L389" i="10" a="1"/>
  <c r="L389" i="10" s="1"/>
  <c r="M389" i="10" a="1"/>
  <c r="M389" i="10" s="1"/>
  <c r="N389" i="10"/>
  <c r="O389" i="10"/>
  <c r="P389" i="10"/>
  <c r="D390" i="10"/>
  <c r="E390" i="10"/>
  <c r="F390" i="10"/>
  <c r="G390" i="10"/>
  <c r="H390" i="10" a="1"/>
  <c r="H390" i="10" s="1"/>
  <c r="I390" i="10" a="1"/>
  <c r="I390" i="10" s="1"/>
  <c r="J390" i="10" a="1"/>
  <c r="J390" i="10" s="1"/>
  <c r="K390" i="10" a="1"/>
  <c r="K390" i="10" s="1"/>
  <c r="L390" i="10" a="1"/>
  <c r="L390" i="10" s="1"/>
  <c r="M390" i="10" a="1"/>
  <c r="M390" i="10" s="1"/>
  <c r="N390" i="10"/>
  <c r="O390" i="10"/>
  <c r="P390" i="10"/>
  <c r="D391" i="10"/>
  <c r="E391" i="10"/>
  <c r="F391" i="10"/>
  <c r="G391" i="10"/>
  <c r="H391" i="10" a="1"/>
  <c r="H391" i="10" s="1"/>
  <c r="I391" i="10" a="1"/>
  <c r="I391" i="10" s="1"/>
  <c r="J391" i="10" a="1"/>
  <c r="J391" i="10" s="1"/>
  <c r="K391" i="10" a="1"/>
  <c r="K391" i="10" s="1"/>
  <c r="L391" i="10" a="1"/>
  <c r="L391" i="10" s="1"/>
  <c r="M391" i="10" a="1"/>
  <c r="M391" i="10" s="1"/>
  <c r="N391" i="10"/>
  <c r="O391" i="10"/>
  <c r="P391" i="10"/>
  <c r="D392" i="10"/>
  <c r="E392" i="10"/>
  <c r="F392" i="10"/>
  <c r="G392" i="10"/>
  <c r="H392" i="10" a="1"/>
  <c r="H392" i="10" s="1"/>
  <c r="I392" i="10" a="1"/>
  <c r="I392" i="10" s="1"/>
  <c r="J392" i="10" a="1"/>
  <c r="J392" i="10" s="1"/>
  <c r="K392" i="10" a="1"/>
  <c r="K392" i="10" s="1"/>
  <c r="L392" i="10" a="1"/>
  <c r="L392" i="10" s="1"/>
  <c r="M392" i="10" a="1"/>
  <c r="M392" i="10" s="1"/>
  <c r="N392" i="10"/>
  <c r="O392" i="10"/>
  <c r="P392" i="10"/>
  <c r="D393" i="10"/>
  <c r="E393" i="10"/>
  <c r="F393" i="10"/>
  <c r="G393" i="10"/>
  <c r="H393" i="10" a="1"/>
  <c r="H393" i="10" s="1"/>
  <c r="I393" i="10" a="1"/>
  <c r="I393" i="10" s="1"/>
  <c r="J393" i="10" a="1"/>
  <c r="J393" i="10" s="1"/>
  <c r="K393" i="10" a="1"/>
  <c r="K393" i="10" s="1"/>
  <c r="L393" i="10" a="1"/>
  <c r="L393" i="10" s="1"/>
  <c r="M393" i="10" a="1"/>
  <c r="M393" i="10" s="1"/>
  <c r="N393" i="10"/>
  <c r="O393" i="10"/>
  <c r="P393" i="10"/>
  <c r="D394" i="10"/>
  <c r="E394" i="10"/>
  <c r="F394" i="10"/>
  <c r="G394" i="10"/>
  <c r="H394" i="10" a="1"/>
  <c r="H394" i="10" s="1"/>
  <c r="I394" i="10" a="1"/>
  <c r="I394" i="10" s="1"/>
  <c r="J394" i="10" a="1"/>
  <c r="J394" i="10" s="1"/>
  <c r="K394" i="10" a="1"/>
  <c r="K394" i="10" s="1"/>
  <c r="L394" i="10" a="1"/>
  <c r="L394" i="10" s="1"/>
  <c r="M394" i="10" a="1"/>
  <c r="M394" i="10" s="1"/>
  <c r="N394" i="10"/>
  <c r="O394" i="10"/>
  <c r="P394" i="10"/>
  <c r="D395" i="10"/>
  <c r="E395" i="10"/>
  <c r="F395" i="10"/>
  <c r="G395" i="10"/>
  <c r="H395" i="10" a="1"/>
  <c r="H395" i="10" s="1"/>
  <c r="I395" i="10" a="1"/>
  <c r="I395" i="10" s="1"/>
  <c r="J395" i="10" a="1"/>
  <c r="J395" i="10" s="1"/>
  <c r="K395" i="10" a="1"/>
  <c r="K395" i="10" s="1"/>
  <c r="L395" i="10" a="1"/>
  <c r="L395" i="10" s="1"/>
  <c r="M395" i="10" a="1"/>
  <c r="M395" i="10" s="1"/>
  <c r="N395" i="10"/>
  <c r="O395" i="10"/>
  <c r="P395" i="10"/>
  <c r="D396" i="10"/>
  <c r="E396" i="10"/>
  <c r="F396" i="10"/>
  <c r="G396" i="10"/>
  <c r="H396" i="10" a="1"/>
  <c r="H396" i="10" s="1"/>
  <c r="I396" i="10" a="1"/>
  <c r="I396" i="10" s="1"/>
  <c r="J396" i="10" a="1"/>
  <c r="J396" i="10" s="1"/>
  <c r="K396" i="10" a="1"/>
  <c r="K396" i="10" s="1"/>
  <c r="L396" i="10" a="1"/>
  <c r="L396" i="10" s="1"/>
  <c r="M396" i="10" a="1"/>
  <c r="M396" i="10" s="1"/>
  <c r="N396" i="10"/>
  <c r="O396" i="10"/>
  <c r="P396" i="10"/>
  <c r="D397" i="10"/>
  <c r="E397" i="10"/>
  <c r="F397" i="10"/>
  <c r="G397" i="10"/>
  <c r="H397" i="10" a="1"/>
  <c r="H397" i="10" s="1"/>
  <c r="I397" i="10" a="1"/>
  <c r="I397" i="10" s="1"/>
  <c r="J397" i="10" a="1"/>
  <c r="J397" i="10" s="1"/>
  <c r="K397" i="10" a="1"/>
  <c r="K397" i="10" s="1"/>
  <c r="L397" i="10" a="1"/>
  <c r="L397" i="10" s="1"/>
  <c r="M397" i="10" a="1"/>
  <c r="M397" i="10" s="1"/>
  <c r="N397" i="10"/>
  <c r="O397" i="10"/>
  <c r="P397" i="10"/>
  <c r="D398" i="10"/>
  <c r="E398" i="10"/>
  <c r="F398" i="10"/>
  <c r="G398" i="10"/>
  <c r="H398" i="10" a="1"/>
  <c r="H398" i="10" s="1"/>
  <c r="I398" i="10" a="1"/>
  <c r="I398" i="10" s="1"/>
  <c r="J398" i="10" a="1"/>
  <c r="J398" i="10" s="1"/>
  <c r="K398" i="10" a="1"/>
  <c r="K398" i="10" s="1"/>
  <c r="L398" i="10" a="1"/>
  <c r="L398" i="10" s="1"/>
  <c r="M398" i="10" a="1"/>
  <c r="M398" i="10" s="1"/>
  <c r="N398" i="10"/>
  <c r="O398" i="10"/>
  <c r="P398" i="10"/>
  <c r="D399" i="10"/>
  <c r="E399" i="10"/>
  <c r="F399" i="10"/>
  <c r="G399" i="10"/>
  <c r="H399" i="10" a="1"/>
  <c r="H399" i="10" s="1"/>
  <c r="I399" i="10" a="1"/>
  <c r="I399" i="10" s="1"/>
  <c r="J399" i="10" a="1"/>
  <c r="J399" i="10" s="1"/>
  <c r="K399" i="10" a="1"/>
  <c r="K399" i="10" s="1"/>
  <c r="L399" i="10" a="1"/>
  <c r="L399" i="10" s="1"/>
  <c r="M399" i="10" a="1"/>
  <c r="M399" i="10" s="1"/>
  <c r="N399" i="10"/>
  <c r="O399" i="10"/>
  <c r="P399" i="10"/>
  <c r="D400" i="10"/>
  <c r="E400" i="10"/>
  <c r="F400" i="10"/>
  <c r="G400" i="10"/>
  <c r="H400" i="10" a="1"/>
  <c r="H400" i="10" s="1"/>
  <c r="I400" i="10" a="1"/>
  <c r="I400" i="10" s="1"/>
  <c r="J400" i="10" a="1"/>
  <c r="J400" i="10" s="1"/>
  <c r="K400" i="10" a="1"/>
  <c r="K400" i="10" s="1"/>
  <c r="L400" i="10" a="1"/>
  <c r="L400" i="10" s="1"/>
  <c r="M400" i="10" a="1"/>
  <c r="M400" i="10" s="1"/>
  <c r="N400" i="10"/>
  <c r="O400" i="10"/>
  <c r="P400" i="10"/>
  <c r="D401" i="10"/>
  <c r="E401" i="10"/>
  <c r="F401" i="10"/>
  <c r="G401" i="10"/>
  <c r="H401" i="10" a="1"/>
  <c r="H401" i="10" s="1"/>
  <c r="I401" i="10" a="1"/>
  <c r="I401" i="10" s="1"/>
  <c r="J401" i="10" a="1"/>
  <c r="J401" i="10" s="1"/>
  <c r="K401" i="10" a="1"/>
  <c r="K401" i="10" s="1"/>
  <c r="L401" i="10" a="1"/>
  <c r="L401" i="10" s="1"/>
  <c r="M401" i="10" a="1"/>
  <c r="M401" i="10" s="1"/>
  <c r="N401" i="10"/>
  <c r="O401" i="10"/>
  <c r="P401" i="10"/>
  <c r="D402" i="10"/>
  <c r="E402" i="10"/>
  <c r="F402" i="10"/>
  <c r="G402" i="10"/>
  <c r="H402" i="10" a="1"/>
  <c r="H402" i="10" s="1"/>
  <c r="I402" i="10" a="1"/>
  <c r="I402" i="10" s="1"/>
  <c r="J402" i="10" a="1"/>
  <c r="J402" i="10" s="1"/>
  <c r="K402" i="10" a="1"/>
  <c r="K402" i="10" s="1"/>
  <c r="L402" i="10" a="1"/>
  <c r="L402" i="10" s="1"/>
  <c r="M402" i="10" a="1"/>
  <c r="M402" i="10" s="1"/>
  <c r="N402" i="10"/>
  <c r="O402" i="10"/>
  <c r="P402" i="10"/>
  <c r="D403" i="10"/>
  <c r="E403" i="10"/>
  <c r="F403" i="10"/>
  <c r="G403" i="10"/>
  <c r="H403" i="10" a="1"/>
  <c r="H403" i="10" s="1"/>
  <c r="I403" i="10" a="1"/>
  <c r="I403" i="10" s="1"/>
  <c r="J403" i="10" a="1"/>
  <c r="J403" i="10" s="1"/>
  <c r="K403" i="10" a="1"/>
  <c r="K403" i="10" s="1"/>
  <c r="L403" i="10" a="1"/>
  <c r="L403" i="10" s="1"/>
  <c r="M403" i="10" a="1"/>
  <c r="M403" i="10" s="1"/>
  <c r="N403" i="10"/>
  <c r="O403" i="10"/>
  <c r="P403" i="10"/>
  <c r="D404" i="10"/>
  <c r="E404" i="10"/>
  <c r="F404" i="10"/>
  <c r="G404" i="10"/>
  <c r="H404" i="10" a="1"/>
  <c r="H404" i="10" s="1"/>
  <c r="I404" i="10" a="1"/>
  <c r="I404" i="10" s="1"/>
  <c r="J404" i="10" a="1"/>
  <c r="J404" i="10" s="1"/>
  <c r="K404" i="10" a="1"/>
  <c r="K404" i="10" s="1"/>
  <c r="L404" i="10" a="1"/>
  <c r="L404" i="10" s="1"/>
  <c r="M404" i="10" a="1"/>
  <c r="M404" i="10" s="1"/>
  <c r="N404" i="10"/>
  <c r="O404" i="10"/>
  <c r="P404" i="10"/>
  <c r="D405" i="10"/>
  <c r="E405" i="10"/>
  <c r="F405" i="10"/>
  <c r="G405" i="10"/>
  <c r="H405" i="10" a="1"/>
  <c r="H405" i="10" s="1"/>
  <c r="I405" i="10" a="1"/>
  <c r="I405" i="10" s="1"/>
  <c r="J405" i="10" a="1"/>
  <c r="J405" i="10" s="1"/>
  <c r="K405" i="10" a="1"/>
  <c r="K405" i="10" s="1"/>
  <c r="L405" i="10" a="1"/>
  <c r="L405" i="10" s="1"/>
  <c r="M405" i="10" a="1"/>
  <c r="M405" i="10" s="1"/>
  <c r="N405" i="10"/>
  <c r="O405" i="10"/>
  <c r="P405" i="10"/>
  <c r="D406" i="10"/>
  <c r="E406" i="10"/>
  <c r="F406" i="10"/>
  <c r="G406" i="10"/>
  <c r="H406" i="10" a="1"/>
  <c r="H406" i="10" s="1"/>
  <c r="I406" i="10" a="1"/>
  <c r="I406" i="10" s="1"/>
  <c r="J406" i="10" a="1"/>
  <c r="J406" i="10" s="1"/>
  <c r="K406" i="10" a="1"/>
  <c r="K406" i="10" s="1"/>
  <c r="L406" i="10" a="1"/>
  <c r="L406" i="10" s="1"/>
  <c r="M406" i="10" a="1"/>
  <c r="M406" i="10" s="1"/>
  <c r="N406" i="10"/>
  <c r="O406" i="10"/>
  <c r="P406" i="10"/>
  <c r="D407" i="10"/>
  <c r="E407" i="10"/>
  <c r="F407" i="10"/>
  <c r="G407" i="10"/>
  <c r="H407" i="10" a="1"/>
  <c r="H407" i="10" s="1"/>
  <c r="I407" i="10" a="1"/>
  <c r="I407" i="10" s="1"/>
  <c r="J407" i="10" a="1"/>
  <c r="J407" i="10" s="1"/>
  <c r="K407" i="10" a="1"/>
  <c r="K407" i="10" s="1"/>
  <c r="L407" i="10" a="1"/>
  <c r="L407" i="10" s="1"/>
  <c r="M407" i="10" a="1"/>
  <c r="M407" i="10" s="1"/>
  <c r="N407" i="10"/>
  <c r="O407" i="10"/>
  <c r="P407" i="10"/>
  <c r="D408" i="10"/>
  <c r="E408" i="10"/>
  <c r="F408" i="10"/>
  <c r="G408" i="10"/>
  <c r="H408" i="10" a="1"/>
  <c r="H408" i="10" s="1"/>
  <c r="I408" i="10" a="1"/>
  <c r="I408" i="10" s="1"/>
  <c r="J408" i="10" a="1"/>
  <c r="J408" i="10" s="1"/>
  <c r="K408" i="10" a="1"/>
  <c r="K408" i="10" s="1"/>
  <c r="L408" i="10" a="1"/>
  <c r="L408" i="10" s="1"/>
  <c r="M408" i="10" a="1"/>
  <c r="M408" i="10" s="1"/>
  <c r="N408" i="10"/>
  <c r="O408" i="10"/>
  <c r="P408" i="10"/>
  <c r="D409" i="10"/>
  <c r="E409" i="10"/>
  <c r="F409" i="10"/>
  <c r="G409" i="10"/>
  <c r="H409" i="10" a="1"/>
  <c r="H409" i="10" s="1"/>
  <c r="I409" i="10" a="1"/>
  <c r="I409" i="10" s="1"/>
  <c r="J409" i="10" a="1"/>
  <c r="J409" i="10" s="1"/>
  <c r="K409" i="10" a="1"/>
  <c r="K409" i="10" s="1"/>
  <c r="L409" i="10" a="1"/>
  <c r="L409" i="10" s="1"/>
  <c r="M409" i="10" a="1"/>
  <c r="M409" i="10" s="1"/>
  <c r="N409" i="10"/>
  <c r="O409" i="10"/>
  <c r="P409" i="10"/>
  <c r="D410" i="10"/>
  <c r="E410" i="10"/>
  <c r="F410" i="10"/>
  <c r="G410" i="10"/>
  <c r="H410" i="10" a="1"/>
  <c r="H410" i="10" s="1"/>
  <c r="I410" i="10" a="1"/>
  <c r="I410" i="10" s="1"/>
  <c r="J410" i="10" a="1"/>
  <c r="J410" i="10" s="1"/>
  <c r="K410" i="10" a="1"/>
  <c r="K410" i="10" s="1"/>
  <c r="L410" i="10" a="1"/>
  <c r="L410" i="10" s="1"/>
  <c r="M410" i="10" a="1"/>
  <c r="M410" i="10" s="1"/>
  <c r="N410" i="10"/>
  <c r="O410" i="10"/>
  <c r="P410" i="10"/>
  <c r="D411" i="10"/>
  <c r="E411" i="10"/>
  <c r="F411" i="10"/>
  <c r="G411" i="10"/>
  <c r="H411" i="10" a="1"/>
  <c r="H411" i="10" s="1"/>
  <c r="I411" i="10" a="1"/>
  <c r="I411" i="10" s="1"/>
  <c r="J411" i="10" a="1"/>
  <c r="J411" i="10" s="1"/>
  <c r="K411" i="10" a="1"/>
  <c r="K411" i="10" s="1"/>
  <c r="L411" i="10" a="1"/>
  <c r="L411" i="10" s="1"/>
  <c r="M411" i="10" a="1"/>
  <c r="M411" i="10" s="1"/>
  <c r="N411" i="10"/>
  <c r="O411" i="10"/>
  <c r="P411" i="10"/>
  <c r="D412" i="10"/>
  <c r="E412" i="10"/>
  <c r="F412" i="10"/>
  <c r="G412" i="10"/>
  <c r="H412" i="10" a="1"/>
  <c r="H412" i="10" s="1"/>
  <c r="I412" i="10" a="1"/>
  <c r="I412" i="10" s="1"/>
  <c r="J412" i="10" a="1"/>
  <c r="J412" i="10" s="1"/>
  <c r="K412" i="10" a="1"/>
  <c r="K412" i="10" s="1"/>
  <c r="L412" i="10" a="1"/>
  <c r="L412" i="10" s="1"/>
  <c r="M412" i="10" a="1"/>
  <c r="M412" i="10" s="1"/>
  <c r="N412" i="10"/>
  <c r="O412" i="10"/>
  <c r="P412" i="10"/>
  <c r="D413" i="10"/>
  <c r="E413" i="10"/>
  <c r="F413" i="10"/>
  <c r="G413" i="10"/>
  <c r="H413" i="10" a="1"/>
  <c r="H413" i="10" s="1"/>
  <c r="I413" i="10" a="1"/>
  <c r="I413" i="10" s="1"/>
  <c r="J413" i="10" a="1"/>
  <c r="J413" i="10" s="1"/>
  <c r="K413" i="10" a="1"/>
  <c r="K413" i="10" s="1"/>
  <c r="L413" i="10" a="1"/>
  <c r="L413" i="10" s="1"/>
  <c r="M413" i="10" a="1"/>
  <c r="M413" i="10" s="1"/>
  <c r="N413" i="10"/>
  <c r="O413" i="10"/>
  <c r="P413" i="10"/>
  <c r="D414" i="10"/>
  <c r="E414" i="10"/>
  <c r="F414" i="10"/>
  <c r="G414" i="10"/>
  <c r="H414" i="10" a="1"/>
  <c r="H414" i="10" s="1"/>
  <c r="I414" i="10" a="1"/>
  <c r="I414" i="10" s="1"/>
  <c r="J414" i="10" a="1"/>
  <c r="J414" i="10" s="1"/>
  <c r="K414" i="10" a="1"/>
  <c r="K414" i="10" s="1"/>
  <c r="L414" i="10" a="1"/>
  <c r="L414" i="10" s="1"/>
  <c r="M414" i="10" a="1"/>
  <c r="M414" i="10" s="1"/>
  <c r="N414" i="10"/>
  <c r="O414" i="10"/>
  <c r="P414" i="10"/>
  <c r="D415" i="10"/>
  <c r="E415" i="10"/>
  <c r="F415" i="10"/>
  <c r="G415" i="10"/>
  <c r="H415" i="10" a="1"/>
  <c r="H415" i="10" s="1"/>
  <c r="I415" i="10" a="1"/>
  <c r="I415" i="10" s="1"/>
  <c r="J415" i="10" a="1"/>
  <c r="J415" i="10" s="1"/>
  <c r="K415" i="10" a="1"/>
  <c r="K415" i="10" s="1"/>
  <c r="L415" i="10" a="1"/>
  <c r="L415" i="10" s="1"/>
  <c r="M415" i="10" a="1"/>
  <c r="M415" i="10" s="1"/>
  <c r="N415" i="10"/>
  <c r="O415" i="10"/>
  <c r="P415" i="10"/>
  <c r="D416" i="10"/>
  <c r="E416" i="10"/>
  <c r="F416" i="10"/>
  <c r="G416" i="10"/>
  <c r="H416" i="10" a="1"/>
  <c r="H416" i="10" s="1"/>
  <c r="I416" i="10" a="1"/>
  <c r="I416" i="10" s="1"/>
  <c r="J416" i="10" a="1"/>
  <c r="J416" i="10" s="1"/>
  <c r="K416" i="10" a="1"/>
  <c r="K416" i="10" s="1"/>
  <c r="L416" i="10" a="1"/>
  <c r="L416" i="10" s="1"/>
  <c r="M416" i="10" a="1"/>
  <c r="M416" i="10" s="1"/>
  <c r="N416" i="10"/>
  <c r="O416" i="10"/>
  <c r="P416" i="10"/>
  <c r="D417" i="10"/>
  <c r="E417" i="10"/>
  <c r="F417" i="10"/>
  <c r="G417" i="10"/>
  <c r="H417" i="10" a="1"/>
  <c r="H417" i="10" s="1"/>
  <c r="I417" i="10" a="1"/>
  <c r="I417" i="10" s="1"/>
  <c r="J417" i="10" a="1"/>
  <c r="J417" i="10" s="1"/>
  <c r="K417" i="10" a="1"/>
  <c r="K417" i="10" s="1"/>
  <c r="L417" i="10" a="1"/>
  <c r="L417" i="10" s="1"/>
  <c r="M417" i="10" a="1"/>
  <c r="M417" i="10" s="1"/>
  <c r="N417" i="10"/>
  <c r="O417" i="10"/>
  <c r="P417" i="10"/>
  <c r="D418" i="10"/>
  <c r="E418" i="10"/>
  <c r="F418" i="10"/>
  <c r="G418" i="10"/>
  <c r="H418" i="10" a="1"/>
  <c r="H418" i="10" s="1"/>
  <c r="I418" i="10" a="1"/>
  <c r="I418" i="10" s="1"/>
  <c r="J418" i="10" a="1"/>
  <c r="J418" i="10" s="1"/>
  <c r="K418" i="10" a="1"/>
  <c r="K418" i="10" s="1"/>
  <c r="L418" i="10" a="1"/>
  <c r="L418" i="10" s="1"/>
  <c r="M418" i="10" a="1"/>
  <c r="M418" i="10" s="1"/>
  <c r="N418" i="10"/>
  <c r="O418" i="10"/>
  <c r="P418" i="10"/>
  <c r="D419" i="10"/>
  <c r="E419" i="10"/>
  <c r="F419" i="10"/>
  <c r="G419" i="10"/>
  <c r="H419" i="10" a="1"/>
  <c r="H419" i="10" s="1"/>
  <c r="I419" i="10" a="1"/>
  <c r="I419" i="10" s="1"/>
  <c r="J419" i="10" a="1"/>
  <c r="J419" i="10" s="1"/>
  <c r="K419" i="10" a="1"/>
  <c r="K419" i="10" s="1"/>
  <c r="L419" i="10" a="1"/>
  <c r="L419" i="10" s="1"/>
  <c r="M419" i="10" a="1"/>
  <c r="M419" i="10" s="1"/>
  <c r="N419" i="10"/>
  <c r="O419" i="10"/>
  <c r="P419" i="10"/>
  <c r="D420" i="10"/>
  <c r="E420" i="10"/>
  <c r="F420" i="10"/>
  <c r="G420" i="10"/>
  <c r="H420" i="10" a="1"/>
  <c r="H420" i="10" s="1"/>
  <c r="I420" i="10" a="1"/>
  <c r="I420" i="10" s="1"/>
  <c r="J420" i="10" a="1"/>
  <c r="J420" i="10" s="1"/>
  <c r="K420" i="10" a="1"/>
  <c r="K420" i="10" s="1"/>
  <c r="L420" i="10" a="1"/>
  <c r="L420" i="10" s="1"/>
  <c r="M420" i="10" a="1"/>
  <c r="M420" i="10" s="1"/>
  <c r="N420" i="10"/>
  <c r="O420" i="10"/>
  <c r="P420" i="10"/>
  <c r="D421" i="10"/>
  <c r="E421" i="10"/>
  <c r="F421" i="10"/>
  <c r="G421" i="10"/>
  <c r="H421" i="10" a="1"/>
  <c r="H421" i="10" s="1"/>
  <c r="I421" i="10" a="1"/>
  <c r="I421" i="10" s="1"/>
  <c r="J421" i="10" a="1"/>
  <c r="J421" i="10" s="1"/>
  <c r="K421" i="10" a="1"/>
  <c r="K421" i="10" s="1"/>
  <c r="L421" i="10" a="1"/>
  <c r="L421" i="10" s="1"/>
  <c r="M421" i="10" a="1"/>
  <c r="M421" i="10" s="1"/>
  <c r="N421" i="10"/>
  <c r="O421" i="10"/>
  <c r="P421" i="10"/>
  <c r="D422" i="10"/>
  <c r="E422" i="10"/>
  <c r="F422" i="10"/>
  <c r="G422" i="10"/>
  <c r="H422" i="10" a="1"/>
  <c r="H422" i="10" s="1"/>
  <c r="I422" i="10" a="1"/>
  <c r="I422" i="10" s="1"/>
  <c r="J422" i="10" a="1"/>
  <c r="J422" i="10" s="1"/>
  <c r="K422" i="10" a="1"/>
  <c r="K422" i="10" s="1"/>
  <c r="L422" i="10" a="1"/>
  <c r="L422" i="10" s="1"/>
  <c r="M422" i="10" a="1"/>
  <c r="M422" i="10" s="1"/>
  <c r="N422" i="10"/>
  <c r="O422" i="10"/>
  <c r="P422" i="10"/>
  <c r="D423" i="10"/>
  <c r="E423" i="10"/>
  <c r="F423" i="10"/>
  <c r="G423" i="10"/>
  <c r="H423" i="10" a="1"/>
  <c r="H423" i="10" s="1"/>
  <c r="I423" i="10" a="1"/>
  <c r="I423" i="10" s="1"/>
  <c r="J423" i="10" a="1"/>
  <c r="J423" i="10" s="1"/>
  <c r="K423" i="10" a="1"/>
  <c r="K423" i="10" s="1"/>
  <c r="L423" i="10" a="1"/>
  <c r="L423" i="10" s="1"/>
  <c r="M423" i="10" a="1"/>
  <c r="M423" i="10" s="1"/>
  <c r="N423" i="10"/>
  <c r="O423" i="10"/>
  <c r="P423" i="10"/>
  <c r="D424" i="10"/>
  <c r="E424" i="10"/>
  <c r="F424" i="10"/>
  <c r="G424" i="10"/>
  <c r="H424" i="10" a="1"/>
  <c r="H424" i="10" s="1"/>
  <c r="I424" i="10" a="1"/>
  <c r="I424" i="10" s="1"/>
  <c r="J424" i="10" a="1"/>
  <c r="J424" i="10" s="1"/>
  <c r="K424" i="10" a="1"/>
  <c r="K424" i="10" s="1"/>
  <c r="L424" i="10" a="1"/>
  <c r="L424" i="10" s="1"/>
  <c r="M424" i="10" a="1"/>
  <c r="M424" i="10" s="1"/>
  <c r="N424" i="10"/>
  <c r="O424" i="10"/>
  <c r="P424" i="10"/>
  <c r="D425" i="10"/>
  <c r="E425" i="10"/>
  <c r="F425" i="10"/>
  <c r="G425" i="10"/>
  <c r="H425" i="10" a="1"/>
  <c r="H425" i="10" s="1"/>
  <c r="I425" i="10" a="1"/>
  <c r="I425" i="10" s="1"/>
  <c r="J425" i="10" a="1"/>
  <c r="J425" i="10" s="1"/>
  <c r="K425" i="10" a="1"/>
  <c r="K425" i="10" s="1"/>
  <c r="L425" i="10" a="1"/>
  <c r="L425" i="10" s="1"/>
  <c r="M425" i="10" a="1"/>
  <c r="M425" i="10" s="1"/>
  <c r="N425" i="10"/>
  <c r="O425" i="10"/>
  <c r="P425" i="10"/>
  <c r="M3" i="10"/>
  <c r="M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kim_younghyun</author>
  </authors>
  <commentList>
    <comment ref="H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표기해주세요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파셜로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관리해주세요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N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스튜디오에서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모델착장컷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착장컷촬영리스트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O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배너촬영한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
</t>
        </r>
        <r>
          <rPr>
            <sz val="9"/>
            <color indexed="81"/>
            <rFont val="돋움"/>
            <family val="3"/>
            <charset val="129"/>
          </rPr>
          <t>브랜드에서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kim_younghyun</author>
  </authors>
  <commentList>
    <comment ref="Z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컬러별로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표기해주세요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파셜로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관리해주세요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A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스튜디오에서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모델착장컷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착장컷촬영리스트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G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kim_younghyun: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배너촬영한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스타일들은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모델컷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
</t>
        </r>
        <r>
          <rPr>
            <sz val="9"/>
            <color indexed="81"/>
            <rFont val="돋움"/>
            <family val="3"/>
            <charset val="129"/>
          </rPr>
          <t>브랜드에서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! </t>
        </r>
      </text>
    </comment>
  </commentList>
</comments>
</file>

<file path=xl/sharedStrings.xml><?xml version="1.0" encoding="utf-8"?>
<sst xmlns="http://schemas.openxmlformats.org/spreadsheetml/2006/main" count="11702" uniqueCount="1289">
  <si>
    <t/>
  </si>
  <si>
    <t>9900</t>
  </si>
  <si>
    <t>19900</t>
  </si>
  <si>
    <t>39900</t>
  </si>
  <si>
    <t>29900</t>
  </si>
  <si>
    <t>49900</t>
  </si>
  <si>
    <t>59900</t>
  </si>
  <si>
    <t>69900</t>
  </si>
  <si>
    <t>79900</t>
  </si>
  <si>
    <t>89900</t>
  </si>
  <si>
    <t>RMAC749G31</t>
  </si>
  <si>
    <t>RMAC749G32</t>
  </si>
  <si>
    <t>RMAC749R32</t>
  </si>
  <si>
    <t>RMAK748G11</t>
  </si>
  <si>
    <t>RMAK748G12</t>
  </si>
  <si>
    <t>RMAK748G13</t>
  </si>
  <si>
    <t>RMAK748R11</t>
  </si>
  <si>
    <t>RMAK749100</t>
  </si>
  <si>
    <t>RMAK749G11</t>
  </si>
  <si>
    <t>RMAK749G12</t>
  </si>
  <si>
    <t>RMAK749R11</t>
  </si>
  <si>
    <t>RMAK749R12</t>
  </si>
  <si>
    <t>RMAK749R13</t>
  </si>
  <si>
    <t>RMAK749R21</t>
  </si>
  <si>
    <t>RMAK749R22</t>
  </si>
  <si>
    <t>RMAK749R23</t>
  </si>
  <si>
    <t>RMAK74TG11</t>
  </si>
  <si>
    <t>RMAK74TR11</t>
  </si>
  <si>
    <t>RMAK74TR12</t>
  </si>
  <si>
    <t>RMAK74TR21</t>
  </si>
  <si>
    <t>RMAK74TR22</t>
  </si>
  <si>
    <t>RMAK74TRD1</t>
  </si>
  <si>
    <t>RMAK74TRD2</t>
  </si>
  <si>
    <t>RMAK74TRD3</t>
  </si>
  <si>
    <t>RMAK74TRS1</t>
  </si>
  <si>
    <t>RMAM74TR11</t>
  </si>
  <si>
    <t>RMAM74TR12</t>
  </si>
  <si>
    <t>RMAM74TR13</t>
  </si>
  <si>
    <t>RMAM74TR14</t>
  </si>
  <si>
    <t>RMAM74TR21</t>
  </si>
  <si>
    <t>RMAM74TR31</t>
  </si>
  <si>
    <t>RMAM74TR32</t>
  </si>
  <si>
    <t>RMAM74TRT1</t>
  </si>
  <si>
    <t>RMAM74TRT2</t>
  </si>
  <si>
    <t>RMAP747R01</t>
  </si>
  <si>
    <t>RMAP747RT2</t>
  </si>
  <si>
    <t>RMAP749100</t>
  </si>
  <si>
    <t>RMAP749G11</t>
  </si>
  <si>
    <t>RMAP749R11</t>
  </si>
  <si>
    <t>RMAP749R12</t>
  </si>
  <si>
    <t>RMAP749R13</t>
  </si>
  <si>
    <t>RMAP74TR11</t>
  </si>
  <si>
    <t>RMAP74TR12</t>
  </si>
  <si>
    <t>RMAQ74TR11</t>
  </si>
  <si>
    <t>RMAQ74TR12</t>
  </si>
  <si>
    <t>RMAQ74TRD1</t>
  </si>
  <si>
    <t>RMAQ74TRD2</t>
  </si>
  <si>
    <t>RMAQ74TRD3</t>
  </si>
  <si>
    <t>RMAS748RT1</t>
  </si>
  <si>
    <t>RMAS748RT2</t>
  </si>
  <si>
    <t>RMAS748RT3</t>
  </si>
  <si>
    <t>RMAS748RT4</t>
  </si>
  <si>
    <t>RMAS748RT5</t>
  </si>
  <si>
    <t>RMAS748RT6</t>
  </si>
  <si>
    <t>RMAS749RT1</t>
  </si>
  <si>
    <t>RMAS749RT2</t>
  </si>
  <si>
    <t>RMAS749RT3</t>
  </si>
  <si>
    <t>RMAS749RT4</t>
  </si>
  <si>
    <t>RMAS749RT5</t>
  </si>
  <si>
    <t>RMAS749RT6</t>
  </si>
  <si>
    <t>RMAS749RT7</t>
  </si>
  <si>
    <t>RMAX74TRD1</t>
  </si>
  <si>
    <t>RMAX74TRD2</t>
  </si>
  <si>
    <t>RMAX74TRD3</t>
  </si>
  <si>
    <t>RMAX74TRD4</t>
  </si>
  <si>
    <t>RMAX74TRD5</t>
  </si>
  <si>
    <t>RMAX74TRD6</t>
  </si>
  <si>
    <t>RMAX74TRD7</t>
  </si>
  <si>
    <t>RMAX74TRD8</t>
  </si>
  <si>
    <t>RMBL749100</t>
  </si>
  <si>
    <t>RMBL749GQ1</t>
  </si>
  <si>
    <t>RMBL749GQ2</t>
  </si>
  <si>
    <t>RMBL749R01</t>
  </si>
  <si>
    <t>RMBL749R11</t>
  </si>
  <si>
    <t>RMBL749R12</t>
  </si>
  <si>
    <t>RMBL749R21</t>
  </si>
  <si>
    <t>RMBL749R22</t>
  </si>
  <si>
    <t>RMBL749R31</t>
  </si>
  <si>
    <t>RMBL749RM1</t>
  </si>
  <si>
    <t>RMBL749RM2</t>
  </si>
  <si>
    <t>RMBL749RM3</t>
  </si>
  <si>
    <t>RMBL749RQ1</t>
  </si>
  <si>
    <t>RMBL749RQ3</t>
  </si>
  <si>
    <t>RMBL749RQ4</t>
  </si>
  <si>
    <t>RMBL749RQ5</t>
  </si>
  <si>
    <t>RMBL749RQ6</t>
  </si>
  <si>
    <t>RMBL74CR11</t>
  </si>
  <si>
    <t>RMBL74CR12</t>
  </si>
  <si>
    <t>RMBL74TGQ1</t>
  </si>
  <si>
    <t>RMBL74TR11</t>
  </si>
  <si>
    <t>RMBL74TR12</t>
  </si>
  <si>
    <t>RMBL74TR32</t>
  </si>
  <si>
    <t>RMBL74TRD1</t>
  </si>
  <si>
    <t>RMBL74TRD2</t>
  </si>
  <si>
    <t>RMBL74TRQ1</t>
  </si>
  <si>
    <t>RMBL74TRQ2</t>
  </si>
  <si>
    <t>RMBL74TRQ3</t>
  </si>
  <si>
    <t>RMBL74TRQ4</t>
  </si>
  <si>
    <t>RMBL74TRQ5</t>
  </si>
  <si>
    <t>RMBL74TRQ6</t>
  </si>
  <si>
    <t>RMBL74TRQ7</t>
  </si>
  <si>
    <t>RMBL74TRQ8</t>
  </si>
  <si>
    <t>RMBL74TRQ9</t>
  </si>
  <si>
    <t>RMBL74TRQA</t>
  </si>
  <si>
    <t>RMBL74TRQB</t>
  </si>
  <si>
    <t>RMBL74VGQ1</t>
  </si>
  <si>
    <t>RMBL74VGQ2</t>
  </si>
  <si>
    <t>RMBL74VR11</t>
  </si>
  <si>
    <t>RMBL74VRQ1</t>
  </si>
  <si>
    <t>RMBQ748G11</t>
  </si>
  <si>
    <t>RMBQ748R11</t>
  </si>
  <si>
    <t>RMCK749100</t>
  </si>
  <si>
    <t>RMCK749G11</t>
  </si>
  <si>
    <t>RMCK749R11</t>
  </si>
  <si>
    <t>RMCK749R31</t>
  </si>
  <si>
    <t>RMCK74T100</t>
  </si>
  <si>
    <t>RMCK74TG11</t>
  </si>
  <si>
    <t>RMCK74TRD1</t>
  </si>
  <si>
    <t>RMER748R11</t>
  </si>
  <si>
    <t>RMER748R12</t>
  </si>
  <si>
    <t>RMER748R13</t>
  </si>
  <si>
    <t>RMER748R14</t>
  </si>
  <si>
    <t>RMER748R15</t>
  </si>
  <si>
    <t>RMER748R21</t>
  </si>
  <si>
    <t>RMER748R22</t>
  </si>
  <si>
    <t>RMER748R23</t>
  </si>
  <si>
    <t>RMER748R24</t>
  </si>
  <si>
    <t>RMER748R25</t>
  </si>
  <si>
    <t>RMER748R26</t>
  </si>
  <si>
    <t>RMER748R27</t>
  </si>
  <si>
    <t>RMER748R28</t>
  </si>
  <si>
    <t>RMER748R31</t>
  </si>
  <si>
    <t>RMER748R33</t>
  </si>
  <si>
    <t>RMER748R34</t>
  </si>
  <si>
    <t>RMER748R35</t>
  </si>
  <si>
    <t>RMER748R36</t>
  </si>
  <si>
    <t>RMER749R11</t>
  </si>
  <si>
    <t>RMJD74C100</t>
  </si>
  <si>
    <t>RMJD74V100</t>
  </si>
  <si>
    <t>RMJD74VR11</t>
  </si>
  <si>
    <t>RMJD74VR12</t>
  </si>
  <si>
    <t>RMJD74VR13</t>
  </si>
  <si>
    <t>RMJH749100</t>
  </si>
  <si>
    <t>RMJH749R21</t>
  </si>
  <si>
    <t>RMJH749R31</t>
  </si>
  <si>
    <t>RMJH749RS1</t>
  </si>
  <si>
    <t>RMJH74CR11</t>
  </si>
  <si>
    <t>RMJH74T100</t>
  </si>
  <si>
    <t>RMJH74TG11</t>
  </si>
  <si>
    <t>RMJH74TG91</t>
  </si>
  <si>
    <t>RMJH74TG92</t>
  </si>
  <si>
    <t>RMJH74TG93</t>
  </si>
  <si>
    <t>RMJH74TR11</t>
  </si>
  <si>
    <t>RMJH74TR12</t>
  </si>
  <si>
    <t>RMJH74TR21</t>
  </si>
  <si>
    <t>RMJH74TR22</t>
  </si>
  <si>
    <t>RMJH74TR23</t>
  </si>
  <si>
    <t>RMJH74TR31</t>
  </si>
  <si>
    <t>RMJH74TR32</t>
  </si>
  <si>
    <t>RMJH74V100</t>
  </si>
  <si>
    <t>RMJH74VG11</t>
  </si>
  <si>
    <t>RMJH74VR11</t>
  </si>
  <si>
    <t>RMJK749100</t>
  </si>
  <si>
    <t>RMJK749G21</t>
  </si>
  <si>
    <t>RMJK749G91</t>
  </si>
  <si>
    <t>RMJK749G92</t>
  </si>
  <si>
    <t>RMJK749R01</t>
  </si>
  <si>
    <t>RMJK749R11</t>
  </si>
  <si>
    <t>RMJK749R21</t>
  </si>
  <si>
    <t>RMJK749R22</t>
  </si>
  <si>
    <t>RMJK749R23</t>
  </si>
  <si>
    <t>RMJK749RQA</t>
  </si>
  <si>
    <t>RMJK74CR11</t>
  </si>
  <si>
    <t>RMJK74CR31</t>
  </si>
  <si>
    <t>RMJK74TR11</t>
  </si>
  <si>
    <t>RMJK74TR21</t>
  </si>
  <si>
    <t>RMJK74TR22</t>
  </si>
  <si>
    <t>RMJP749G11</t>
  </si>
  <si>
    <t>RMJP74TG11</t>
  </si>
  <si>
    <t>RMJP74TG12</t>
  </si>
  <si>
    <t>RMJP74TG13</t>
  </si>
  <si>
    <t>RMJP74VG11</t>
  </si>
  <si>
    <t>RMKA749100</t>
  </si>
  <si>
    <t>RMKA749101</t>
  </si>
  <si>
    <t>RMKA749G03</t>
  </si>
  <si>
    <t>RMKA749GQ1</t>
  </si>
  <si>
    <t>RMKA749RQ1</t>
  </si>
  <si>
    <t>RMKA749RQ2</t>
  </si>
  <si>
    <t>RMKA749RQ3</t>
  </si>
  <si>
    <t>RMKA74C100</t>
  </si>
  <si>
    <t>RMKA74CR12</t>
  </si>
  <si>
    <t>RMKA74CR13</t>
  </si>
  <si>
    <t>RMKA74T100</t>
  </si>
  <si>
    <t>RMKA74T101</t>
  </si>
  <si>
    <t>RMKA74T102</t>
  </si>
  <si>
    <t>RMKA74T103</t>
  </si>
  <si>
    <t>RMKA74TG11</t>
  </si>
  <si>
    <t>RMKA74TG12</t>
  </si>
  <si>
    <t>RMKA74TG31</t>
  </si>
  <si>
    <t>RMKA74TG32</t>
  </si>
  <si>
    <t>RMKA74TGQ1</t>
  </si>
  <si>
    <t>RMKA74TGQ2</t>
  </si>
  <si>
    <t>RMKA74TGQ3</t>
  </si>
  <si>
    <t>RMKA74TR11</t>
  </si>
  <si>
    <t>RMKA74TR21</t>
  </si>
  <si>
    <t>RMKA74TR22</t>
  </si>
  <si>
    <t>RMKA74TR23</t>
  </si>
  <si>
    <t>RMKA74TR24</t>
  </si>
  <si>
    <t>RMKA74TR25</t>
  </si>
  <si>
    <t>RMKA74TRD1</t>
  </si>
  <si>
    <t>RMKA74TRM1</t>
  </si>
  <si>
    <t>RMKA74TRM2</t>
  </si>
  <si>
    <t>RMKA74TRM3</t>
  </si>
  <si>
    <t>RMKA74TRQ1</t>
  </si>
  <si>
    <t>RMKA74TRQ2</t>
  </si>
  <si>
    <t>RMKA74TRQ3</t>
  </si>
  <si>
    <t>RMKA74TRS1</t>
  </si>
  <si>
    <t>RMKA74VGQ1</t>
  </si>
  <si>
    <t>RMKA74VR11</t>
  </si>
  <si>
    <t>RMKA74VR12</t>
  </si>
  <si>
    <t>RMKA74VR13</t>
  </si>
  <si>
    <t>RMLQ748G11</t>
  </si>
  <si>
    <t>RMLQ748G12</t>
  </si>
  <si>
    <t>RMLQ748R11</t>
  </si>
  <si>
    <t>RMLQ748R12</t>
  </si>
  <si>
    <t>RMLQ748R13</t>
  </si>
  <si>
    <t>RMLW749100</t>
  </si>
  <si>
    <t>RMLW749G01</t>
  </si>
  <si>
    <t>RMLW749G11</t>
  </si>
  <si>
    <t>RMLW749G12</t>
  </si>
  <si>
    <t>RMLW749GQ1</t>
  </si>
  <si>
    <t>RMLW74CR11</t>
  </si>
  <si>
    <t>RMLW74TG11</t>
  </si>
  <si>
    <t>RMLW74TG12</t>
  </si>
  <si>
    <t>RMLW74TG13</t>
  </si>
  <si>
    <t>RMLW74TGQ1</t>
  </si>
  <si>
    <t>RMLW74TR01</t>
  </si>
  <si>
    <t>RMLW74TRD1</t>
  </si>
  <si>
    <t>RMLW74TRQ1</t>
  </si>
  <si>
    <t>RMLW74VG11</t>
  </si>
  <si>
    <t>RMOK74TR11</t>
  </si>
  <si>
    <t>RMOK74VR11</t>
  </si>
  <si>
    <t>RMOW749G11</t>
  </si>
  <si>
    <t>RMOW749GQ1</t>
  </si>
  <si>
    <t>RMOW749GQ2</t>
  </si>
  <si>
    <t>RMOW749R11</t>
  </si>
  <si>
    <t>RMOW749R12</t>
  </si>
  <si>
    <t>RMOW749R31</t>
  </si>
  <si>
    <t>RMOW749RM1</t>
  </si>
  <si>
    <t>RMOW749RM2</t>
  </si>
  <si>
    <t>RMOW749RQ1</t>
  </si>
  <si>
    <t>RMOW749RQ2</t>
  </si>
  <si>
    <t>RMOW749RQ3</t>
  </si>
  <si>
    <t>RMOW749RQ4</t>
  </si>
  <si>
    <t>RMOW74CR11</t>
  </si>
  <si>
    <t>RMOW74CR12</t>
  </si>
  <si>
    <t>RMOW74CR13</t>
  </si>
  <si>
    <t>RMOW74CR31</t>
  </si>
  <si>
    <t>RMOW74TG11</t>
  </si>
  <si>
    <t>RMOW74TGQ1</t>
  </si>
  <si>
    <t>RMOW74TGQ2</t>
  </si>
  <si>
    <t>RMOW74TGQ3</t>
  </si>
  <si>
    <t>RMOW74TR11</t>
  </si>
  <si>
    <t>RMOW74TR12</t>
  </si>
  <si>
    <t>RMOW74TR13</t>
  </si>
  <si>
    <t>RMOW74TR21</t>
  </si>
  <si>
    <t>RMOW74TRD1</t>
  </si>
  <si>
    <t>RMOW74TRD2</t>
  </si>
  <si>
    <t>RMOW74TRQ1</t>
  </si>
  <si>
    <t>RMOW74TRQ2</t>
  </si>
  <si>
    <t>RMOW74TRQ3</t>
  </si>
  <si>
    <t>RMOW74TRQ4</t>
  </si>
  <si>
    <t>RMOW74VG11</t>
  </si>
  <si>
    <t>RMOW74VGQ1</t>
  </si>
  <si>
    <t>RMOW74VR11</t>
  </si>
  <si>
    <t>RMOW74VR12</t>
  </si>
  <si>
    <t>RMOW74VR21</t>
  </si>
  <si>
    <t>RMTJ749G01</t>
  </si>
  <si>
    <t>RMTJ749G11</t>
  </si>
  <si>
    <t>RMTJ749G21</t>
  </si>
  <si>
    <t>RMTJ74CG01</t>
  </si>
  <si>
    <t>RMTJ74CG02</t>
  </si>
  <si>
    <t>RMTJ74TG01</t>
  </si>
  <si>
    <t>RMTW749100</t>
  </si>
  <si>
    <t>RMTW749R01</t>
  </si>
  <si>
    <t>RMTW749RQ1</t>
  </si>
  <si>
    <t>RMTW749RQ2</t>
  </si>
  <si>
    <t>RMTW749RQA</t>
  </si>
  <si>
    <t>RMTW749RS1</t>
  </si>
  <si>
    <t>RMTW74C100</t>
  </si>
  <si>
    <t>RMTW74T100</t>
  </si>
  <si>
    <t>RMTW74TR21</t>
  </si>
  <si>
    <t>RMTW74TR22</t>
  </si>
  <si>
    <t>RMTW74TR31</t>
  </si>
  <si>
    <t>RMTW74TRQ1</t>
  </si>
  <si>
    <t>RMTW74TRQ2</t>
  </si>
  <si>
    <t>RMTW74VGQ1</t>
  </si>
  <si>
    <t>RMTW74VR11</t>
  </si>
  <si>
    <t>RMTW74VR12</t>
  </si>
  <si>
    <t>RMTW74VR21</t>
  </si>
  <si>
    <t>RMVK749R31</t>
  </si>
  <si>
    <t>RMVK74TR21</t>
  </si>
  <si>
    <t>RMVK74TRQ1</t>
  </si>
  <si>
    <t>RMVK74VR11</t>
  </si>
  <si>
    <t>RMVW74TG91</t>
  </si>
  <si>
    <t>RMVW74TGQ1</t>
  </si>
  <si>
    <t>RMWH749G11</t>
  </si>
  <si>
    <t>RMWH749GQ1</t>
  </si>
  <si>
    <t>RMWH749GQ2</t>
  </si>
  <si>
    <t>RMWH749R01</t>
  </si>
  <si>
    <t>RMWH749R11</t>
  </si>
  <si>
    <t>RMWH749R12</t>
  </si>
  <si>
    <t>RMWH749R21</t>
  </si>
  <si>
    <t>RMWH749R22</t>
  </si>
  <si>
    <t>RMWH749R31</t>
  </si>
  <si>
    <t>RMWH749RQ1</t>
  </si>
  <si>
    <t>RMWH74CR11</t>
  </si>
  <si>
    <t>RMWH74CR31</t>
  </si>
  <si>
    <t>RMWH74T100</t>
  </si>
  <si>
    <t>RMWH74T101</t>
  </si>
  <si>
    <t>RMWH74TG11</t>
  </si>
  <si>
    <t>RMWH74TG12</t>
  </si>
  <si>
    <t>RMWH74TGQ1</t>
  </si>
  <si>
    <t>RMWH74TR11</t>
  </si>
  <si>
    <t>RMWH74TR21</t>
  </si>
  <si>
    <t>RMWH74TRQ1</t>
  </si>
  <si>
    <t>RMWH74TRQ2</t>
  </si>
  <si>
    <t>RMWH74TRQ3</t>
  </si>
  <si>
    <t>RMWH74TRQ4</t>
  </si>
  <si>
    <t>RMWH74TRQ5</t>
  </si>
  <si>
    <t>RMWH74TRQ6</t>
  </si>
  <si>
    <t>RMWH74TRQA</t>
  </si>
  <si>
    <t>RMWH74TRQB</t>
  </si>
  <si>
    <t>RMWH74TRS2</t>
  </si>
  <si>
    <t>RMWH74TRS3</t>
  </si>
  <si>
    <t>RMWH74TRS4</t>
  </si>
  <si>
    <t>RMWH74VG11</t>
  </si>
  <si>
    <t>RMWH74VG91</t>
  </si>
  <si>
    <t>RMWH74VGQ1</t>
  </si>
  <si>
    <t>RMWH74VR21</t>
  </si>
  <si>
    <t>RMWH74VR22</t>
  </si>
  <si>
    <t>RMWH74VRS1</t>
  </si>
  <si>
    <t>RMWJ749G01</t>
  </si>
  <si>
    <t>RMWJ74TGQ1</t>
  </si>
  <si>
    <t>RMWK74VR13</t>
  </si>
  <si>
    <t>RMYW749G11</t>
  </si>
  <si>
    <t>RMYW749G12</t>
  </si>
  <si>
    <t>RMYW749GQ1</t>
  </si>
  <si>
    <t>RMYW749GS1</t>
  </si>
  <si>
    <t>RMYW749R01</t>
  </si>
  <si>
    <t>RMYW749R11</t>
  </si>
  <si>
    <t>RMYW749R21</t>
  </si>
  <si>
    <t>RMYW74TRD1</t>
  </si>
  <si>
    <t>RMYW74TRQ1</t>
  </si>
  <si>
    <t>RM</t>
  </si>
  <si>
    <t>온라인 상품 등록 체크판</t>
    <phoneticPr fontId="21" type="noConversion"/>
  </si>
  <si>
    <t>브랜드</t>
    <phoneticPr fontId="21" type="noConversion"/>
  </si>
  <si>
    <t>스타일코드</t>
    <phoneticPr fontId="21" type="noConversion"/>
  </si>
  <si>
    <t xml:space="preserve">스타일명 </t>
    <phoneticPr fontId="21" type="noConversion"/>
  </si>
  <si>
    <t>정판가</t>
    <phoneticPr fontId="21" type="noConversion"/>
  </si>
  <si>
    <t>컬러1</t>
    <phoneticPr fontId="21" type="noConversion"/>
  </si>
  <si>
    <t>컬러2</t>
  </si>
  <si>
    <t>컬러3</t>
  </si>
  <si>
    <t>컬러4</t>
  </si>
  <si>
    <t>컬러6</t>
  </si>
  <si>
    <t>착장컷</t>
    <phoneticPr fontId="21" type="noConversion"/>
  </si>
  <si>
    <t>배너컷</t>
    <phoneticPr fontId="21" type="noConversion"/>
  </si>
  <si>
    <t>최초출고일</t>
    <phoneticPr fontId="21" type="noConversion"/>
  </si>
  <si>
    <t>등록여부</t>
    <phoneticPr fontId="21" type="noConversion"/>
  </si>
  <si>
    <t>0</t>
  </si>
  <si>
    <t>RM</t>
    <phoneticPr fontId="21" type="noConversion"/>
  </si>
  <si>
    <t>전체sty</t>
    <phoneticPr fontId="21" type="noConversion"/>
  </si>
  <si>
    <t xml:space="preserve">등록율 </t>
    <phoneticPr fontId="21" type="noConversion"/>
  </si>
  <si>
    <t>등록</t>
    <phoneticPr fontId="21" type="noConversion"/>
  </si>
  <si>
    <t>업데이트</t>
    <phoneticPr fontId="21" type="noConversion"/>
  </si>
  <si>
    <t>로엠</t>
    <phoneticPr fontId="21" type="noConversion"/>
  </si>
  <si>
    <t>순서</t>
    <phoneticPr fontId="21" type="noConversion"/>
  </si>
  <si>
    <t>비고</t>
    <phoneticPr fontId="21" type="noConversion"/>
  </si>
  <si>
    <t>배너촬영</t>
    <phoneticPr fontId="21" type="noConversion"/>
  </si>
  <si>
    <t>★브랜드에서 전달 예정입니다. 리스트 받으면 스타일코드에 해당 스타일만 붙여넣기하면 됩니다.</t>
    <phoneticPr fontId="21" type="noConversion"/>
  </si>
  <si>
    <t>촬영일자</t>
    <phoneticPr fontId="21" type="noConversion"/>
  </si>
  <si>
    <t>배너촬영일</t>
    <phoneticPr fontId="21" type="noConversion"/>
  </si>
  <si>
    <t xml:space="preserve">상품컷 (컬러별)_단품촬영 후 컬러링 표기로 체크할 것! </t>
    <phoneticPr fontId="21" type="noConversion"/>
  </si>
  <si>
    <t>CV</t>
    <phoneticPr fontId="21" type="noConversion"/>
  </si>
  <si>
    <t xml:space="preserve">★촬영일자별로 누적 관리할 것, 앞으로 이 양식으로 촬영리스트 관리하면 됩니다. </t>
    <phoneticPr fontId="21" type="noConversion"/>
  </si>
  <si>
    <t xml:space="preserve">★스튜디오에서 관리합니다. </t>
    <phoneticPr fontId="21" type="noConversion"/>
  </si>
  <si>
    <t>촬영완료</t>
    <phoneticPr fontId="21" type="noConversion"/>
  </si>
  <si>
    <t>TM</t>
    <phoneticPr fontId="21" type="noConversion"/>
  </si>
  <si>
    <t>컬러5</t>
    <phoneticPr fontId="21" type="noConversion"/>
  </si>
  <si>
    <t>RMBL74VRQ2</t>
  </si>
  <si>
    <t>RMBL74VRQ3</t>
  </si>
  <si>
    <t>RMKA74VGQ2</t>
  </si>
  <si>
    <t>RMOK74VRQ1</t>
  </si>
  <si>
    <t>RMTW74VRQ1</t>
  </si>
  <si>
    <t>RMWH74VRQ1</t>
  </si>
  <si>
    <t>RMYW74VRQ1</t>
  </si>
  <si>
    <t>RMAX74CGM1</t>
  </si>
  <si>
    <t>RMAX74VGM1</t>
  </si>
  <si>
    <t>RMAX74VGM2</t>
  </si>
  <si>
    <t>RMAX74VGM3</t>
  </si>
  <si>
    <t>RMAY74VGM1</t>
  </si>
  <si>
    <t>RMCK74VGM1</t>
  </si>
  <si>
    <t>RMCK74VGQ1</t>
  </si>
  <si>
    <t>RMGN74VGM1</t>
  </si>
  <si>
    <t>RMJH74CRS1</t>
  </si>
  <si>
    <t>RMOW74VRQ1</t>
  </si>
  <si>
    <t>RMOW74VRQ2</t>
  </si>
  <si>
    <t>RMOW74VRQ3</t>
  </si>
  <si>
    <t>RMOW74VRS2</t>
  </si>
  <si>
    <t>RMOW74VRS3</t>
  </si>
  <si>
    <t>RMPP74CGM1</t>
  </si>
  <si>
    <t>RMVW74VRSA</t>
  </si>
  <si>
    <t>RMWH74VRQ2</t>
  </si>
  <si>
    <t>RMWH74VRSA</t>
  </si>
  <si>
    <t>RMYO74VGM1</t>
  </si>
  <si>
    <t>RMYW74VGQ1</t>
  </si>
  <si>
    <t>RMYW74VGQ2</t>
  </si>
  <si>
    <t>RMPP74VGM1</t>
  </si>
  <si>
    <t>RMWH74VGQ2</t>
  </si>
  <si>
    <t>RMYW74VGQ3</t>
  </si>
  <si>
    <t>RMAK74VGS1</t>
  </si>
  <si>
    <t>RMAP74VGM1</t>
  </si>
  <si>
    <t>RMBL74CRQ1</t>
  </si>
  <si>
    <t>RMBL74VGQ3</t>
  </si>
  <si>
    <t>RMCK74CRQ1</t>
  </si>
  <si>
    <t>RMKA74CRQ1</t>
  </si>
  <si>
    <t>RMKA74CRQ2</t>
  </si>
  <si>
    <t>RMKA74VGQ3</t>
  </si>
  <si>
    <t>RMKA74VRS1</t>
  </si>
  <si>
    <t>RMKA74VRS2</t>
  </si>
  <si>
    <t>RMLW74VGM1</t>
  </si>
  <si>
    <t>RMLW74VGM2</t>
  </si>
  <si>
    <t>RMLW74VGQ1</t>
  </si>
  <si>
    <t>RMOK74CRQ1</t>
  </si>
  <si>
    <t>RMOW74CRQ1</t>
  </si>
  <si>
    <t>RMOW74CRQ2</t>
  </si>
  <si>
    <t>RMOW74CRQ3</t>
  </si>
  <si>
    <t>RMOW74CRQ4</t>
  </si>
  <si>
    <t>RMOW74CRS1</t>
  </si>
  <si>
    <t>RMOW74VGQ2</t>
  </si>
  <si>
    <t>RMPP74VGM2</t>
  </si>
  <si>
    <t>RMVK74VGQ1</t>
  </si>
  <si>
    <t>RMVW74CRS1</t>
  </si>
  <si>
    <t>RMWH74VRQ4</t>
  </si>
  <si>
    <t>RMWK74VGQ1</t>
  </si>
  <si>
    <t>RMYW74CRQ1</t>
  </si>
  <si>
    <t>25900</t>
  </si>
  <si>
    <t>99900</t>
  </si>
  <si>
    <t>포토인계일</t>
  </si>
  <si>
    <t>리터칭완료일</t>
  </si>
  <si>
    <t>1</t>
  </si>
  <si>
    <t>WH</t>
  </si>
  <si>
    <t>2</t>
  </si>
  <si>
    <t>(10)White</t>
  </si>
  <si>
    <t>(59)Navy</t>
  </si>
  <si>
    <t>(17)Dark Gray</t>
  </si>
  <si>
    <t>M</t>
  </si>
  <si>
    <t>(50)Blue</t>
  </si>
  <si>
    <t>(35)Beige</t>
  </si>
  <si>
    <t>(36)Light Beige</t>
  </si>
  <si>
    <t>(25)Pink</t>
  </si>
  <si>
    <t>(39)Ivory</t>
  </si>
  <si>
    <t>(19)Black</t>
  </si>
  <si>
    <t>(64)Cream</t>
  </si>
  <si>
    <t>(20)Red</t>
  </si>
  <si>
    <t>(76)Light Purple</t>
  </si>
  <si>
    <t>(15)Gray</t>
  </si>
  <si>
    <t>(16)Light Gray</t>
  </si>
  <si>
    <t>(30)Yellow</t>
  </si>
  <si>
    <t>(55)Indigo</t>
  </si>
  <si>
    <t>(56)Light Indigo</t>
  </si>
  <si>
    <t>(49)Khaki</t>
  </si>
  <si>
    <t>(40)Green</t>
  </si>
  <si>
    <t>(51)Light Blue</t>
  </si>
  <si>
    <t>(29)Burgundy</t>
  </si>
  <si>
    <t>(AC)Melange Gray</t>
  </si>
  <si>
    <t>(62)Hunter</t>
  </si>
  <si>
    <t>(85)Brown</t>
  </si>
  <si>
    <t>입고</t>
    <phoneticPr fontId="21" type="noConversion"/>
  </si>
  <si>
    <t>완료</t>
    <phoneticPr fontId="21" type="noConversion"/>
  </si>
  <si>
    <t>파샬</t>
    <phoneticPr fontId="21" type="noConversion"/>
  </si>
  <si>
    <t>스튜디오
전표일자</t>
    <phoneticPr fontId="21" type="noConversion"/>
  </si>
  <si>
    <t>포토</t>
    <phoneticPr fontId="21" type="noConversion"/>
  </si>
  <si>
    <t>상품군</t>
    <phoneticPr fontId="21" type="noConversion"/>
  </si>
  <si>
    <t>시즌</t>
    <phoneticPr fontId="21" type="noConversion"/>
  </si>
  <si>
    <t>월</t>
    <phoneticPr fontId="21" type="noConversion"/>
  </si>
  <si>
    <t>브랜드</t>
    <phoneticPr fontId="21" type="noConversion"/>
  </si>
  <si>
    <t xml:space="preserve">스타일명 </t>
    <phoneticPr fontId="21" type="noConversion"/>
  </si>
  <si>
    <t>입고유형</t>
    <phoneticPr fontId="21" type="noConversion"/>
  </si>
  <si>
    <t>정판가</t>
    <phoneticPr fontId="21" type="noConversion"/>
  </si>
  <si>
    <t>최초출고일</t>
    <phoneticPr fontId="21" type="noConversion"/>
  </si>
  <si>
    <t>입고
차이</t>
    <phoneticPr fontId="21" type="noConversion"/>
  </si>
  <si>
    <t>구현
차이</t>
    <phoneticPr fontId="21" type="noConversion"/>
  </si>
  <si>
    <t>착장컷</t>
    <phoneticPr fontId="21" type="noConversion"/>
  </si>
  <si>
    <t>배너컷</t>
    <phoneticPr fontId="21" type="noConversion"/>
  </si>
  <si>
    <t>배너촬영일</t>
    <phoneticPr fontId="21" type="noConversion"/>
  </si>
  <si>
    <t>(99)Mix</t>
  </si>
  <si>
    <t>(33)Oatmeal Melange</t>
  </si>
  <si>
    <t>(60)Charcoal</t>
  </si>
  <si>
    <t>(84)Mint</t>
  </si>
  <si>
    <t>(75)Purple</t>
  </si>
  <si>
    <t>매장출고
(이스퀘어강남)</t>
    <phoneticPr fontId="21" type="noConversion"/>
  </si>
  <si>
    <t>공홈
등록일</t>
    <phoneticPr fontId="21" type="noConversion"/>
  </si>
  <si>
    <t>공홈
등록여부</t>
    <phoneticPr fontId="21" type="noConversion"/>
  </si>
  <si>
    <t>공홈등록 소요일
(공홈등록일-리터칭완료일)</t>
    <phoneticPr fontId="21" type="noConversion"/>
  </si>
  <si>
    <t>포토소요일</t>
    <phoneticPr fontId="21" type="noConversion"/>
  </si>
  <si>
    <t xml:space="preserve"> </t>
    <phoneticPr fontId="21" type="noConversion"/>
  </si>
  <si>
    <t>입고</t>
    <phoneticPr fontId="21" type="noConversion"/>
  </si>
  <si>
    <t>(61)Coral</t>
  </si>
  <si>
    <t>(79)Olive Green</t>
  </si>
  <si>
    <t>(AA)Light Melange Gr</t>
  </si>
  <si>
    <t>(BU)Light Khaki</t>
  </si>
  <si>
    <t>#</t>
  </si>
  <si>
    <t>(26)Light Pink</t>
  </si>
  <si>
    <t>(52)Dark Blue</t>
  </si>
  <si>
    <t>(57)Dark Indigo</t>
  </si>
  <si>
    <t>(AD)Dark Melange Gra</t>
  </si>
  <si>
    <t>Steve Ball Cap</t>
  </si>
  <si>
    <t>Steve High Gauge Wool Cable Cardigan</t>
  </si>
  <si>
    <t>Steve Quilting Jacket</t>
  </si>
  <si>
    <t>Steve Cable Sweater(M)</t>
  </si>
  <si>
    <t>Steve V-neck Cable Sweater</t>
  </si>
  <si>
    <t>Signature Patch Hood Zip-up</t>
  </si>
  <si>
    <t xml:space="preserve">상품컷 (컬러별)_단품촬영 후 컬러링 표기로 체크할 것! </t>
    <phoneticPr fontId="21" type="noConversion"/>
  </si>
  <si>
    <t>Steve Oxfort Shirts(Slim Fit)</t>
  </si>
  <si>
    <t>Steve Loose Fit Shirts</t>
  </si>
  <si>
    <t>Lightweight Windbreaker(F)</t>
  </si>
  <si>
    <t>(BV)Melange Blue</t>
  </si>
  <si>
    <t>Steve Collar Cable Short Sleeve Sweater</t>
  </si>
  <si>
    <t>Ribbed Long Sleeve T-shirt</t>
  </si>
  <si>
    <t>(31)Light Yellow</t>
  </si>
  <si>
    <t>Steve Colorblock T-Shirt</t>
  </si>
  <si>
    <t>Steve Basic Shorts</t>
  </si>
  <si>
    <t>Steve Basic Shorts(F)</t>
  </si>
  <si>
    <t>Steve Seersucker Shorts(Set-up)</t>
  </si>
  <si>
    <t>Lightweight Wide Denim(F)</t>
  </si>
  <si>
    <t>Cool Denim Overalls</t>
  </si>
  <si>
    <t>Dobby Shiring Blouse</t>
  </si>
  <si>
    <t>Steve Denim Short Sleeve Shirts</t>
  </si>
  <si>
    <t>Steve Oxfort Shirts</t>
  </si>
  <si>
    <t>Steve Oxford Shirts(Slim Fit)</t>
  </si>
  <si>
    <t>Steve Oxford Short Sleeve Shirts</t>
  </si>
  <si>
    <t>Steve Embroidery Socks</t>
  </si>
  <si>
    <t>Steve Nylon Mini Cross Bag</t>
  </si>
  <si>
    <t>Patch Crop Hood Zip-up</t>
  </si>
  <si>
    <t>Steve Hoodie</t>
  </si>
  <si>
    <t>Steve Sweatshirt</t>
  </si>
  <si>
    <t>Steve Photo Sweatshirt</t>
  </si>
  <si>
    <t>Steve Hood Zip-up</t>
  </si>
  <si>
    <t>Steve Wide Pants</t>
  </si>
  <si>
    <t>Steve Jogger Pants</t>
  </si>
  <si>
    <t>Steve Cable Cardigan</t>
  </si>
  <si>
    <t>Steve R-neck Cardigan</t>
  </si>
  <si>
    <t>Light Padded Jacket</t>
  </si>
  <si>
    <t>Steve Packable Windbreaker</t>
  </si>
  <si>
    <t>Steve Patch Sweatshirt</t>
  </si>
  <si>
    <t>Patch Wide Pants</t>
  </si>
  <si>
    <t>모델컷
업로드일</t>
    <phoneticPr fontId="21" type="noConversion"/>
  </si>
  <si>
    <t>모델컷
촬영일</t>
    <phoneticPr fontId="21" type="noConversion"/>
  </si>
  <si>
    <t>모델컷
등록일</t>
    <phoneticPr fontId="21" type="noConversion"/>
  </si>
  <si>
    <t>Wide Cargo Pants(F)</t>
  </si>
  <si>
    <t>Campus Letter Wide Pants</t>
  </si>
  <si>
    <t>Steve Ribbed Short Sleeve T-shirt[B]</t>
  </si>
  <si>
    <t>Rayon Nylon Wide Pants(F)</t>
  </si>
  <si>
    <t>Lightweight Viscose Wide Pants</t>
  </si>
  <si>
    <t>Cooling Nylon Shorts(F)</t>
  </si>
  <si>
    <t>Lettering Boucle Sweater</t>
  </si>
  <si>
    <t>Summer Button Cardigan</t>
  </si>
  <si>
    <t>Bermuda Denim Shorts(F)</t>
  </si>
  <si>
    <t>Reversible Dumble Jumper(F)</t>
  </si>
  <si>
    <t>Ribbed Henry Neck Long Sleeve T-shirt</t>
  </si>
  <si>
    <t>Steve Cable Tilden Sweater(F)</t>
  </si>
  <si>
    <t>Signature Patch Hood Zip-up(Colorblock)</t>
  </si>
  <si>
    <t>Knitted Crochet Bucket Hat</t>
  </si>
  <si>
    <t>Steve Flip-flops</t>
  </si>
  <si>
    <t>Steve Summer Clog</t>
  </si>
  <si>
    <t>Steve Canvas Tote Bag</t>
  </si>
  <si>
    <t>Steve Packable Light Bag</t>
  </si>
  <si>
    <t>Steve Stripe Cardigan</t>
  </si>
  <si>
    <t>Blouson Jacket(F)</t>
  </si>
  <si>
    <t>Steve Open Collar Stripe Pullover</t>
  </si>
  <si>
    <t>(CH)Multi</t>
  </si>
  <si>
    <t>Steve Long Sleeve T-shirt</t>
  </si>
  <si>
    <t>Campus Patch Hoodie</t>
  </si>
  <si>
    <t>(2PACK)Steve Solid T-shirt[B]</t>
  </si>
  <si>
    <t>Campus Ringer T-shirt</t>
  </si>
  <si>
    <t>(2PACK)Steve Stripe T-shirt[B]</t>
  </si>
  <si>
    <t>Steve Multi Stripe T-shirt(F)</t>
  </si>
  <si>
    <t>Cotton Nylon Cargo Pants(U)</t>
  </si>
  <si>
    <t>Nylon Cargo Pants(Set-up)</t>
  </si>
  <si>
    <t>Seersucker Stripe Pants</t>
  </si>
  <si>
    <t>Steve Cotton Shorts(Set-up)</t>
  </si>
  <si>
    <t>Surfing Bear Cooling Shorts(U)</t>
  </si>
  <si>
    <t>Easy Bending Denim(U)</t>
  </si>
  <si>
    <t>Lightweight Wide Denim(M)</t>
  </si>
  <si>
    <t>Cool Denim Overalls One piece</t>
  </si>
  <si>
    <t>Bermuda Cargo Denim Shorts(U)</t>
  </si>
  <si>
    <t>Denim Shorts(F)</t>
  </si>
  <si>
    <t>Carpenter Denim Shorts(M)</t>
  </si>
  <si>
    <t>Campus Letter Half Pants</t>
  </si>
  <si>
    <t>Cooling Wide Pants</t>
  </si>
  <si>
    <t>Track Shorts</t>
  </si>
  <si>
    <t>Steve Denim Crop Short Sleeve Shirts</t>
  </si>
  <si>
    <t>Steve Loose Fit Striped Shirts</t>
  </si>
  <si>
    <t>Parachute Easy Active Pants(F)</t>
  </si>
  <si>
    <t>Slim Bootscut Denim(F)</t>
  </si>
  <si>
    <t>Steve Denim Set-up Shorts (F)</t>
  </si>
  <si>
    <t>Vintage Washing Wide Denim(F)</t>
  </si>
  <si>
    <t>Steve Stripe Open Collar Pullover</t>
  </si>
  <si>
    <t>Easy Lounge Pants</t>
  </si>
  <si>
    <t>Steve Padding Vest</t>
  </si>
  <si>
    <t>Steve Oxford Sleeveless Shirts [B]</t>
  </si>
  <si>
    <t>129000</t>
  </si>
  <si>
    <t>Steve High Gauge Cable Cardigan</t>
  </si>
  <si>
    <t>물류</t>
  </si>
  <si>
    <t>Loose-fit Check Shirts (U)</t>
  </si>
  <si>
    <t>Detachable Collar Quilted Jacket(F)</t>
  </si>
  <si>
    <t>Short Puffer Padding</t>
  </si>
  <si>
    <t>Stripe Long Sleeve T-shirt</t>
  </si>
  <si>
    <t>Check Patterend Blouse</t>
  </si>
  <si>
    <t>Ribbed Button Cardigan</t>
  </si>
  <si>
    <t>Multi Stripe T-shirt</t>
  </si>
  <si>
    <t>Denim Trucker (M)</t>
  </si>
  <si>
    <t>Slim Straight Denim (F)</t>
  </si>
  <si>
    <t>Ribbed Henry Neck T-shirt</t>
  </si>
  <si>
    <t>Cotton Bermuda Shorts (U)</t>
  </si>
  <si>
    <t>Denim Blouse</t>
  </si>
  <si>
    <t>Bermuda Half Pants</t>
  </si>
  <si>
    <t>Steve High Gauge Cotton Cable Cardigan</t>
  </si>
  <si>
    <t>Layered Henry Neck Long Sleeve T-Shirt</t>
  </si>
  <si>
    <t>Steve Ribbed Henry Neck T-shirt[B]</t>
  </si>
  <si>
    <t>Light Hooded Reversible Jacket</t>
  </si>
  <si>
    <t>American Flag Intarsia Pullover</t>
  </si>
  <si>
    <t>Cali Raw Cut Sweatshirt(Loose Fit)</t>
  </si>
  <si>
    <t>Fluffy Bear Knit Keyring</t>
  </si>
  <si>
    <t>USA Canvas Tote Bag</t>
  </si>
  <si>
    <t>WHRAG2351U</t>
  </si>
  <si>
    <t>WHMHG2221F</t>
  </si>
  <si>
    <t>WHMWG2251U</t>
  </si>
  <si>
    <t>WHMZG2221F</t>
  </si>
  <si>
    <t>WHTMG2221F</t>
  </si>
  <si>
    <t>2025-10-27</t>
  </si>
  <si>
    <t>WHACG1111A</t>
  </si>
  <si>
    <t>WHACG1112A</t>
  </si>
  <si>
    <t>Steve Head Embroidery Washed Ball Cap</t>
  </si>
  <si>
    <t>WHAYG1111A</t>
  </si>
  <si>
    <t>WHAYG1112A</t>
  </si>
  <si>
    <t>[3PACK]Steve Ankle Socks</t>
  </si>
  <si>
    <t>WHAYG1113A</t>
  </si>
  <si>
    <t>[4PACK]Steve Fake Socks</t>
  </si>
  <si>
    <t>WHAYG1121A</t>
  </si>
  <si>
    <t>[2PACK]Steve Dot Socks</t>
  </si>
  <si>
    <t>WHBGG1111A</t>
  </si>
  <si>
    <t>WHBGG1151A</t>
  </si>
  <si>
    <t>Steve Flap Mini Backpack[B]</t>
  </si>
  <si>
    <t>WHCKG1111F</t>
  </si>
  <si>
    <t>WHCKG1215F</t>
  </si>
  <si>
    <t>WHJJG1111F</t>
  </si>
  <si>
    <t>WHJJG1112F</t>
  </si>
  <si>
    <t>Steve Reversible Quilting Jacket</t>
  </si>
  <si>
    <t>WHJJG1115F</t>
  </si>
  <si>
    <t>WHJJG1121U</t>
  </si>
  <si>
    <t>USA Reversible Warm-Up Jacket</t>
  </si>
  <si>
    <t>WHJPG1112F</t>
  </si>
  <si>
    <t>WHJPG1115F</t>
  </si>
  <si>
    <t>WHJPG1191U</t>
  </si>
  <si>
    <t>WHJPG1196U</t>
  </si>
  <si>
    <t>(91)Silver</t>
  </si>
  <si>
    <t>WHKAG1114F</t>
  </si>
  <si>
    <t>WHKAG1121M</t>
  </si>
  <si>
    <t>WHKAG1191F</t>
  </si>
  <si>
    <t>Folded Off-Shoulder Pullover</t>
  </si>
  <si>
    <t>WHKAG1292U</t>
  </si>
  <si>
    <t>WHMHG1211U</t>
  </si>
  <si>
    <t>WHMWG1211U</t>
  </si>
  <si>
    <t>WHMZG1111F</t>
  </si>
  <si>
    <t>WHMZG1111U</t>
  </si>
  <si>
    <t>WHMZG1112U</t>
  </si>
  <si>
    <t>WHTMG1111F</t>
  </si>
  <si>
    <t>WHTMG1111U</t>
  </si>
  <si>
    <t>Signature Patch Wide Pants</t>
  </si>
  <si>
    <t>WHVWG1111U</t>
  </si>
  <si>
    <t>WHACG2221A</t>
  </si>
  <si>
    <t>Steve Denim Ball Cap</t>
  </si>
  <si>
    <t>WHACG2222A</t>
  </si>
  <si>
    <t>USA Embroidery Ball Cap</t>
  </si>
  <si>
    <t>WHACG2323A</t>
  </si>
  <si>
    <t>Denim Chain Stitch Ball Cap</t>
  </si>
  <si>
    <t>WHACG2351A</t>
  </si>
  <si>
    <t>Bear Embroidery Ball Cap[B]</t>
  </si>
  <si>
    <t>WHAPG2521A</t>
  </si>
  <si>
    <t>WHAPG2522A</t>
  </si>
  <si>
    <t>WHAWG2221A</t>
  </si>
  <si>
    <t>Steve Denim Keyring</t>
  </si>
  <si>
    <t>WHAWG2222A</t>
  </si>
  <si>
    <t>WHAWG2223A</t>
  </si>
  <si>
    <t>Fluffy Bear Mini Bag Charm</t>
  </si>
  <si>
    <t>WHAWG2331A</t>
  </si>
  <si>
    <t>Steve Denim Pouch</t>
  </si>
  <si>
    <t>WHAWG2411A</t>
  </si>
  <si>
    <t>Fluffy Bear Stripe Keyring</t>
  </si>
  <si>
    <t>WHAYG2221A</t>
  </si>
  <si>
    <t>Ribbed Frill Socks</t>
  </si>
  <si>
    <t>WHBGG2221A</t>
  </si>
  <si>
    <t>Steve Canvas Backpack</t>
  </si>
  <si>
    <t>WHBGG2222A</t>
  </si>
  <si>
    <t>Steve Canvas Cross Bag</t>
  </si>
  <si>
    <t>WHBGG2223A</t>
  </si>
  <si>
    <t>Steve Canvas Mini Tote Bag</t>
  </si>
  <si>
    <t>WHBGG2224A</t>
  </si>
  <si>
    <t>WHBGG2321A</t>
  </si>
  <si>
    <t>Pocket Duffel Bag</t>
  </si>
  <si>
    <t>WHBGG2322A</t>
  </si>
  <si>
    <t>Double Pocket Hobo Bag</t>
  </si>
  <si>
    <t>WHBGG2323A</t>
  </si>
  <si>
    <t>Steve Denim Mini Tote Bag</t>
  </si>
  <si>
    <t>WHBGG2324A</t>
  </si>
  <si>
    <t>Steve Denim Pocket Cross Bag</t>
  </si>
  <si>
    <t>WHBGG2331A</t>
  </si>
  <si>
    <t>Drawstring Pocket Backpack</t>
  </si>
  <si>
    <t>WHBGG2421A</t>
  </si>
  <si>
    <t>WHBGG2441A</t>
  </si>
  <si>
    <t>WHBGG2442A</t>
  </si>
  <si>
    <t>Stripe Canvas Tote Bag</t>
  </si>
  <si>
    <t>WHBGG2511A</t>
  </si>
  <si>
    <t>Steve Nylon Sacoche bag</t>
  </si>
  <si>
    <t>WHBLG2521F</t>
  </si>
  <si>
    <t>WHCKG2211F</t>
  </si>
  <si>
    <t>WHCKG2325F</t>
  </si>
  <si>
    <t>WHCKG2332F</t>
  </si>
  <si>
    <t>WHCKG2342F</t>
  </si>
  <si>
    <t>Steve Rayon R-neck Cardigan</t>
  </si>
  <si>
    <t>WHCKG2412F</t>
  </si>
  <si>
    <t>WHCKG2433F</t>
  </si>
  <si>
    <t>Punching Skashi Cardigan (Set-up)</t>
  </si>
  <si>
    <t>WHCKG2441F</t>
  </si>
  <si>
    <t>WHCKG2443F</t>
  </si>
  <si>
    <t>Skashi Ribbon Cardigan</t>
  </si>
  <si>
    <t>WHCKG2521F</t>
  </si>
  <si>
    <t>WHCKG2522F</t>
  </si>
  <si>
    <t>Punching Skashi Short Sleeve Cardigan</t>
  </si>
  <si>
    <t>WHCKG2523F</t>
  </si>
  <si>
    <t>Linen Skashi Cardigan</t>
  </si>
  <si>
    <t>WHCKG2524F</t>
  </si>
  <si>
    <t>WHCKG2525F</t>
  </si>
  <si>
    <t>WHHAG2421U</t>
  </si>
  <si>
    <t>WHJEG2232U</t>
  </si>
  <si>
    <t>Hood Varsity Denim Jacket</t>
  </si>
  <si>
    <t>WHJEG2345M</t>
  </si>
  <si>
    <t>WHJJG2221U</t>
  </si>
  <si>
    <t>Hood Varsity Coach Jacket</t>
  </si>
  <si>
    <t>WHJJG2233F</t>
  </si>
  <si>
    <t>Loose Fit Hooded Jacket</t>
  </si>
  <si>
    <t>WHJJG2312F</t>
  </si>
  <si>
    <t>Hood Windbreaker</t>
  </si>
  <si>
    <t>WHJJG2321U</t>
  </si>
  <si>
    <t>Highneck Windbreaker</t>
  </si>
  <si>
    <t>WHJJG2333F</t>
  </si>
  <si>
    <t>Half Work Jacket</t>
  </si>
  <si>
    <t>WHJJG2355F</t>
  </si>
  <si>
    <t>Cotton Hooded Jacket(F)</t>
  </si>
  <si>
    <t>WHJJG2355U</t>
  </si>
  <si>
    <t>Steve Hood Windbreaker[B]</t>
  </si>
  <si>
    <t>WHJJG2364F</t>
  </si>
  <si>
    <t>Eyelet Zip-up Jacket</t>
  </si>
  <si>
    <t>WHJJG2411U</t>
  </si>
  <si>
    <t>WHJJG2521F</t>
  </si>
  <si>
    <t>WHJKG2291F</t>
  </si>
  <si>
    <t>WHJKG2293U</t>
  </si>
  <si>
    <t>WHJPG2123F</t>
  </si>
  <si>
    <t>Padding Work Jacket</t>
  </si>
  <si>
    <t>WHKAG2291F</t>
  </si>
  <si>
    <t>Henley neck Pullover</t>
  </si>
  <si>
    <t>WHKAG2292F</t>
  </si>
  <si>
    <t>Shirts Layered Sweater</t>
  </si>
  <si>
    <t>WHKAG2333U</t>
  </si>
  <si>
    <t>WHKAG2343F</t>
  </si>
  <si>
    <t>WHKAG2345F</t>
  </si>
  <si>
    <t>Loosefit Stripe Pullover</t>
  </si>
  <si>
    <t>WHKAG2355F</t>
  </si>
  <si>
    <t>Steve Loosefit Stripe Pullover</t>
  </si>
  <si>
    <t>WHKAG2362F</t>
  </si>
  <si>
    <t>WHKAG2377F</t>
  </si>
  <si>
    <t>1849 Track Pullover</t>
  </si>
  <si>
    <t>WHKAG2411F</t>
  </si>
  <si>
    <t>Steve V-neck Cable Short Sleeve Sweater</t>
  </si>
  <si>
    <t>WHKAG2412F</t>
  </si>
  <si>
    <t>Steve R-neck Melange Short Sleeve Sweate</t>
  </si>
  <si>
    <t>(UY)Butter Yellow</t>
  </si>
  <si>
    <t>WHKAG2422F</t>
  </si>
  <si>
    <t>WHKAG2423F</t>
  </si>
  <si>
    <t>WHKAG2424U</t>
  </si>
  <si>
    <t>WHKAG2425F</t>
  </si>
  <si>
    <t>Steve R-neck Plain Short Sleeve Sweater</t>
  </si>
  <si>
    <t>WHKAG2435F</t>
  </si>
  <si>
    <t>Skashi Eyelet Pullover</t>
  </si>
  <si>
    <t>WHKAG2451F</t>
  </si>
  <si>
    <t>Skashi Henley neck Pullover [B]</t>
  </si>
  <si>
    <t>WHKAG2521F</t>
  </si>
  <si>
    <t>Summer Loose Fit Pullover</t>
  </si>
  <si>
    <t>WHKAG2522F</t>
  </si>
  <si>
    <t>Multi Collar Short Sleeve Sweater</t>
  </si>
  <si>
    <t>WHKVG2441F</t>
  </si>
  <si>
    <t>Punching Skashi Vest (Set-up)</t>
  </si>
  <si>
    <t>WHKVG2443F</t>
  </si>
  <si>
    <t>Skashi Henley neck Vest</t>
  </si>
  <si>
    <t>WHLAG2321F</t>
  </si>
  <si>
    <t>WHLAG2321U</t>
  </si>
  <si>
    <t>WHLAG2322F</t>
  </si>
  <si>
    <t>WHLAG2323F</t>
  </si>
  <si>
    <t>Eyelet Long Sleeve Cardigan</t>
  </si>
  <si>
    <t>WHLSG2321F</t>
  </si>
  <si>
    <t>WHLSG2321U</t>
  </si>
  <si>
    <t>WHMAG2221F</t>
  </si>
  <si>
    <t>Rugby Sweatshirt(F)</t>
  </si>
  <si>
    <t>WHMAG2221U</t>
  </si>
  <si>
    <t>Steve Rugby Stripe Sweatshirt</t>
  </si>
  <si>
    <t>Western Printing Hoodie</t>
  </si>
  <si>
    <t>WHMHG2221U</t>
  </si>
  <si>
    <t>WHMWG2201U</t>
  </si>
  <si>
    <t>Varsity Printing Sweatshirt</t>
  </si>
  <si>
    <t>WHMWG2221F</t>
  </si>
  <si>
    <t>Steve Sweatshirt(F)</t>
  </si>
  <si>
    <t>WHMWG2221U</t>
  </si>
  <si>
    <t>WHMWG2222F</t>
  </si>
  <si>
    <t>California Patch Sweatshirt(F)</t>
  </si>
  <si>
    <t>WHMWG2222U</t>
  </si>
  <si>
    <t>WHMWG2224U</t>
  </si>
  <si>
    <t>Campus Patch Sweatshirt</t>
  </si>
  <si>
    <t>Steve Photo Sweatshirt[B]</t>
  </si>
  <si>
    <t>WHMWG2301U</t>
  </si>
  <si>
    <t>Campus Printing Sweatshirt 3</t>
  </si>
  <si>
    <t>WHMWG2302U</t>
  </si>
  <si>
    <t>Campus Printing Sweatshirt 4</t>
  </si>
  <si>
    <t>WHMZG2211U</t>
  </si>
  <si>
    <t>Steve Hood Zip-up(F)</t>
  </si>
  <si>
    <t>WHOJG2531F</t>
  </si>
  <si>
    <t>WHRAG2311U</t>
  </si>
  <si>
    <t>WHRAG2321F</t>
  </si>
  <si>
    <t>Steve Short Sleeve T-shirt(Regular Fit)</t>
  </si>
  <si>
    <t>WHRAG2321U</t>
  </si>
  <si>
    <t>Steve Head Patch T-shirt(Comfort Fit)</t>
  </si>
  <si>
    <t>WHRAG2322F</t>
  </si>
  <si>
    <t>Steve Head Patch T-shirt(Crop Fit)</t>
  </si>
  <si>
    <t>WHRAG2322U</t>
  </si>
  <si>
    <t>California Lettering T-shirt(Over Fit)</t>
  </si>
  <si>
    <t>WHRAG2323F</t>
  </si>
  <si>
    <t>WHRAG2421F</t>
  </si>
  <si>
    <t>WHRAG2422F</t>
  </si>
  <si>
    <t>WHRAG2451F</t>
  </si>
  <si>
    <t>WHRAG2452F</t>
  </si>
  <si>
    <t>WHRPG2301F</t>
  </si>
  <si>
    <t>Printing Crop T-shirt</t>
  </si>
  <si>
    <t>WHRPG2301U</t>
  </si>
  <si>
    <t>20S Garment T-shirt</t>
  </si>
  <si>
    <t>WHRPG2302U</t>
  </si>
  <si>
    <t>20S Garment T-shirt 2</t>
  </si>
  <si>
    <t>WHRPG2391U</t>
  </si>
  <si>
    <t>CP Garment T-shirt</t>
  </si>
  <si>
    <t>WHRPG2421F</t>
  </si>
  <si>
    <t>Steve Photo T-shirt(F)</t>
  </si>
  <si>
    <t>WHRPG2421U</t>
  </si>
  <si>
    <t>Steve Photo T-shirt</t>
  </si>
  <si>
    <t>WHRPG2451F</t>
  </si>
  <si>
    <t>Bear Photo Crop T-shirt[B]</t>
  </si>
  <si>
    <t>WHRSG2321U</t>
  </si>
  <si>
    <t>Steve Stripe Short Sleeve T-shirt</t>
  </si>
  <si>
    <t>WHRSG2351U</t>
  </si>
  <si>
    <t>(2PACK)Steve Pin Stripe T-shirt[B]</t>
  </si>
  <si>
    <t>WHRSG2352U</t>
  </si>
  <si>
    <t>WHTAG2311U</t>
  </si>
  <si>
    <t>WHTAG2312F</t>
  </si>
  <si>
    <t>WHTAG2313F</t>
  </si>
  <si>
    <t>WHTAG2364F</t>
  </si>
  <si>
    <t>Eyelet Pants(Set-up)</t>
  </si>
  <si>
    <t>WHTAG2531F</t>
  </si>
  <si>
    <t>WHTHG2311F</t>
  </si>
  <si>
    <t>WHTHG2501M</t>
  </si>
  <si>
    <t>WHTHG2504F</t>
  </si>
  <si>
    <t>WHTHG2512F</t>
  </si>
  <si>
    <t>WHTHG2533F</t>
  </si>
  <si>
    <t>Linen Shorts(F)</t>
  </si>
  <si>
    <t>WHTHG2561U</t>
  </si>
  <si>
    <t>WHTHG2601U</t>
  </si>
  <si>
    <t>WHTHG2602F</t>
  </si>
  <si>
    <t>WHTHG2602U</t>
  </si>
  <si>
    <t>Paisley Cooling Shorts(U)</t>
  </si>
  <si>
    <t>WHTHG2651F</t>
  </si>
  <si>
    <t>Steve Cooling Nylon Shorts(F)</t>
  </si>
  <si>
    <t>WHTJG2311M</t>
  </si>
  <si>
    <t>Wide Denim Pants (M)</t>
  </si>
  <si>
    <t>WHTJG2312F</t>
  </si>
  <si>
    <t>Semi Wide Denim (F)</t>
  </si>
  <si>
    <t>WHTJG2313F</t>
  </si>
  <si>
    <t>WHTJG2313U</t>
  </si>
  <si>
    <t>WHTJG2321M</t>
  </si>
  <si>
    <t>Straight Denim (M)</t>
  </si>
  <si>
    <t>WHTJG2342F</t>
  </si>
  <si>
    <t>Wide Colored Denim(F)</t>
  </si>
  <si>
    <t>WHTJG2357F</t>
  </si>
  <si>
    <t>Denim Overall (F)</t>
  </si>
  <si>
    <t>WHTJG2381M</t>
  </si>
  <si>
    <t>Selvedge Denim (M)</t>
  </si>
  <si>
    <t>WHTJG2423F</t>
  </si>
  <si>
    <t>WHTJG2431F</t>
  </si>
  <si>
    <t>WHTJG2431M</t>
  </si>
  <si>
    <t>WHTJG2442F</t>
  </si>
  <si>
    <t>Bermuda Denim Pants (F)</t>
  </si>
  <si>
    <t>WHTJG2443F</t>
  </si>
  <si>
    <t>WHTJG2443M</t>
  </si>
  <si>
    <t>WHTJG2445U</t>
  </si>
  <si>
    <t>WHTJG2474M</t>
  </si>
  <si>
    <t>Tapered denim Pants (M)</t>
  </si>
  <si>
    <t>WHTJG2481F</t>
  </si>
  <si>
    <t>Side Curved Denim (F)</t>
  </si>
  <si>
    <t>WHTJG2484F</t>
  </si>
  <si>
    <t>WHTJG2522F</t>
  </si>
  <si>
    <t>WHTJG2531F</t>
  </si>
  <si>
    <t>WHTJG2532M</t>
  </si>
  <si>
    <t>Steve Denim Shorts (M)</t>
  </si>
  <si>
    <t>WHTJG2542F</t>
  </si>
  <si>
    <t>Slim Ankle Denim (F)</t>
  </si>
  <si>
    <t>WHTJG2561F</t>
  </si>
  <si>
    <t>WHTJG2562F</t>
  </si>
  <si>
    <t>Destroyed Denim Shorts</t>
  </si>
  <si>
    <t>WHTMG2211U</t>
  </si>
  <si>
    <t>WHTMG2212U</t>
  </si>
  <si>
    <t>Steve Wide Pants(Semi-Wide Fit)</t>
  </si>
  <si>
    <t>WHTMG2321F</t>
  </si>
  <si>
    <t>WHTMG2551F</t>
  </si>
  <si>
    <t>Eyelet Jacquard Pants</t>
  </si>
  <si>
    <t>WHWHG2434F</t>
  </si>
  <si>
    <t>Dobby Long Tiered Skirt</t>
  </si>
  <si>
    <t>WHWHG2441F</t>
  </si>
  <si>
    <t>Check Long Tiered Skirt</t>
  </si>
  <si>
    <t>WHWHG2481F</t>
  </si>
  <si>
    <t>Long Lace Tiered Skirt</t>
  </si>
  <si>
    <t>WHWHG2482F</t>
  </si>
  <si>
    <t>Spring Pleats Skirt</t>
  </si>
  <si>
    <t>WHWHG2483F</t>
  </si>
  <si>
    <t>Shambray Wrap Skirt</t>
  </si>
  <si>
    <t>WHWHG2484F</t>
  </si>
  <si>
    <t>WHWHG2535F</t>
  </si>
  <si>
    <t>Dobby Short Tiered Skirt</t>
  </si>
  <si>
    <t>WHYAG2311F</t>
  </si>
  <si>
    <t>WHYAG2541F</t>
  </si>
  <si>
    <t>WHYAG2542F</t>
  </si>
  <si>
    <t>Surf Bear Linen Shirts(F)</t>
  </si>
  <si>
    <t>WHYCG2361U</t>
  </si>
  <si>
    <t>Summer Crinkle Check Shirts</t>
  </si>
  <si>
    <t>WHYCG2431U</t>
  </si>
  <si>
    <t>WHYCG2433F</t>
  </si>
  <si>
    <t>Summer Crop Check Shirts</t>
  </si>
  <si>
    <t>WHYCG2471U</t>
  </si>
  <si>
    <t>Vintage Summer Check Shirts(U)</t>
  </si>
  <si>
    <t>WHYJG2332U</t>
  </si>
  <si>
    <t>Steve Denim Shirts (U)</t>
  </si>
  <si>
    <t>WHYJG2334F</t>
  </si>
  <si>
    <t>Steve Crop Denim Shirts (F)</t>
  </si>
  <si>
    <t>WHYJG2342U</t>
  </si>
  <si>
    <t>WHYJG2384F</t>
  </si>
  <si>
    <t>Western Denim Shirts (F)</t>
  </si>
  <si>
    <t>WHYJG2512U</t>
  </si>
  <si>
    <t>WHYJG2522F</t>
  </si>
  <si>
    <t>WHYSG2311F</t>
  </si>
  <si>
    <t>WHYWG2311U</t>
  </si>
  <si>
    <t>WHYWG2333F</t>
  </si>
  <si>
    <t>WHYWG2512F</t>
  </si>
  <si>
    <t>Steve Seersucker Loose-fit Shirts</t>
  </si>
  <si>
    <t>WHYWG2551F</t>
  </si>
  <si>
    <t>WHYWG2552F</t>
  </si>
  <si>
    <t>2025-10-30</t>
  </si>
  <si>
    <t>2025-11-04</t>
  </si>
  <si>
    <t>2025-10-29</t>
  </si>
  <si>
    <t>WHACG2541A</t>
  </si>
  <si>
    <t>WHACG2542A</t>
  </si>
  <si>
    <t>Crochet Mix Bucket Hat</t>
  </si>
  <si>
    <t>WHYCG2371U</t>
  </si>
  <si>
    <t>2025-11-13</t>
  </si>
  <si>
    <t>WHJPG1191F</t>
  </si>
  <si>
    <t>Light Hooded Jacket(F)</t>
  </si>
  <si>
    <t>WHTHG1371F</t>
  </si>
  <si>
    <t>Camouflage Bermuda Pants(F)</t>
  </si>
  <si>
    <t>WHWHG1391F</t>
  </si>
  <si>
    <t>Camouflage Mini Skirt</t>
  </si>
  <si>
    <t>WHOWG2441F</t>
  </si>
  <si>
    <t>Dobby Layered Onepiece</t>
  </si>
  <si>
    <t>WHRSG2521U</t>
  </si>
  <si>
    <t>WHRSG2531F</t>
  </si>
  <si>
    <t>WHRSG2541U</t>
  </si>
  <si>
    <t>WHRSG2671F</t>
  </si>
  <si>
    <t>Multi Stripe T-shirt(F)</t>
  </si>
  <si>
    <t>WHTMG2421F</t>
  </si>
  <si>
    <t>WHTMG2421U</t>
  </si>
  <si>
    <t>WHTMG2422U</t>
  </si>
  <si>
    <t>WHTMG2431F</t>
  </si>
  <si>
    <t>WHTMG2461U</t>
  </si>
  <si>
    <t>WHTMG2522F</t>
  </si>
  <si>
    <t>WHTMG2523F</t>
  </si>
  <si>
    <t>2025-11-27</t>
  </si>
  <si>
    <t>2025-12-03</t>
  </si>
  <si>
    <t>2025-12-01</t>
  </si>
  <si>
    <t>2025-12-02</t>
  </si>
  <si>
    <t>2025-11-28</t>
  </si>
  <si>
    <t>WHJDG1291U</t>
  </si>
  <si>
    <t>Hooded Down Jacket(U)</t>
  </si>
  <si>
    <t>WHJPG1192U</t>
  </si>
  <si>
    <t>Light Hooded Jacket(U)</t>
  </si>
  <si>
    <t>WHTMG1181F</t>
  </si>
  <si>
    <t>Curved Pants</t>
  </si>
  <si>
    <t>WHBLG2531F</t>
  </si>
  <si>
    <t>WHBLG2532F</t>
  </si>
  <si>
    <t>WHBLG2541F</t>
  </si>
  <si>
    <t>Dobby Check Blouse</t>
  </si>
  <si>
    <t>WHCKG2391F</t>
  </si>
  <si>
    <t>High-Guage Cable Hoodie Zip-up</t>
  </si>
  <si>
    <t>WHKAG2293F</t>
  </si>
  <si>
    <t>American Flag Cable Pullover(F)</t>
  </si>
  <si>
    <t>WHMWG2385F</t>
  </si>
  <si>
    <t>Camo Patch OffShoulder Sweatshirt</t>
  </si>
  <si>
    <t>WHTAG2431F</t>
  </si>
  <si>
    <t>WHTAG2432F</t>
  </si>
  <si>
    <t>WHTAG2433F</t>
  </si>
  <si>
    <t>WHTAG2533F</t>
  </si>
  <si>
    <t>Linen Pants(F)</t>
  </si>
  <si>
    <t>WHTHG2511F</t>
  </si>
  <si>
    <t>Steve Stripe Shorts(Set-up)</t>
  </si>
  <si>
    <t>WHYAG2511F</t>
  </si>
  <si>
    <t>Steve Loose Fit Short Sleeve Shirts</t>
  </si>
  <si>
    <t>Summer Long Sleeve Shirts</t>
  </si>
  <si>
    <t>WHYCG2571U</t>
  </si>
  <si>
    <t>Surf Bear Check Short Sleeve Shirts</t>
  </si>
  <si>
    <t>WHYWG2511U</t>
  </si>
  <si>
    <t>WHYWG2541U</t>
  </si>
  <si>
    <t>Surf Bear Cotton Shirts(U)</t>
  </si>
  <si>
    <t>2025. 12. 1</t>
  </si>
  <si>
    <t>2025. 12. 8</t>
  </si>
  <si>
    <t>2025. 12. 11</t>
  </si>
  <si>
    <t>2025-12-12</t>
  </si>
  <si>
    <t>2025-12-10</t>
  </si>
  <si>
    <t>2025-12-04</t>
  </si>
  <si>
    <t>2025-12-05</t>
  </si>
  <si>
    <t>2025-12-11</t>
  </si>
  <si>
    <t>2025-12-09</t>
  </si>
  <si>
    <t>2025-12-08</t>
  </si>
  <si>
    <t>WHHMG1191A</t>
  </si>
  <si>
    <t>Knitted Beanie</t>
  </si>
  <si>
    <t>WHLAG1181F</t>
  </si>
  <si>
    <t>Layered off-shoulder long-sleeve T-Shirt</t>
  </si>
  <si>
    <t>WHLAG1182F</t>
  </si>
  <si>
    <t>One-Shoulder Long Sleeve T-Shirt</t>
  </si>
  <si>
    <t>WHLAG2283F</t>
  </si>
  <si>
    <t>WHLAG2384F</t>
  </si>
  <si>
    <t>Long Sleeve Layered T-shirt</t>
  </si>
  <si>
    <t>WHMWG2291F</t>
  </si>
  <si>
    <t>Long Nylon Flared Skirt</t>
  </si>
  <si>
    <t>2025. 12. 15</t>
  </si>
  <si>
    <t>2025-12-26</t>
  </si>
  <si>
    <t>2025-12-24</t>
  </si>
  <si>
    <t>2025-12-23</t>
  </si>
  <si>
    <t>2025-12-15</t>
  </si>
  <si>
    <t>2025-12-16</t>
  </si>
  <si>
    <t>2025-12-18</t>
  </si>
  <si>
    <t>WHBGG3721A</t>
  </si>
  <si>
    <t>WHBGG3741A</t>
  </si>
  <si>
    <t>WHBGG3821A</t>
  </si>
  <si>
    <t>WHBGG3822A</t>
  </si>
  <si>
    <t>WHBGG3851A</t>
  </si>
  <si>
    <t>WHBGG3852A</t>
  </si>
  <si>
    <t>WHBLG3831F</t>
  </si>
  <si>
    <t>WHBLG3832F</t>
  </si>
  <si>
    <t>WHBLG3833F</t>
  </si>
  <si>
    <t>WHCKG3721F</t>
  </si>
  <si>
    <t>WHJJG3711U</t>
  </si>
  <si>
    <t>WHOWG3841F</t>
  </si>
  <si>
    <t>WHTAG3811U</t>
  </si>
  <si>
    <t>WHTAG3821F</t>
  </si>
  <si>
    <t>WHTAG3831F</t>
  </si>
  <si>
    <t>WHTHG3741F</t>
  </si>
  <si>
    <t>WHTHG3771F</t>
  </si>
  <si>
    <t>WHTJG3811F</t>
  </si>
  <si>
    <t>WHTJG3831F</t>
  </si>
  <si>
    <t>WHWHG3821F</t>
  </si>
  <si>
    <t>WHWHG3822F</t>
  </si>
  <si>
    <t>WHWHG3831F</t>
  </si>
  <si>
    <t>WHYAG3721F</t>
  </si>
  <si>
    <t>WHYAG3831U</t>
  </si>
  <si>
    <t>WHYCG3721F</t>
  </si>
  <si>
    <t>WHYWG3811U</t>
  </si>
  <si>
    <t>WHYWG3821F</t>
  </si>
  <si>
    <t>WHACG4911A</t>
  </si>
  <si>
    <t>WHACG4912A</t>
  </si>
  <si>
    <t>WHACG4913A</t>
  </si>
  <si>
    <t>WHACG4931A</t>
  </si>
  <si>
    <t>WHAQG4911A</t>
  </si>
  <si>
    <t>WHAQG4912A</t>
  </si>
  <si>
    <t>WHAWG4911A</t>
  </si>
  <si>
    <t>WHAWG4912A</t>
  </si>
  <si>
    <t>WHAYG4911A</t>
  </si>
  <si>
    <t>WHAYG4912A</t>
  </si>
  <si>
    <t>WHAYG4921A</t>
  </si>
  <si>
    <t>WHAYG4931A</t>
  </si>
  <si>
    <t>WHAYG4T31A</t>
  </si>
  <si>
    <t>WHBGG4921A</t>
  </si>
  <si>
    <t>WHBGG4922A</t>
  </si>
  <si>
    <t>WHBGG4923A</t>
  </si>
  <si>
    <t>WHBGG4931A</t>
  </si>
  <si>
    <t>WHBGG4951A</t>
  </si>
  <si>
    <t>WHCKG4821F</t>
  </si>
  <si>
    <t>WHCKG4822F</t>
  </si>
  <si>
    <t>WHCKG4823F</t>
  </si>
  <si>
    <t>WHCKG4911F</t>
  </si>
  <si>
    <t>WHCKG4912F</t>
  </si>
  <si>
    <t>WHCKG4923F</t>
  </si>
  <si>
    <t>WHCKG4924F</t>
  </si>
  <si>
    <t>WHCKG4925F</t>
  </si>
  <si>
    <t>WHCKG4951F</t>
  </si>
  <si>
    <t>WHCKG4966F</t>
  </si>
  <si>
    <t>WHJJG4821U</t>
  </si>
  <si>
    <t>WHJJG4822F</t>
  </si>
  <si>
    <t>WHJJG4851U</t>
  </si>
  <si>
    <t>WHJJG4923U</t>
  </si>
  <si>
    <t>WHJJG4924F</t>
  </si>
  <si>
    <t>WHJJG4954F</t>
  </si>
  <si>
    <t>WHJKG4921F</t>
  </si>
  <si>
    <t>WHJKG4923M</t>
  </si>
  <si>
    <t>WHJKG4932F</t>
  </si>
  <si>
    <t>WHJPG4921F</t>
  </si>
  <si>
    <t>WHJPG4922U</t>
  </si>
  <si>
    <t>WHJPG4933U</t>
  </si>
  <si>
    <t>WHJPG4952U</t>
  </si>
  <si>
    <t>WHKAG4821F</t>
  </si>
  <si>
    <t>WHKAG4822F</t>
  </si>
  <si>
    <t>WHKAG4823F</t>
  </si>
  <si>
    <t>WHKAG4851F</t>
  </si>
  <si>
    <t>WHKAG4852F</t>
  </si>
  <si>
    <t>WHKAG4921F</t>
  </si>
  <si>
    <t>WHKAG4922F</t>
  </si>
  <si>
    <t>WHKAG4923U</t>
  </si>
  <si>
    <t>WHKAG4924U</t>
  </si>
  <si>
    <t>WHKAG4925F</t>
  </si>
  <si>
    <t>WHKAG4926F</t>
  </si>
  <si>
    <t>WHKAG4931F</t>
  </si>
  <si>
    <t>WHKAG4937F</t>
  </si>
  <si>
    <t>WHKAG4938F</t>
  </si>
  <si>
    <t>WHKAG4939F</t>
  </si>
  <si>
    <t>WHKAG4951U</t>
  </si>
  <si>
    <t>WHOWG4T71F</t>
  </si>
  <si>
    <t>WHTAG4852F</t>
  </si>
  <si>
    <t>WHTAG4921F</t>
  </si>
  <si>
    <t>WHTAG4T21F</t>
  </si>
  <si>
    <t>WHTAG4T61F</t>
  </si>
  <si>
    <t>WHTHG4T41F</t>
  </si>
  <si>
    <t>WHTJG4911F</t>
  </si>
  <si>
    <t>WHTJG4911M</t>
  </si>
  <si>
    <t>WHTJG4912F</t>
  </si>
  <si>
    <t>WHTJG4912M</t>
  </si>
  <si>
    <t>WHVWG4922F</t>
  </si>
  <si>
    <t>WHVWG4931U</t>
  </si>
  <si>
    <t>WHWHG4921F</t>
  </si>
  <si>
    <t>WHWHG4941F</t>
  </si>
  <si>
    <t>WHWHG4942F</t>
  </si>
  <si>
    <t>WHYAG4T41U</t>
  </si>
  <si>
    <t>WHYCG4921U</t>
  </si>
  <si>
    <t>WHYCG4922U</t>
  </si>
  <si>
    <t>WHYCG4T41F</t>
  </si>
  <si>
    <t>WHYJG4921F</t>
  </si>
  <si>
    <t>WHYJG4921U</t>
  </si>
  <si>
    <t>WHYJG4931F</t>
  </si>
  <si>
    <t>WHYJG4931U</t>
  </si>
  <si>
    <t>WHBLG1181F</t>
  </si>
  <si>
    <t>Slim-fit Blouse</t>
  </si>
  <si>
    <t>2025-12-19</t>
  </si>
  <si>
    <t>WHJKG1292F</t>
  </si>
  <si>
    <t>Hooded Bomber Jacket</t>
  </si>
  <si>
    <t>WHJWG1294F</t>
  </si>
  <si>
    <t>Dumble Duffle Coat</t>
  </si>
  <si>
    <t>WHJWG1295F</t>
  </si>
  <si>
    <t>Half Dumble Coat</t>
  </si>
  <si>
    <t>WHLMG1195F</t>
  </si>
  <si>
    <t>Fleece Hooded T-shirt</t>
  </si>
  <si>
    <t>WHMAG1191F</t>
  </si>
  <si>
    <t>Flower Pattern Fleece Half Zip-up</t>
  </si>
  <si>
    <t>WHMAG1191U</t>
  </si>
  <si>
    <t>Color Point Fleece Half Zip-up</t>
  </si>
  <si>
    <t>WHMAG1192F</t>
  </si>
  <si>
    <t>Dot Pattern Fleece Half Zip-up</t>
  </si>
  <si>
    <t>WHMAG1193F</t>
  </si>
  <si>
    <t>Colorblock Fleece Half Zip-up</t>
  </si>
  <si>
    <t>WHMAG1194F</t>
  </si>
  <si>
    <t>Stripe Pattern Fleece Half Zip-up</t>
  </si>
  <si>
    <t>WHMZG1181F</t>
  </si>
  <si>
    <t>Washed Hood Zip-up</t>
  </si>
  <si>
    <t>WHWHG1161F</t>
  </si>
  <si>
    <t>Dyeing Short Tiered Skirt</t>
  </si>
  <si>
    <t>WHWHG1191F</t>
  </si>
  <si>
    <t>Dot Short Tiered Skirt</t>
  </si>
  <si>
    <t>WHCKG2392F</t>
  </si>
  <si>
    <t>One Off-Shoulder Stripe Cardigan</t>
  </si>
  <si>
    <t>WHJKG2493F</t>
  </si>
  <si>
    <t>Vegan Leather Jacket</t>
  </si>
  <si>
    <t>WHKAG2294F</t>
  </si>
  <si>
    <t>Quarter Zip-up Pullover</t>
  </si>
  <si>
    <t>WHLSG2286F</t>
  </si>
  <si>
    <t>Striped long-sleeve T-shirt</t>
  </si>
  <si>
    <t>WHMAG2291U</t>
  </si>
  <si>
    <t>USA Fleece Half Zip-up</t>
  </si>
  <si>
    <t>Steve Short Sleeve T-shirt(Comfort Fit)</t>
  </si>
  <si>
    <t>2025. 12. 22</t>
  </si>
  <si>
    <t>2025. 12. 30</t>
  </si>
  <si>
    <t>WHTMG2291U</t>
  </si>
  <si>
    <t>Steve R-neck Cable Short Sleeve Cardigan</t>
  </si>
  <si>
    <t>Linen Plain Cardigan</t>
  </si>
  <si>
    <t>Boat Neck Stripe T-shirt</t>
  </si>
  <si>
    <t>2026-01-07</t>
  </si>
  <si>
    <t>2026-01-02</t>
  </si>
  <si>
    <t>2026-01-06</t>
  </si>
  <si>
    <t>2025-12-31</t>
  </si>
  <si>
    <t>2026-01-05</t>
  </si>
  <si>
    <t>WHLAG3865F</t>
  </si>
  <si>
    <t>WHRNG3754F</t>
  </si>
  <si>
    <t>WHTMG3824F</t>
  </si>
  <si>
    <t>WHMHG4925U</t>
  </si>
  <si>
    <t>WHLAG2292F</t>
  </si>
  <si>
    <t>USA Henry Neck T-Shirt</t>
  </si>
  <si>
    <t>WHLAG2387F</t>
  </si>
  <si>
    <t>Layered shirring T-Shirt</t>
  </si>
  <si>
    <t>WHLSG2291U</t>
  </si>
  <si>
    <t>USA Lugby Collar T-Shirt</t>
  </si>
  <si>
    <t>WHMZG2291U</t>
  </si>
  <si>
    <t>USA Over fit Hood Zip-up</t>
  </si>
  <si>
    <t>USA Curved Pants</t>
  </si>
  <si>
    <t>Bending Shorts(F)</t>
  </si>
  <si>
    <t>WHYCG2541F</t>
  </si>
  <si>
    <t>Summer Loose-fit Check Shirts</t>
  </si>
  <si>
    <t>2026-01-12</t>
  </si>
  <si>
    <t>2026-01-09</t>
  </si>
  <si>
    <t>2026-01-14</t>
  </si>
  <si>
    <t>2026-01-15</t>
  </si>
  <si>
    <t>2026-01-08</t>
  </si>
  <si>
    <t>2026-01-13</t>
  </si>
  <si>
    <t>Pigment Nylon Pants(F)</t>
  </si>
  <si>
    <t>A</t>
  </si>
  <si>
    <t>G1</t>
  </si>
  <si>
    <t>등록</t>
  </si>
  <si>
    <t>G</t>
  </si>
  <si>
    <t>2025-12-4</t>
  </si>
  <si>
    <t>F</t>
  </si>
  <si>
    <t>2025-12-3</t>
  </si>
  <si>
    <t>2025-12-2</t>
  </si>
  <si>
    <t>2025-12-8</t>
  </si>
  <si>
    <t>2026-1-20</t>
  </si>
  <si>
    <t>U</t>
  </si>
  <si>
    <t>2026-1-8</t>
  </si>
  <si>
    <t>2025-12-9</t>
  </si>
  <si>
    <t>2025-11-4</t>
  </si>
  <si>
    <t>G2</t>
  </si>
  <si>
    <t>3</t>
  </si>
  <si>
    <t>2026-1-15</t>
  </si>
  <si>
    <t>5</t>
  </si>
  <si>
    <t>2026-1-5</t>
  </si>
  <si>
    <t>4</t>
  </si>
  <si>
    <t>2026-1-7</t>
  </si>
  <si>
    <t>2026-1-6</t>
  </si>
  <si>
    <t>2026-1-14</t>
  </si>
  <si>
    <t>2026-1-12</t>
  </si>
  <si>
    <t>2025-12-1</t>
  </si>
  <si>
    <t>6</t>
  </si>
  <si>
    <t>2026-1-13</t>
  </si>
  <si>
    <t>2026-1-22</t>
  </si>
  <si>
    <t>2026-1-9</t>
  </si>
  <si>
    <t>G3</t>
  </si>
  <si>
    <t>7</t>
  </si>
  <si>
    <t>8</t>
  </si>
  <si>
    <t>G4</t>
  </si>
  <si>
    <t>9</t>
  </si>
  <si>
    <t>T</t>
  </si>
  <si>
    <t>2026-1-27</t>
  </si>
  <si>
    <t>샘픟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</si>
</sst>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0_);[Red]\(0\)"/>
    <numFmt numFmtId="178" formatCode="###,000"/>
  </numFmts>
  <fonts count="11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20"/>
      <color indexed="9"/>
      <name val="굴림"/>
      <family val="3"/>
      <charset val="129"/>
    </font>
    <font>
      <sz val="8"/>
      <color indexed="8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8"/>
      <color indexed="8"/>
      <name val="Arial"/>
      <family val="2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b/>
      <u/>
      <sz val="11"/>
      <color indexed="8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rgb="FF262626"/>
      <name val="맑은 고딕"/>
      <family val="3"/>
      <charset val="129"/>
      <scheme val="minor"/>
    </font>
    <font>
      <sz val="8"/>
      <color rgb="FFDBE5F1"/>
      <name val="Verdana"/>
      <family val="2"/>
    </font>
    <font>
      <b/>
      <sz val="9"/>
      <color rgb="FF262626"/>
      <name val="맑은 고딕"/>
      <family val="3"/>
      <charset val="129"/>
      <scheme val="major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1F497D"/>
      <name val="Verdana"/>
      <family val="2"/>
    </font>
    <font>
      <b/>
      <sz val="9"/>
      <color theme="0"/>
      <name val="맑은 고딕"/>
      <family val="3"/>
      <charset val="129"/>
      <scheme val="minor"/>
    </font>
    <font>
      <b/>
      <sz val="8"/>
      <color rgb="FF1F497D"/>
      <name val="Verdana"/>
      <family val="2"/>
    </font>
    <font>
      <b/>
      <sz val="9"/>
      <color rgb="FF26262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0"/>
      <color theme="0"/>
      <name val="맑은 고딕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3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FFFFFF"/>
      </patternFill>
    </fill>
    <fill>
      <patternFill patternType="solid">
        <fgColor rgb="FFFCF9CC"/>
        <bgColor rgb="FF000000"/>
      </patternFill>
    </fill>
    <fill>
      <patternFill patternType="solid">
        <fgColor rgb="FFDFE8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42658D"/>
        <bgColor rgb="FF000000"/>
      </patternFill>
    </fill>
    <fill>
      <patternFill patternType="solid">
        <fgColor rgb="FF5D86B3"/>
        <bgColor rgb="FF000000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</fills>
  <borders count="4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2D4661"/>
      </left>
      <right style="thin">
        <color rgb="FF2D4661"/>
      </right>
      <top style="thin">
        <color rgb="FF2D4661"/>
      </top>
      <bottom style="thin">
        <color rgb="FF2D466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2D4661"/>
      </left>
      <right style="thin">
        <color rgb="FF2D4661"/>
      </right>
      <top style="thin">
        <color rgb="FF2D4661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353">
    <xf numFmtId="0" fontId="0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32" fillId="3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24" fillId="4" borderId="1" applyNumberFormat="0" applyProtection="0">
      <alignment vertical="center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3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4" fontId="23" fillId="3" borderId="1" applyNumberFormat="0" applyProtection="0">
      <alignment horizontal="left" vertical="center" indent="1"/>
    </xf>
    <xf numFmtId="0" fontId="30" fillId="5" borderId="0" applyNumberFormat="0" applyProtection="0">
      <alignment horizontal="left" vertical="center" indent="1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6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7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8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9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0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1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2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3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3" fillId="14" borderId="1" applyNumberFormat="0" applyProtection="0">
      <alignment horizontal="right" vertical="center"/>
    </xf>
    <xf numFmtId="4" fontId="26" fillId="15" borderId="0" applyNumberFormat="0" applyProtection="0">
      <alignment horizontal="left" vertical="center" indent="1"/>
    </xf>
    <xf numFmtId="4" fontId="23" fillId="16" borderId="0" applyNumberFormat="0" applyProtection="0">
      <alignment horizontal="left" vertical="center" indent="1"/>
    </xf>
    <xf numFmtId="4" fontId="27" fillId="17" borderId="0" applyNumberFormat="0" applyProtection="0">
      <alignment horizontal="left" vertical="center" indent="1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0" fontId="29" fillId="18" borderId="2" applyNumberFormat="0" applyProtection="0">
      <alignment horizontal="right" vertical="center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5" fillId="16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4" fontId="33" fillId="19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25" fillId="20" borderId="1" applyNumberFormat="0" applyProtection="0">
      <alignment horizontal="left" vertical="center" indent="1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31" fillId="2" borderId="1" applyNumberFormat="0" applyProtection="0">
      <alignment horizontal="center" vertical="center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21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0" fontId="25" fillId="18" borderId="1" applyNumberFormat="0" applyProtection="0">
      <alignment horizontal="left" vertical="center" indent="1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3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4" fillId="22" borderId="1" applyNumberFormat="0" applyProtection="0">
      <alignment vertical="center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23" fillId="22" borderId="1" applyNumberFormat="0" applyProtection="0">
      <alignment horizontal="left" vertical="center" indent="1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33" fillId="16" borderId="2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4" fontId="24" fillId="16" borderId="1" applyNumberFormat="0" applyProtection="0">
      <alignment horizontal="right" vertical="center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2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1" fillId="2" borderId="1" applyNumberFormat="0" applyProtection="0">
      <alignment horizontal="left" vertical="center" indent="1"/>
    </xf>
    <xf numFmtId="0" fontId="34" fillId="23" borderId="0" applyNumberFormat="0" applyProtection="0">
      <alignment horizontal="left" indent="1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4" fontId="28" fillId="16" borderId="1" applyNumberFormat="0" applyProtection="0">
      <alignment horizontal="right" vertical="center"/>
    </xf>
    <xf numFmtId="0" fontId="46" fillId="0" borderId="29" applyNumberFormat="0" applyFont="0" applyFill="0" applyAlignment="0" applyProtection="0"/>
    <xf numFmtId="0" fontId="63" fillId="0" borderId="29" applyNumberFormat="0" applyFont="0" applyFill="0" applyAlignment="0" applyProtection="0"/>
    <xf numFmtId="178" fontId="67" fillId="0" borderId="30" applyNumberFormat="0" applyProtection="0">
      <alignment horizontal="right" vertical="center"/>
    </xf>
    <xf numFmtId="178" fontId="68" fillId="48" borderId="0" applyNumberFormat="0" applyAlignment="0" applyProtection="0">
      <alignment horizontal="left" vertical="center" indent="1"/>
    </xf>
    <xf numFmtId="178" fontId="69" fillId="49" borderId="30" applyNumberFormat="0" applyProtection="0">
      <alignment horizontal="right" vertical="center"/>
    </xf>
    <xf numFmtId="0" fontId="69" fillId="50" borderId="30" applyNumberFormat="0" applyAlignment="0" applyProtection="0">
      <alignment horizontal="left" vertical="center" indent="1"/>
    </xf>
    <xf numFmtId="0" fontId="70" fillId="51" borderId="31" applyNumberFormat="0" applyAlignment="0">
      <alignment horizontal="left" vertical="center" indent="1"/>
      <protection locked="0"/>
    </xf>
    <xf numFmtId="0" fontId="70" fillId="51" borderId="31" applyNumberFormat="0" applyAlignment="0">
      <alignment horizontal="left" vertical="center" indent="1"/>
      <protection locked="0"/>
    </xf>
    <xf numFmtId="0" fontId="71" fillId="0" borderId="4" applyNumberFormat="0" applyFill="0" applyBorder="0" applyAlignment="0" applyProtection="0"/>
    <xf numFmtId="0" fontId="71" fillId="0" borderId="4" applyNumberFormat="0" applyFill="0" applyBorder="0" applyAlignment="0" applyProtection="0"/>
    <xf numFmtId="0" fontId="71" fillId="51" borderId="31" applyNumberFormat="0" applyAlignment="0">
      <alignment horizontal="left" vertical="center" indent="1"/>
      <protection locked="0"/>
    </xf>
    <xf numFmtId="0" fontId="71" fillId="51" borderId="31" applyNumberFormat="0" applyAlignment="0">
      <alignment horizontal="left" vertical="center" indent="1"/>
      <protection locked="0"/>
    </xf>
    <xf numFmtId="178" fontId="72" fillId="52" borderId="5" applyNumberFormat="0" applyBorder="0">
      <alignment horizontal="right" vertical="center"/>
      <protection locked="0"/>
    </xf>
    <xf numFmtId="178" fontId="72" fillId="52" borderId="5" applyNumberFormat="0" applyBorder="0">
      <alignment horizontal="right" vertical="center"/>
      <protection locked="0"/>
    </xf>
    <xf numFmtId="178" fontId="73" fillId="52" borderId="3" applyNumberFormat="0" applyBorder="0">
      <alignment horizontal="right" vertical="center"/>
      <protection locked="0"/>
    </xf>
    <xf numFmtId="178" fontId="73" fillId="52" borderId="3" applyNumberFormat="0" applyBorder="0">
      <alignment horizontal="right" vertical="center"/>
      <protection locked="0"/>
    </xf>
    <xf numFmtId="0" fontId="71" fillId="53" borderId="31" applyNumberFormat="0" applyAlignment="0" applyProtection="0">
      <alignment horizontal="left" vertical="center" indent="1"/>
    </xf>
    <xf numFmtId="178" fontId="73" fillId="53" borderId="31" applyNumberFormat="0" applyProtection="0">
      <alignment horizontal="right" vertical="center"/>
    </xf>
    <xf numFmtId="0" fontId="74" fillId="0" borderId="4" applyNumberFormat="0" applyBorder="0" applyAlignment="0" applyProtection="0"/>
    <xf numFmtId="0" fontId="74" fillId="0" borderId="4" applyNumberFormat="0" applyBorder="0" applyAlignment="0" applyProtection="0"/>
    <xf numFmtId="0" fontId="46" fillId="0" borderId="32" applyNumberFormat="0" applyFont="0" applyFill="0" applyAlignment="0" applyProtection="0"/>
    <xf numFmtId="0" fontId="63" fillId="0" borderId="32" applyNumberFormat="0" applyFont="0" applyFill="0" applyAlignment="0" applyProtection="0"/>
    <xf numFmtId="178" fontId="75" fillId="54" borderId="6" applyNumberFormat="0" applyBorder="0" applyAlignment="0" applyProtection="0">
      <alignment horizontal="right" vertical="center" indent="1"/>
    </xf>
    <xf numFmtId="178" fontId="75" fillId="54" borderId="6" applyNumberFormat="0" applyBorder="0" applyAlignment="0" applyProtection="0">
      <alignment horizontal="right" vertical="center" indent="1"/>
    </xf>
    <xf numFmtId="178" fontId="76" fillId="55" borderId="6" applyNumberFormat="0" applyBorder="0" applyAlignment="0" applyProtection="0">
      <alignment horizontal="right" vertical="center" indent="1"/>
    </xf>
    <xf numFmtId="178" fontId="76" fillId="55" borderId="6" applyNumberFormat="0" applyBorder="0" applyAlignment="0" applyProtection="0">
      <alignment horizontal="right" vertical="center" indent="1"/>
    </xf>
    <xf numFmtId="178" fontId="76" fillId="56" borderId="6" applyNumberFormat="0" applyBorder="0" applyAlignment="0" applyProtection="0">
      <alignment horizontal="right" vertical="center" indent="1"/>
    </xf>
    <xf numFmtId="178" fontId="76" fillId="56" borderId="6" applyNumberFormat="0" applyBorder="0" applyAlignment="0" applyProtection="0">
      <alignment horizontal="right" vertical="center" indent="1"/>
    </xf>
    <xf numFmtId="178" fontId="77" fillId="57" borderId="6" applyNumberFormat="0" applyBorder="0" applyAlignment="0" applyProtection="0">
      <alignment horizontal="right" vertical="center" indent="1"/>
    </xf>
    <xf numFmtId="178" fontId="77" fillId="57" borderId="6" applyNumberFormat="0" applyBorder="0" applyAlignment="0" applyProtection="0">
      <alignment horizontal="right" vertical="center" indent="1"/>
    </xf>
    <xf numFmtId="178" fontId="77" fillId="58" borderId="6" applyNumberFormat="0" applyBorder="0" applyAlignment="0" applyProtection="0">
      <alignment horizontal="right" vertical="center" indent="1"/>
    </xf>
    <xf numFmtId="178" fontId="77" fillId="58" borderId="6" applyNumberFormat="0" applyBorder="0" applyAlignment="0" applyProtection="0">
      <alignment horizontal="right" vertical="center" indent="1"/>
    </xf>
    <xf numFmtId="178" fontId="77" fillId="59" borderId="6" applyNumberFormat="0" applyBorder="0" applyAlignment="0" applyProtection="0">
      <alignment horizontal="right" vertical="center" indent="1"/>
    </xf>
    <xf numFmtId="178" fontId="77" fillId="59" borderId="6" applyNumberFormat="0" applyBorder="0" applyAlignment="0" applyProtection="0">
      <alignment horizontal="right" vertical="center" indent="1"/>
    </xf>
    <xf numFmtId="178" fontId="78" fillId="60" borderId="6" applyNumberFormat="0" applyBorder="0" applyAlignment="0" applyProtection="0">
      <alignment horizontal="right" vertical="center" indent="1"/>
    </xf>
    <xf numFmtId="178" fontId="78" fillId="60" borderId="6" applyNumberFormat="0" applyBorder="0" applyAlignment="0" applyProtection="0">
      <alignment horizontal="right" vertical="center" indent="1"/>
    </xf>
    <xf numFmtId="178" fontId="78" fillId="61" borderId="6" applyNumberFormat="0" applyBorder="0" applyAlignment="0" applyProtection="0">
      <alignment horizontal="right" vertical="center" indent="1"/>
    </xf>
    <xf numFmtId="178" fontId="78" fillId="61" borderId="6" applyNumberFormat="0" applyBorder="0" applyAlignment="0" applyProtection="0">
      <alignment horizontal="right" vertical="center" indent="1"/>
    </xf>
    <xf numFmtId="178" fontId="78" fillId="62" borderId="6" applyNumberFormat="0" applyBorder="0" applyAlignment="0" applyProtection="0">
      <alignment horizontal="right" vertical="center" indent="1"/>
    </xf>
    <xf numFmtId="178" fontId="78" fillId="62" borderId="6" applyNumberFormat="0" applyBorder="0" applyAlignment="0" applyProtection="0">
      <alignment horizontal="right" vertical="center" indent="1"/>
    </xf>
    <xf numFmtId="178" fontId="79" fillId="0" borderId="5" applyNumberFormat="0" applyFill="0" applyBorder="0" applyAlignment="0" applyProtection="0">
      <alignment horizontal="right" vertical="center"/>
    </xf>
    <xf numFmtId="178" fontId="79" fillId="0" borderId="5" applyNumberFormat="0" applyFill="0" applyBorder="0" applyAlignment="0" applyProtection="0">
      <alignment horizontal="right" vertical="center"/>
    </xf>
    <xf numFmtId="178" fontId="79" fillId="48" borderId="29" applyNumberFormat="0" applyAlignment="0" applyProtection="0">
      <alignment horizontal="left" vertical="center" indent="1"/>
    </xf>
    <xf numFmtId="0" fontId="80" fillId="63" borderId="30" applyNumberFormat="0" applyProtection="0">
      <alignment horizontal="center" vertical="center" wrapText="1"/>
    </xf>
    <xf numFmtId="0" fontId="80" fillId="64" borderId="30" applyNumberFormat="0" applyProtection="0">
      <alignment horizontal="center" vertical="center" wrapText="1"/>
    </xf>
    <xf numFmtId="178" fontId="67" fillId="50" borderId="30" applyNumberFormat="0" applyProtection="0">
      <alignment horizontal="center" vertical="center" wrapText="1"/>
    </xf>
    <xf numFmtId="178" fontId="79" fillId="52" borderId="5" applyNumberFormat="0" applyBorder="0">
      <alignment horizontal="right" vertical="center"/>
      <protection locked="0"/>
    </xf>
    <xf numFmtId="178" fontId="79" fillId="52" borderId="5" applyNumberFormat="0" applyBorder="0">
      <alignment horizontal="right" vertical="center"/>
      <protection locked="0"/>
    </xf>
    <xf numFmtId="178" fontId="81" fillId="52" borderId="3" applyNumberFormat="0" applyBorder="0">
      <alignment horizontal="right" vertical="center"/>
      <protection locked="0"/>
    </xf>
    <xf numFmtId="178" fontId="81" fillId="52" borderId="3" applyNumberFormat="0" applyBorder="0">
      <alignment horizontal="right" vertical="center"/>
      <protection locked="0"/>
    </xf>
    <xf numFmtId="178" fontId="67" fillId="50" borderId="30" applyNumberFormat="0" applyAlignment="0" applyProtection="0">
      <alignment horizontal="left" vertical="center" indent="1"/>
    </xf>
    <xf numFmtId="0" fontId="82" fillId="49" borderId="30" applyNumberFormat="0" applyAlignment="0" applyProtection="0">
      <alignment horizontal="left" vertical="center" indent="1"/>
    </xf>
    <xf numFmtId="178" fontId="79" fillId="0" borderId="5" applyNumberFormat="0" applyFill="0" applyBorder="0" applyAlignment="0" applyProtection="0">
      <alignment horizontal="right" vertical="center"/>
    </xf>
    <xf numFmtId="178" fontId="79" fillId="0" borderId="5" applyNumberFormat="0" applyFill="0" applyBorder="0" applyAlignment="0" applyProtection="0">
      <alignment horizontal="right" vertical="center"/>
    </xf>
    <xf numFmtId="0" fontId="70" fillId="53" borderId="31" applyNumberFormat="0" applyAlignment="0" applyProtection="0">
      <alignment horizontal="left" vertical="center" indent="1"/>
    </xf>
    <xf numFmtId="178" fontId="81" fillId="53" borderId="31" applyNumberFormat="0" applyProtection="0">
      <alignment horizontal="right"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7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8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69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66" fillId="70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4" fillId="71" borderId="33" applyNumberFormat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85" fillId="72" borderId="0" applyNumberFormat="0" applyBorder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59" fillId="73" borderId="34" applyNumberFormat="0" applyFont="0" applyAlignment="0" applyProtection="0">
      <alignment vertical="center"/>
    </xf>
    <xf numFmtId="0" fontId="60" fillId="73" borderId="34" applyNumberFormat="0" applyFont="0" applyAlignment="0" applyProtection="0">
      <alignment vertical="center"/>
    </xf>
    <xf numFmtId="0" fontId="61" fillId="73" borderId="34" applyNumberFormat="0" applyFont="0" applyAlignment="0" applyProtection="0">
      <alignment vertical="center"/>
    </xf>
    <xf numFmtId="0" fontId="62" fillId="73" borderId="34" applyNumberFormat="0" applyFont="0" applyAlignment="0" applyProtection="0">
      <alignment vertical="center"/>
    </xf>
    <xf numFmtId="0" fontId="6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0" fontId="44" fillId="73" borderId="34" applyNumberFormat="0" applyFont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6" fillId="74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8" fillId="75" borderId="35" applyNumberFormat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0" fillId="0" borderId="37" applyNumberFormat="0" applyFill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1" fillId="76" borderId="33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3" fillId="0" borderId="38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5" fillId="0" borderId="40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6" fillId="77" borderId="0" applyNumberFormat="0" applyBorder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97" fillId="71" borderId="41" applyNumberFormat="0" applyAlignment="0" applyProtection="0">
      <alignment vertical="center"/>
    </xf>
    <xf numFmtId="0" fontId="39" fillId="0" borderId="0"/>
    <xf numFmtId="0" fontId="25" fillId="0" borderId="0"/>
    <xf numFmtId="0" fontId="25" fillId="0" borderId="0"/>
    <xf numFmtId="0" fontId="40" fillId="0" borderId="0"/>
    <xf numFmtId="0" fontId="41" fillId="0" borderId="0"/>
    <xf numFmtId="0" fontId="48" fillId="0" borderId="0">
      <alignment vertical="center"/>
    </xf>
    <xf numFmtId="0" fontId="42" fillId="0" borderId="0"/>
    <xf numFmtId="0" fontId="43" fillId="0" borderId="0"/>
    <xf numFmtId="0" fontId="2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5" fillId="0" borderId="0"/>
    <xf numFmtId="0" fontId="65" fillId="0" borderId="0">
      <alignment vertical="center"/>
    </xf>
    <xf numFmtId="0" fontId="2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38" applyNumberFormat="0" applyFill="0" applyAlignment="0" applyProtection="0">
      <alignment vertical="center"/>
    </xf>
    <xf numFmtId="0" fontId="100" fillId="0" borderId="39" applyNumberFormat="0" applyFill="0" applyAlignment="0" applyProtection="0">
      <alignment vertical="center"/>
    </xf>
    <xf numFmtId="0" fontId="101" fillId="0" borderId="40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77" borderId="0" applyNumberFormat="0" applyBorder="0" applyAlignment="0" applyProtection="0">
      <alignment vertical="center"/>
    </xf>
    <xf numFmtId="0" fontId="103" fillId="72" borderId="0" applyNumberFormat="0" applyBorder="0" applyAlignment="0" applyProtection="0">
      <alignment vertical="center"/>
    </xf>
    <xf numFmtId="0" fontId="104" fillId="74" borderId="0" applyNumberFormat="0" applyBorder="0" applyAlignment="0" applyProtection="0">
      <alignment vertical="center"/>
    </xf>
    <xf numFmtId="0" fontId="105" fillId="76" borderId="33" applyNumberFormat="0" applyAlignment="0" applyProtection="0">
      <alignment vertical="center"/>
    </xf>
    <xf numFmtId="0" fontId="106" fillId="71" borderId="41" applyNumberFormat="0" applyAlignment="0" applyProtection="0">
      <alignment vertical="center"/>
    </xf>
    <xf numFmtId="0" fontId="107" fillId="71" borderId="33" applyNumberFormat="0" applyAlignment="0" applyProtection="0">
      <alignment vertical="center"/>
    </xf>
    <xf numFmtId="0" fontId="108" fillId="0" borderId="36" applyNumberFormat="0" applyFill="0" applyAlignment="0" applyProtection="0">
      <alignment vertical="center"/>
    </xf>
    <xf numFmtId="0" fontId="109" fillId="75" borderId="35" applyNumberFormat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20" fillId="73" borderId="34" applyNumberFormat="0" applyFon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37" applyNumberFormat="0" applyFill="0" applyAlignment="0" applyProtection="0">
      <alignment vertical="center"/>
    </xf>
    <xf numFmtId="0" fontId="113" fillId="6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13" fillId="42" borderId="0" applyNumberFormat="0" applyBorder="0" applyAlignment="0" applyProtection="0">
      <alignment vertical="center"/>
    </xf>
    <xf numFmtId="0" fontId="113" fillId="6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13" fillId="43" borderId="0" applyNumberFormat="0" applyBorder="0" applyAlignment="0" applyProtection="0">
      <alignment vertical="center"/>
    </xf>
    <xf numFmtId="0" fontId="113" fillId="6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13" fillId="44" borderId="0" applyNumberFormat="0" applyBorder="0" applyAlignment="0" applyProtection="0">
      <alignment vertical="center"/>
    </xf>
    <xf numFmtId="0" fontId="113" fillId="68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13" fillId="45" borderId="0" applyNumberFormat="0" applyBorder="0" applyAlignment="0" applyProtection="0">
      <alignment vertical="center"/>
    </xf>
    <xf numFmtId="0" fontId="113" fillId="69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13" fillId="46" borderId="0" applyNumberFormat="0" applyBorder="0" applyAlignment="0" applyProtection="0">
      <alignment vertical="center"/>
    </xf>
    <xf numFmtId="0" fontId="113" fillId="70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0" fontId="19" fillId="73" borderId="34" applyNumberFormat="0" applyFon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8" fillId="73" borderId="34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14" fillId="0" borderId="0"/>
    <xf numFmtId="0" fontId="17" fillId="73" borderId="34" applyNumberFormat="0" applyFon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6" fillId="73" borderId="34" applyNumberFormat="0" applyFon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5" fillId="73" borderId="34" applyNumberFormat="0" applyFon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4" fillId="73" borderId="34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15" fillId="0" borderId="0"/>
    <xf numFmtId="0" fontId="13" fillId="0" borderId="0">
      <alignment vertical="center"/>
    </xf>
    <xf numFmtId="178" fontId="81" fillId="52" borderId="31" applyNumberFormat="0" applyBorder="0">
      <alignment horizontal="right" vertical="center"/>
      <protection locked="0"/>
    </xf>
    <xf numFmtId="178" fontId="75" fillId="54" borderId="44" applyNumberFormat="0" applyBorder="0" applyAlignment="0" applyProtection="0">
      <alignment horizontal="right" vertical="center" indent="1"/>
    </xf>
    <xf numFmtId="0" fontId="13" fillId="73" borderId="34" applyNumberFormat="0" applyFont="0" applyAlignment="0" applyProtection="0">
      <alignment vertical="center"/>
    </xf>
    <xf numFmtId="178" fontId="79" fillId="52" borderId="43" applyNumberFormat="0" applyBorder="0">
      <alignment horizontal="right" vertical="center"/>
      <protection locked="0"/>
    </xf>
    <xf numFmtId="178" fontId="78" fillId="60" borderId="44" applyNumberFormat="0" applyBorder="0" applyAlignment="0" applyProtection="0">
      <alignment horizontal="right" vertical="center" indent="1"/>
    </xf>
    <xf numFmtId="0" fontId="13" fillId="3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178" fontId="79" fillId="0" borderId="43" applyNumberFormat="0" applyFill="0" applyBorder="0" applyAlignment="0" applyProtection="0">
      <alignment horizontal="right" vertical="center"/>
    </xf>
    <xf numFmtId="178" fontId="77" fillId="59" borderId="44" applyNumberFormat="0" applyBorder="0" applyAlignment="0" applyProtection="0">
      <alignment horizontal="right" vertical="center" indent="1"/>
    </xf>
    <xf numFmtId="0" fontId="13" fillId="3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6" fillId="0" borderId="32" applyNumberFormat="0" applyFont="0" applyFill="0" applyAlignment="0" applyProtection="0"/>
    <xf numFmtId="178" fontId="77" fillId="58" borderId="44" applyNumberFormat="0" applyBorder="0" applyAlignment="0" applyProtection="0">
      <alignment horizontal="right" vertical="center" indent="1"/>
    </xf>
    <xf numFmtId="0" fontId="13" fillId="3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178" fontId="77" fillId="57" borderId="44" applyNumberFormat="0" applyBorder="0" applyAlignment="0" applyProtection="0">
      <alignment horizontal="right" vertical="center" indent="1"/>
    </xf>
    <xf numFmtId="0" fontId="13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16" fillId="0" borderId="29" applyNumberFormat="0" applyFont="0" applyFill="0" applyAlignment="0" applyProtection="0"/>
    <xf numFmtId="178" fontId="76" fillId="56" borderId="44" applyNumberFormat="0" applyBorder="0" applyAlignment="0" applyProtection="0">
      <alignment horizontal="right" vertical="center" indent="1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178" fontId="78" fillId="62" borderId="44" applyNumberFormat="0" applyBorder="0" applyAlignment="0" applyProtection="0">
      <alignment horizontal="right" vertical="center" indent="1"/>
    </xf>
    <xf numFmtId="178" fontId="76" fillId="55" borderId="44" applyNumberFormat="0" applyBorder="0" applyAlignment="0" applyProtection="0">
      <alignment horizontal="right" vertical="center" indent="1"/>
    </xf>
    <xf numFmtId="0" fontId="13" fillId="3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178" fontId="78" fillId="61" borderId="44" applyNumberFormat="0" applyBorder="0" applyAlignment="0" applyProtection="0">
      <alignment horizontal="right" vertical="center" indent="1"/>
    </xf>
    <xf numFmtId="0" fontId="71" fillId="0" borderId="45" applyNumberFormat="0" applyFill="0" applyBorder="0" applyAlignment="0" applyProtection="0"/>
    <xf numFmtId="0" fontId="74" fillId="0" borderId="45" applyNumberFormat="0" applyBorder="0" applyAlignment="0" applyProtection="0"/>
    <xf numFmtId="178" fontId="72" fillId="52" borderId="43" applyNumberFormat="0" applyBorder="0">
      <alignment horizontal="right" vertical="center"/>
      <protection locked="0"/>
    </xf>
    <xf numFmtId="178" fontId="73" fillId="52" borderId="31" applyNumberFormat="0" applyBorder="0">
      <alignment horizontal="right" vertical="center"/>
      <protection locked="0"/>
    </xf>
    <xf numFmtId="178" fontId="79" fillId="0" borderId="43" applyNumberFormat="0" applyFill="0" applyBorder="0" applyAlignment="0" applyProtection="0">
      <alignment horizontal="right" vertical="center"/>
    </xf>
    <xf numFmtId="0" fontId="12" fillId="73" borderId="34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1" fillId="73" borderId="34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73" borderId="34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73" borderId="34" applyNumberFormat="0" applyFon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8" fillId="73" borderId="34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7" fillId="73" borderId="34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6" fillId="73" borderId="34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5" fillId="73" borderId="34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4" fillId="73" borderId="34" applyNumberFormat="0" applyFon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9">
    <xf numFmtId="0" fontId="0" fillId="0" borderId="0" xfId="0">
      <alignment vertical="center"/>
    </xf>
    <xf numFmtId="0" fontId="0" fillId="24" borderId="0" xfId="0" applyFill="1">
      <alignment vertical="center"/>
    </xf>
    <xf numFmtId="0" fontId="0" fillId="24" borderId="7" xfId="0" applyFill="1" applyBorder="1" applyAlignment="1">
      <alignment horizontal="center" vertical="center"/>
    </xf>
    <xf numFmtId="0" fontId="49" fillId="24" borderId="0" xfId="0" applyFont="1" applyFill="1">
      <alignment vertical="center"/>
    </xf>
    <xf numFmtId="0" fontId="50" fillId="18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49" fillId="25" borderId="7" xfId="0" applyFont="1" applyFill="1" applyBorder="1" applyAlignment="1">
      <alignment horizontal="center" vertical="center"/>
    </xf>
    <xf numFmtId="0" fontId="51" fillId="26" borderId="7" xfId="0" applyFont="1" applyFill="1" applyBorder="1" applyAlignment="1">
      <alignment horizontal="center" vertical="center"/>
    </xf>
    <xf numFmtId="0" fontId="52" fillId="24" borderId="7" xfId="0" applyFont="1" applyFill="1" applyBorder="1" applyAlignment="1">
      <alignment horizontal="right" vertical="center"/>
    </xf>
    <xf numFmtId="0" fontId="53" fillId="25" borderId="7" xfId="0" applyFont="1" applyFill="1" applyBorder="1" applyAlignment="1">
      <alignment horizontal="center" vertical="center"/>
    </xf>
    <xf numFmtId="0" fontId="49" fillId="21" borderId="7" xfId="0" applyFont="1" applyFill="1" applyBorder="1" applyAlignment="1">
      <alignment horizontal="center" vertical="center"/>
    </xf>
    <xf numFmtId="0" fontId="53" fillId="21" borderId="7" xfId="0" applyFont="1" applyFill="1" applyBorder="1" applyAlignment="1">
      <alignment horizontal="center" vertical="center"/>
    </xf>
    <xf numFmtId="0" fontId="54" fillId="21" borderId="7" xfId="0" applyFont="1" applyFill="1" applyBorder="1" applyAlignment="1">
      <alignment horizontal="left" vertical="center"/>
    </xf>
    <xf numFmtId="0" fontId="45" fillId="24" borderId="0" xfId="0" applyFont="1" applyFill="1">
      <alignment vertical="center"/>
    </xf>
    <xf numFmtId="0" fontId="47" fillId="24" borderId="0" xfId="0" applyFont="1" applyFill="1" applyAlignment="1">
      <alignment horizontal="center" vertical="center"/>
    </xf>
    <xf numFmtId="0" fontId="55" fillId="24" borderId="0" xfId="0" applyFont="1" applyFill="1">
      <alignment vertical="center"/>
    </xf>
    <xf numFmtId="176" fontId="0" fillId="24" borderId="7" xfId="0" applyNumberFormat="1" applyFill="1" applyBorder="1" applyAlignment="1">
      <alignment horizontal="center" vertical="center"/>
    </xf>
    <xf numFmtId="0" fontId="51" fillId="26" borderId="8" xfId="0" applyFont="1" applyFill="1" applyBorder="1" applyAlignment="1">
      <alignment horizontal="center" vertical="center"/>
    </xf>
    <xf numFmtId="0" fontId="51" fillId="26" borderId="9" xfId="0" applyFont="1" applyFill="1" applyBorder="1" applyAlignment="1">
      <alignment horizontal="center" vertical="center"/>
    </xf>
    <xf numFmtId="0" fontId="51" fillId="26" borderId="10" xfId="0" applyFont="1" applyFill="1" applyBorder="1" applyAlignment="1">
      <alignment horizontal="center" vertical="center"/>
    </xf>
    <xf numFmtId="0" fontId="49" fillId="21" borderId="11" xfId="0" applyFont="1" applyFill="1" applyBorder="1" applyAlignment="1">
      <alignment horizontal="center" vertical="center"/>
    </xf>
    <xf numFmtId="0" fontId="51" fillId="26" borderId="12" xfId="0" applyFont="1" applyFill="1" applyBorder="1" applyAlignment="1">
      <alignment horizontal="center" vertical="center"/>
    </xf>
    <xf numFmtId="0" fontId="49" fillId="24" borderId="13" xfId="0" applyFont="1" applyFill="1" applyBorder="1" applyAlignment="1">
      <alignment horizontal="center" vertical="center"/>
    </xf>
    <xf numFmtId="0" fontId="49" fillId="22" borderId="14" xfId="0" applyFont="1" applyFill="1" applyBorder="1" applyAlignment="1">
      <alignment horizontal="center" vertical="center"/>
    </xf>
    <xf numFmtId="0" fontId="51" fillId="26" borderId="15" xfId="0" applyFont="1" applyFill="1" applyBorder="1" applyAlignment="1">
      <alignment horizontal="center" vertical="center"/>
    </xf>
    <xf numFmtId="9" fontId="53" fillId="25" borderId="15" xfId="2289" applyFont="1" applyFill="1" applyBorder="1" applyAlignment="1">
      <alignment horizontal="center" vertical="center"/>
    </xf>
    <xf numFmtId="0" fontId="51" fillId="26" borderId="16" xfId="0" applyFont="1" applyFill="1" applyBorder="1" applyAlignment="1">
      <alignment horizontal="center" vertical="center"/>
    </xf>
    <xf numFmtId="0" fontId="49" fillId="22" borderId="17" xfId="0" applyFont="1" applyFill="1" applyBorder="1" applyAlignment="1">
      <alignment horizontal="center" vertical="center"/>
    </xf>
    <xf numFmtId="0" fontId="51" fillId="26" borderId="18" xfId="0" applyFont="1" applyFill="1" applyBorder="1" applyAlignment="1">
      <alignment horizontal="center" vertical="center"/>
    </xf>
    <xf numFmtId="0" fontId="51" fillId="26" borderId="19" xfId="0" applyFont="1" applyFill="1" applyBorder="1" applyAlignment="1">
      <alignment horizontal="center" vertical="center"/>
    </xf>
    <xf numFmtId="0" fontId="51" fillId="26" borderId="20" xfId="0" applyFont="1" applyFill="1" applyBorder="1" applyAlignment="1">
      <alignment horizontal="center" vertical="center"/>
    </xf>
    <xf numFmtId="0" fontId="51" fillId="26" borderId="21" xfId="0" applyFont="1" applyFill="1" applyBorder="1" applyAlignment="1">
      <alignment horizontal="center" vertical="center"/>
    </xf>
    <xf numFmtId="0" fontId="51" fillId="26" borderId="22" xfId="0" applyFont="1" applyFill="1" applyBorder="1" applyAlignment="1">
      <alignment horizontal="center" vertical="center"/>
    </xf>
    <xf numFmtId="0" fontId="56" fillId="27" borderId="17" xfId="0" applyFont="1" applyFill="1" applyBorder="1" applyAlignment="1">
      <alignment horizontal="center" vertical="center"/>
    </xf>
    <xf numFmtId="0" fontId="56" fillId="27" borderId="23" xfId="0" applyFont="1" applyFill="1" applyBorder="1" applyAlignment="1">
      <alignment horizontal="center" vertical="center"/>
    </xf>
    <xf numFmtId="0" fontId="56" fillId="27" borderId="24" xfId="0" applyFont="1" applyFill="1" applyBorder="1" applyAlignment="1">
      <alignment horizontal="center" vertical="center"/>
    </xf>
    <xf numFmtId="14" fontId="49" fillId="22" borderId="25" xfId="0" applyNumberFormat="1" applyFont="1" applyFill="1" applyBorder="1" applyAlignment="1">
      <alignment horizontal="center" vertical="center"/>
    </xf>
    <xf numFmtId="14" fontId="52" fillId="21" borderId="25" xfId="0" applyNumberFormat="1" applyFont="1" applyFill="1" applyBorder="1" applyAlignment="1">
      <alignment horizontal="center" vertical="center"/>
    </xf>
    <xf numFmtId="0" fontId="57" fillId="28" borderId="9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57" fillId="28" borderId="9" xfId="0" applyFont="1" applyFill="1" applyBorder="1" applyAlignment="1">
      <alignment horizontal="center" vertical="center" wrapText="1"/>
    </xf>
    <xf numFmtId="0" fontId="51" fillId="26" borderId="9" xfId="0" applyFont="1" applyFill="1" applyBorder="1" applyAlignment="1">
      <alignment horizontal="center" vertical="center" wrapText="1"/>
    </xf>
    <xf numFmtId="14" fontId="0" fillId="24" borderId="0" xfId="0" applyNumberFormat="1" applyFill="1" applyAlignment="1">
      <alignment horizontal="center" vertical="center"/>
    </xf>
    <xf numFmtId="14" fontId="51" fillId="26" borderId="26" xfId="0" applyNumberFormat="1" applyFont="1" applyFill="1" applyBorder="1" applyAlignment="1">
      <alignment horizontal="center" vertical="center" wrapText="1"/>
    </xf>
    <xf numFmtId="177" fontId="0" fillId="24" borderId="0" xfId="0" applyNumberFormat="1" applyFill="1">
      <alignment vertical="center"/>
    </xf>
    <xf numFmtId="177" fontId="0" fillId="24" borderId="0" xfId="0" applyNumberFormat="1" applyFill="1" applyAlignment="1">
      <alignment horizontal="center" vertical="center"/>
    </xf>
    <xf numFmtId="177" fontId="51" fillId="26" borderId="9" xfId="0" applyNumberFormat="1" applyFont="1" applyFill="1" applyBorder="1" applyAlignment="1">
      <alignment horizontal="center" vertical="center" wrapText="1"/>
    </xf>
    <xf numFmtId="177" fontId="51" fillId="26" borderId="12" xfId="0" applyNumberFormat="1" applyFont="1" applyFill="1" applyBorder="1" applyAlignment="1">
      <alignment horizontal="center" vertical="center" wrapText="1"/>
    </xf>
    <xf numFmtId="0" fontId="51" fillId="26" borderId="12" xfId="0" applyFont="1" applyFill="1" applyBorder="1" applyAlignment="1">
      <alignment horizontal="center" vertical="center" wrapText="1"/>
    </xf>
    <xf numFmtId="0" fontId="51" fillId="29" borderId="7" xfId="0" applyFont="1" applyFill="1" applyBorder="1" applyAlignment="1">
      <alignment horizontal="center" vertical="center"/>
    </xf>
    <xf numFmtId="0" fontId="51" fillId="8" borderId="7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57" fillId="28" borderId="10" xfId="0" applyFont="1" applyFill="1" applyBorder="1" applyAlignment="1">
      <alignment horizontal="center" vertical="center" wrapText="1"/>
    </xf>
    <xf numFmtId="0" fontId="57" fillId="28" borderId="10" xfId="0" applyFont="1" applyFill="1" applyBorder="1" applyAlignment="1">
      <alignment horizontal="center" vertical="center"/>
    </xf>
    <xf numFmtId="0" fontId="0" fillId="78" borderId="7" xfId="0" applyFill="1" applyBorder="1">
      <alignment vertical="center"/>
    </xf>
    <xf numFmtId="0" fontId="0" fillId="79" borderId="7" xfId="0" applyFill="1" applyBorder="1" applyAlignment="1">
      <alignment horizontal="center" vertical="center"/>
    </xf>
    <xf numFmtId="0" fontId="0" fillId="81" borderId="7" xfId="0" applyFill="1" applyBorder="1" applyAlignment="1">
      <alignment horizontal="center" vertical="center"/>
    </xf>
    <xf numFmtId="0" fontId="0" fillId="81" borderId="15" xfId="0" applyFill="1" applyBorder="1" applyAlignment="1">
      <alignment horizontal="center" vertical="center"/>
    </xf>
    <xf numFmtId="0" fontId="0" fillId="24" borderId="7" xfId="0" applyFill="1" applyBorder="1">
      <alignment vertical="center"/>
    </xf>
    <xf numFmtId="177" fontId="0" fillId="79" borderId="7" xfId="0" applyNumberFormat="1" applyFill="1" applyBorder="1" applyAlignment="1">
      <alignment horizontal="center" vertical="center"/>
    </xf>
    <xf numFmtId="0" fontId="0" fillId="79" borderId="7" xfId="0" applyFill="1" applyBorder="1">
      <alignment vertical="center"/>
    </xf>
    <xf numFmtId="177" fontId="0" fillId="79" borderId="7" xfId="0" applyNumberFormat="1" applyFill="1" applyBorder="1">
      <alignment vertical="center"/>
    </xf>
    <xf numFmtId="0" fontId="66" fillId="80" borderId="27" xfId="0" applyFont="1" applyFill="1" applyBorder="1" applyAlignment="1">
      <alignment vertical="center"/>
    </xf>
    <xf numFmtId="0" fontId="66" fillId="80" borderId="28" xfId="0" applyFont="1" applyFill="1" applyBorder="1" applyAlignment="1">
      <alignment vertical="center"/>
    </xf>
    <xf numFmtId="0" fontId="0" fillId="79" borderId="15" xfId="0" applyFill="1" applyBorder="1" applyAlignment="1">
      <alignment horizontal="center" vertical="center"/>
    </xf>
    <xf numFmtId="0" fontId="0" fillId="79" borderId="15" xfId="0" applyFill="1" applyBorder="1">
      <alignment vertical="center"/>
    </xf>
    <xf numFmtId="0" fontId="0" fillId="24" borderId="15" xfId="0" applyFill="1" applyBorder="1">
      <alignment vertical="center"/>
    </xf>
    <xf numFmtId="177" fontId="0" fillId="79" borderId="15" xfId="0" applyNumberFormat="1" applyFill="1" applyBorder="1">
      <alignment vertical="center"/>
    </xf>
    <xf numFmtId="14" fontId="0" fillId="79" borderId="7" xfId="0" applyNumberFormat="1" applyFill="1" applyBorder="1" applyAlignment="1">
      <alignment horizontal="center" vertical="center"/>
    </xf>
    <xf numFmtId="14" fontId="0" fillId="79" borderId="15" xfId="0" applyNumberFormat="1" applyFill="1" applyBorder="1" applyAlignment="1">
      <alignment horizontal="center" vertical="center"/>
    </xf>
    <xf numFmtId="0" fontId="0" fillId="81" borderId="7" xfId="0" applyFill="1" applyBorder="1">
      <alignment vertical="center"/>
    </xf>
    <xf numFmtId="0" fontId="90" fillId="79" borderId="7" xfId="0" applyFont="1" applyFill="1" applyBorder="1" applyAlignment="1">
      <alignment horizontal="center" vertical="center"/>
    </xf>
    <xf numFmtId="0" fontId="117" fillId="26" borderId="12" xfId="0" applyFont="1" applyFill="1" applyBorder="1" applyAlignment="1">
      <alignment horizontal="center" vertical="center" wrapText="1"/>
    </xf>
    <xf numFmtId="0" fontId="0" fillId="24" borderId="14" xfId="0" applyFill="1" applyBorder="1">
      <alignment vertical="center"/>
    </xf>
    <xf numFmtId="177" fontId="0" fillId="79" borderId="15" xfId="0" applyNumberFormat="1" applyFill="1" applyBorder="1" applyAlignment="1">
      <alignment horizontal="center" vertical="center"/>
    </xf>
    <xf numFmtId="0" fontId="0" fillId="81" borderId="15" xfId="0" applyFill="1" applyBorder="1">
      <alignment vertical="center"/>
    </xf>
    <xf numFmtId="0" fontId="82" fillId="82" borderId="30" xfId="1703" quotePrefix="1" applyNumberFormat="1" applyFont="1" applyFill="1" applyAlignment="1">
      <alignment vertical="center"/>
    </xf>
    <xf numFmtId="0" fontId="82" fillId="82" borderId="42" xfId="1703" quotePrefix="1" applyNumberFormat="1" applyFont="1" applyFill="1" applyBorder="1" applyAlignment="1">
      <alignment vertical="center"/>
    </xf>
    <xf numFmtId="0" fontId="82" fillId="82" borderId="7" xfId="1703" quotePrefix="1" applyNumberFormat="1" applyFont="1" applyFill="1" applyBorder="1" applyAlignment="1">
      <alignment vertical="center"/>
    </xf>
    <xf numFmtId="0" fontId="0" fillId="24" borderId="23" xfId="0" applyFill="1" applyBorder="1">
      <alignment vertical="center"/>
    </xf>
    <xf numFmtId="0" fontId="0" fillId="24" borderId="15" xfId="0" applyFill="1" applyBorder="1" applyAlignment="1">
      <alignment horizontal="center" vertical="center"/>
    </xf>
    <xf numFmtId="0" fontId="0" fillId="24" borderId="46" xfId="0" applyFill="1" applyBorder="1">
      <alignment vertical="center"/>
    </xf>
    <xf numFmtId="14" fontId="90" fillId="79" borderId="7" xfId="0" applyNumberFormat="1" applyFont="1" applyFill="1" applyBorder="1" applyAlignment="1">
      <alignment horizontal="center" vertical="center"/>
    </xf>
    <xf numFmtId="177" fontId="90" fillId="79" borderId="7" xfId="0" applyNumberFormat="1" applyFont="1" applyFill="1" applyBorder="1" applyAlignment="1">
      <alignment horizontal="center" vertical="center"/>
    </xf>
    <xf numFmtId="0" fontId="90" fillId="79" borderId="7" xfId="0" applyFont="1" applyFill="1" applyBorder="1">
      <alignment vertical="center"/>
    </xf>
    <xf numFmtId="14" fontId="0" fillId="79" borderId="7" xfId="0" applyNumberFormat="1" applyFill="1" applyBorder="1">
      <alignment vertical="center"/>
    </xf>
    <xf numFmtId="14" fontId="0" fillId="79" borderId="15" xfId="0" applyNumberFormat="1" applyFill="1" applyBorder="1">
      <alignment vertical="center"/>
    </xf>
    <xf numFmtId="0" fontId="0" fillId="0" borderId="0" xfId="0">
      <alignment vertical="center"/>
    </xf>
    <xf numFmtId="14" fontId="51" fillId="26" borderId="9" xfId="0" applyNumberFormat="1" applyFont="1" applyFill="1" applyBorder="1" applyAlignment="1">
      <alignment horizontal="center" vertical="center" wrapText="1"/>
    </xf>
  </cellXfs>
  <cellStyles count="3353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9" xfId="11" xr:uid="{00000000-0005-0000-0000-00000A000000}"/>
    <cellStyle name="20% - 강조색1 2" xfId="12" xr:uid="{00000000-0005-0000-0000-00000B000000}"/>
    <cellStyle name="20% - 강조색1 20" xfId="13" xr:uid="{00000000-0005-0000-0000-00000C000000}"/>
    <cellStyle name="20% - 강조색1 21" xfId="14" xr:uid="{00000000-0005-0000-0000-00000D000000}"/>
    <cellStyle name="20% - 강조색1 22" xfId="15" xr:uid="{00000000-0005-0000-0000-00000E000000}"/>
    <cellStyle name="20% - 강조색1 23" xfId="16" xr:uid="{00000000-0005-0000-0000-00000F000000}"/>
    <cellStyle name="20% - 강조색1 24" xfId="17" xr:uid="{00000000-0005-0000-0000-000010000000}"/>
    <cellStyle name="20% - 강조색1 25" xfId="18" xr:uid="{00000000-0005-0000-0000-000011000000}"/>
    <cellStyle name="20% - 강조색1 26" xfId="19" xr:uid="{00000000-0005-0000-0000-000012000000}"/>
    <cellStyle name="20% - 강조색1 27" xfId="20" xr:uid="{00000000-0005-0000-0000-000013000000}"/>
    <cellStyle name="20% - 강조색1 28" xfId="21" xr:uid="{00000000-0005-0000-0000-000014000000}"/>
    <cellStyle name="20% - 강조색1 29" xfId="22" xr:uid="{00000000-0005-0000-0000-000015000000}"/>
    <cellStyle name="20% - 강조색1 3" xfId="23" xr:uid="{00000000-0005-0000-0000-000016000000}"/>
    <cellStyle name="20% - 강조색1 30" xfId="24" xr:uid="{00000000-0005-0000-0000-000017000000}"/>
    <cellStyle name="20% - 강조색1 31" xfId="25" xr:uid="{00000000-0005-0000-0000-000018000000}"/>
    <cellStyle name="20% - 강조색1 32" xfId="26" xr:uid="{00000000-0005-0000-0000-000019000000}"/>
    <cellStyle name="20% - 강조색1 33" xfId="27" xr:uid="{00000000-0005-0000-0000-00001A000000}"/>
    <cellStyle name="20% - 강조색1 34" xfId="28" xr:uid="{00000000-0005-0000-0000-00001B000000}"/>
    <cellStyle name="20% - 강조색1 35" xfId="29" xr:uid="{00000000-0005-0000-0000-00001C000000}"/>
    <cellStyle name="20% - 강조색1 36" xfId="30" xr:uid="{00000000-0005-0000-0000-00001D000000}"/>
    <cellStyle name="20% - 강조색1 37" xfId="31" xr:uid="{00000000-0005-0000-0000-00001E000000}"/>
    <cellStyle name="20% - 강조색1 38" xfId="32" xr:uid="{00000000-0005-0000-0000-00001F000000}"/>
    <cellStyle name="20% - 강조색1 39" xfId="33" xr:uid="{00000000-0005-0000-0000-000020000000}"/>
    <cellStyle name="20% - 강조색1 4" xfId="34" xr:uid="{00000000-0005-0000-0000-000021000000}"/>
    <cellStyle name="20% - 강조색1 40" xfId="35" xr:uid="{00000000-0005-0000-0000-000022000000}"/>
    <cellStyle name="20% - 강조색1 41" xfId="36" xr:uid="{00000000-0005-0000-0000-000023000000}"/>
    <cellStyle name="20% - 강조색1 42" xfId="37" xr:uid="{00000000-0005-0000-0000-000024000000}"/>
    <cellStyle name="20% - 강조색1 43" xfId="38" xr:uid="{00000000-0005-0000-0000-000025000000}"/>
    <cellStyle name="20% - 강조색1 44" xfId="39" xr:uid="{00000000-0005-0000-0000-000026000000}"/>
    <cellStyle name="20% - 강조색1 45" xfId="40" xr:uid="{00000000-0005-0000-0000-000027000000}"/>
    <cellStyle name="20% - 강조색1 46" xfId="41" xr:uid="{00000000-0005-0000-0000-000028000000}"/>
    <cellStyle name="20% - 강조색1 47" xfId="42" xr:uid="{00000000-0005-0000-0000-000029000000}"/>
    <cellStyle name="20% - 강조색1 48" xfId="43" xr:uid="{00000000-0005-0000-0000-00002A000000}"/>
    <cellStyle name="20% - 강조색1 49" xfId="44" xr:uid="{00000000-0005-0000-0000-00002B000000}"/>
    <cellStyle name="20% - 강조색1 5" xfId="45" xr:uid="{00000000-0005-0000-0000-00002C000000}"/>
    <cellStyle name="20% - 강조색1 50" xfId="46" xr:uid="{00000000-0005-0000-0000-00002D000000}"/>
    <cellStyle name="20% - 강조색1 51" xfId="47" xr:uid="{00000000-0005-0000-0000-00002E000000}"/>
    <cellStyle name="20% - 강조색1 52" xfId="48" xr:uid="{00000000-0005-0000-0000-00002F000000}"/>
    <cellStyle name="20% - 강조색1 53" xfId="49" xr:uid="{00000000-0005-0000-0000-000030000000}"/>
    <cellStyle name="20% - 강조색1 54" xfId="50" xr:uid="{00000000-0005-0000-0000-000031000000}"/>
    <cellStyle name="20% - 강조색1 55" xfId="51" xr:uid="{00000000-0005-0000-0000-000032000000}"/>
    <cellStyle name="20% - 강조색1 56" xfId="52" xr:uid="{00000000-0005-0000-0000-000033000000}"/>
    <cellStyle name="20% - 강조색1 57" xfId="53" xr:uid="{00000000-0005-0000-0000-000034000000}"/>
    <cellStyle name="20% - 강조색1 58" xfId="54" xr:uid="{00000000-0005-0000-0000-000035000000}"/>
    <cellStyle name="20% - 강조색1 59" xfId="3096" xr:uid="{00000000-0005-0000-0000-000036000000}"/>
    <cellStyle name="20% - 강조색1 6" xfId="55" xr:uid="{00000000-0005-0000-0000-000037000000}"/>
    <cellStyle name="20% - 강조색1 60" xfId="3120" xr:uid="{00000000-0005-0000-0000-000038000000}"/>
    <cellStyle name="20% - 강조색1 61" xfId="3133" xr:uid="{00000000-0005-0000-0000-000039000000}"/>
    <cellStyle name="20% - 강조색1 62" xfId="3147" xr:uid="{00000000-0005-0000-0000-00003A000000}"/>
    <cellStyle name="20% - 강조색1 63" xfId="3160" xr:uid="{00000000-0005-0000-0000-00003B000000}"/>
    <cellStyle name="20% - 강조색1 64" xfId="3173" xr:uid="{00000000-0005-0000-0000-00003C000000}"/>
    <cellStyle name="20% - 강조색1 65" xfId="3186" xr:uid="{00000000-0005-0000-0000-00003D000000}"/>
    <cellStyle name="20% - 강조색1 66" xfId="3205" xr:uid="{00000000-0005-0000-0000-00003E000000}"/>
    <cellStyle name="20% - 강조색1 67" xfId="3233" xr:uid="{00000000-0005-0000-0000-00003F000000}"/>
    <cellStyle name="20% - 강조색1 68" xfId="3246" xr:uid="{00000000-0005-0000-0000-000040000000}"/>
    <cellStyle name="20% - 강조색1 69" xfId="3259" xr:uid="{00000000-0005-0000-0000-000041000000}"/>
    <cellStyle name="20% - 강조색1 7" xfId="56" xr:uid="{00000000-0005-0000-0000-000042000000}"/>
    <cellStyle name="20% - 강조색1 70" xfId="3272" xr:uid="{00000000-0005-0000-0000-000043000000}"/>
    <cellStyle name="20% - 강조색1 71" xfId="3285" xr:uid="{00000000-0005-0000-0000-000044000000}"/>
    <cellStyle name="20% - 강조색1 72" xfId="3298" xr:uid="{00000000-0005-0000-0000-000045000000}"/>
    <cellStyle name="20% - 강조색1 73" xfId="3311" xr:uid="{00000000-0005-0000-0000-000046000000}"/>
    <cellStyle name="20% - 강조색1 74" xfId="3324" xr:uid="{00000000-0005-0000-0000-000047000000}"/>
    <cellStyle name="20% - 강조색1 75" xfId="3337" xr:uid="{00000000-0005-0000-0000-000048000000}"/>
    <cellStyle name="20% - 강조색1 8" xfId="57" xr:uid="{00000000-0005-0000-0000-000049000000}"/>
    <cellStyle name="20% - 강조색1 9" xfId="58" xr:uid="{00000000-0005-0000-0000-00004A000000}"/>
    <cellStyle name="20% - 강조색2" xfId="59" builtinId="34" customBuiltin="1"/>
    <cellStyle name="20% - 강조색2 10" xfId="60" xr:uid="{00000000-0005-0000-0000-00004C000000}"/>
    <cellStyle name="20% - 강조색2 11" xfId="61" xr:uid="{00000000-0005-0000-0000-00004D000000}"/>
    <cellStyle name="20% - 강조색2 12" xfId="62" xr:uid="{00000000-0005-0000-0000-00004E000000}"/>
    <cellStyle name="20% - 강조색2 13" xfId="63" xr:uid="{00000000-0005-0000-0000-00004F000000}"/>
    <cellStyle name="20% - 강조색2 14" xfId="64" xr:uid="{00000000-0005-0000-0000-000050000000}"/>
    <cellStyle name="20% - 강조색2 15" xfId="65" xr:uid="{00000000-0005-0000-0000-000051000000}"/>
    <cellStyle name="20% - 강조색2 16" xfId="66" xr:uid="{00000000-0005-0000-0000-000052000000}"/>
    <cellStyle name="20% - 강조색2 17" xfId="67" xr:uid="{00000000-0005-0000-0000-000053000000}"/>
    <cellStyle name="20% - 강조색2 18" xfId="68" xr:uid="{00000000-0005-0000-0000-000054000000}"/>
    <cellStyle name="20% - 강조색2 19" xfId="69" xr:uid="{00000000-0005-0000-0000-000055000000}"/>
    <cellStyle name="20% - 강조색2 2" xfId="70" xr:uid="{00000000-0005-0000-0000-000056000000}"/>
    <cellStyle name="20% - 강조색2 20" xfId="71" xr:uid="{00000000-0005-0000-0000-000057000000}"/>
    <cellStyle name="20% - 강조색2 21" xfId="72" xr:uid="{00000000-0005-0000-0000-000058000000}"/>
    <cellStyle name="20% - 강조색2 22" xfId="73" xr:uid="{00000000-0005-0000-0000-000059000000}"/>
    <cellStyle name="20% - 강조색2 23" xfId="74" xr:uid="{00000000-0005-0000-0000-00005A000000}"/>
    <cellStyle name="20% - 강조색2 24" xfId="75" xr:uid="{00000000-0005-0000-0000-00005B000000}"/>
    <cellStyle name="20% - 강조색2 25" xfId="76" xr:uid="{00000000-0005-0000-0000-00005C000000}"/>
    <cellStyle name="20% - 강조색2 26" xfId="77" xr:uid="{00000000-0005-0000-0000-00005D000000}"/>
    <cellStyle name="20% - 강조색2 27" xfId="78" xr:uid="{00000000-0005-0000-0000-00005E000000}"/>
    <cellStyle name="20% - 강조색2 28" xfId="79" xr:uid="{00000000-0005-0000-0000-00005F000000}"/>
    <cellStyle name="20% - 강조색2 29" xfId="80" xr:uid="{00000000-0005-0000-0000-000060000000}"/>
    <cellStyle name="20% - 강조색2 3" xfId="81" xr:uid="{00000000-0005-0000-0000-000061000000}"/>
    <cellStyle name="20% - 강조색2 30" xfId="82" xr:uid="{00000000-0005-0000-0000-000062000000}"/>
    <cellStyle name="20% - 강조색2 31" xfId="83" xr:uid="{00000000-0005-0000-0000-000063000000}"/>
    <cellStyle name="20% - 강조색2 32" xfId="84" xr:uid="{00000000-0005-0000-0000-000064000000}"/>
    <cellStyle name="20% - 강조색2 33" xfId="85" xr:uid="{00000000-0005-0000-0000-000065000000}"/>
    <cellStyle name="20% - 강조색2 34" xfId="86" xr:uid="{00000000-0005-0000-0000-000066000000}"/>
    <cellStyle name="20% - 강조색2 35" xfId="87" xr:uid="{00000000-0005-0000-0000-000067000000}"/>
    <cellStyle name="20% - 강조색2 36" xfId="88" xr:uid="{00000000-0005-0000-0000-000068000000}"/>
    <cellStyle name="20% - 강조색2 37" xfId="89" xr:uid="{00000000-0005-0000-0000-000069000000}"/>
    <cellStyle name="20% - 강조색2 38" xfId="90" xr:uid="{00000000-0005-0000-0000-00006A000000}"/>
    <cellStyle name="20% - 강조색2 39" xfId="91" xr:uid="{00000000-0005-0000-0000-00006B000000}"/>
    <cellStyle name="20% - 강조색2 4" xfId="92" xr:uid="{00000000-0005-0000-0000-00006C000000}"/>
    <cellStyle name="20% - 강조색2 40" xfId="93" xr:uid="{00000000-0005-0000-0000-00006D000000}"/>
    <cellStyle name="20% - 강조색2 41" xfId="94" xr:uid="{00000000-0005-0000-0000-00006E000000}"/>
    <cellStyle name="20% - 강조색2 42" xfId="95" xr:uid="{00000000-0005-0000-0000-00006F000000}"/>
    <cellStyle name="20% - 강조색2 43" xfId="96" xr:uid="{00000000-0005-0000-0000-000070000000}"/>
    <cellStyle name="20% - 강조색2 44" xfId="97" xr:uid="{00000000-0005-0000-0000-000071000000}"/>
    <cellStyle name="20% - 강조색2 45" xfId="98" xr:uid="{00000000-0005-0000-0000-000072000000}"/>
    <cellStyle name="20% - 강조색2 46" xfId="99" xr:uid="{00000000-0005-0000-0000-000073000000}"/>
    <cellStyle name="20% - 강조색2 47" xfId="100" xr:uid="{00000000-0005-0000-0000-000074000000}"/>
    <cellStyle name="20% - 강조색2 48" xfId="101" xr:uid="{00000000-0005-0000-0000-000075000000}"/>
    <cellStyle name="20% - 강조색2 49" xfId="102" xr:uid="{00000000-0005-0000-0000-000076000000}"/>
    <cellStyle name="20% - 강조색2 5" xfId="103" xr:uid="{00000000-0005-0000-0000-000077000000}"/>
    <cellStyle name="20% - 강조색2 50" xfId="104" xr:uid="{00000000-0005-0000-0000-000078000000}"/>
    <cellStyle name="20% - 강조색2 51" xfId="105" xr:uid="{00000000-0005-0000-0000-000079000000}"/>
    <cellStyle name="20% - 강조색2 52" xfId="106" xr:uid="{00000000-0005-0000-0000-00007A000000}"/>
    <cellStyle name="20% - 강조색2 53" xfId="107" xr:uid="{00000000-0005-0000-0000-00007B000000}"/>
    <cellStyle name="20% - 강조색2 54" xfId="108" xr:uid="{00000000-0005-0000-0000-00007C000000}"/>
    <cellStyle name="20% - 강조색2 55" xfId="109" xr:uid="{00000000-0005-0000-0000-00007D000000}"/>
    <cellStyle name="20% - 강조색2 56" xfId="110" xr:uid="{00000000-0005-0000-0000-00007E000000}"/>
    <cellStyle name="20% - 강조색2 57" xfId="111" xr:uid="{00000000-0005-0000-0000-00007F000000}"/>
    <cellStyle name="20% - 강조색2 58" xfId="112" xr:uid="{00000000-0005-0000-0000-000080000000}"/>
    <cellStyle name="20% - 강조색2 59" xfId="3100" xr:uid="{00000000-0005-0000-0000-000081000000}"/>
    <cellStyle name="20% - 강조색2 6" xfId="113" xr:uid="{00000000-0005-0000-0000-000082000000}"/>
    <cellStyle name="20% - 강조색2 60" xfId="3122" xr:uid="{00000000-0005-0000-0000-000083000000}"/>
    <cellStyle name="20% - 강조색2 61" xfId="3135" xr:uid="{00000000-0005-0000-0000-000084000000}"/>
    <cellStyle name="20% - 강조색2 62" xfId="3149" xr:uid="{00000000-0005-0000-0000-000085000000}"/>
    <cellStyle name="20% - 강조색2 63" xfId="3162" xr:uid="{00000000-0005-0000-0000-000086000000}"/>
    <cellStyle name="20% - 강조색2 64" xfId="3175" xr:uid="{00000000-0005-0000-0000-000087000000}"/>
    <cellStyle name="20% - 강조색2 65" xfId="3188" xr:uid="{00000000-0005-0000-0000-000088000000}"/>
    <cellStyle name="20% - 강조색2 66" xfId="3209" xr:uid="{00000000-0005-0000-0000-000089000000}"/>
    <cellStyle name="20% - 강조색2 67" xfId="3235" xr:uid="{00000000-0005-0000-0000-00008A000000}"/>
    <cellStyle name="20% - 강조색2 68" xfId="3248" xr:uid="{00000000-0005-0000-0000-00008B000000}"/>
    <cellStyle name="20% - 강조색2 69" xfId="3261" xr:uid="{00000000-0005-0000-0000-00008C000000}"/>
    <cellStyle name="20% - 강조색2 7" xfId="114" xr:uid="{00000000-0005-0000-0000-00008D000000}"/>
    <cellStyle name="20% - 강조색2 70" xfId="3274" xr:uid="{00000000-0005-0000-0000-00008E000000}"/>
    <cellStyle name="20% - 강조색2 71" xfId="3287" xr:uid="{00000000-0005-0000-0000-00008F000000}"/>
    <cellStyle name="20% - 강조색2 72" xfId="3300" xr:uid="{00000000-0005-0000-0000-000090000000}"/>
    <cellStyle name="20% - 강조색2 73" xfId="3313" xr:uid="{00000000-0005-0000-0000-000091000000}"/>
    <cellStyle name="20% - 강조색2 74" xfId="3326" xr:uid="{00000000-0005-0000-0000-000092000000}"/>
    <cellStyle name="20% - 강조색2 75" xfId="3339" xr:uid="{00000000-0005-0000-0000-000093000000}"/>
    <cellStyle name="20% - 강조색2 8" xfId="115" xr:uid="{00000000-0005-0000-0000-000094000000}"/>
    <cellStyle name="20% - 강조색2 9" xfId="116" xr:uid="{00000000-0005-0000-0000-000095000000}"/>
    <cellStyle name="20% - 강조색3" xfId="117" builtinId="38" customBuiltin="1"/>
    <cellStyle name="20% - 강조색3 10" xfId="118" xr:uid="{00000000-0005-0000-0000-000097000000}"/>
    <cellStyle name="20% - 강조색3 11" xfId="119" xr:uid="{00000000-0005-0000-0000-000098000000}"/>
    <cellStyle name="20% - 강조색3 12" xfId="120" xr:uid="{00000000-0005-0000-0000-000099000000}"/>
    <cellStyle name="20% - 강조색3 13" xfId="121" xr:uid="{00000000-0005-0000-0000-00009A000000}"/>
    <cellStyle name="20% - 강조색3 14" xfId="122" xr:uid="{00000000-0005-0000-0000-00009B000000}"/>
    <cellStyle name="20% - 강조색3 15" xfId="123" xr:uid="{00000000-0005-0000-0000-00009C000000}"/>
    <cellStyle name="20% - 강조색3 16" xfId="124" xr:uid="{00000000-0005-0000-0000-00009D000000}"/>
    <cellStyle name="20% - 강조색3 17" xfId="125" xr:uid="{00000000-0005-0000-0000-00009E000000}"/>
    <cellStyle name="20% - 강조색3 18" xfId="126" xr:uid="{00000000-0005-0000-0000-00009F000000}"/>
    <cellStyle name="20% - 강조색3 19" xfId="127" xr:uid="{00000000-0005-0000-0000-0000A0000000}"/>
    <cellStyle name="20% - 강조색3 2" xfId="128" xr:uid="{00000000-0005-0000-0000-0000A1000000}"/>
    <cellStyle name="20% - 강조색3 20" xfId="129" xr:uid="{00000000-0005-0000-0000-0000A2000000}"/>
    <cellStyle name="20% - 강조색3 21" xfId="130" xr:uid="{00000000-0005-0000-0000-0000A3000000}"/>
    <cellStyle name="20% - 강조색3 22" xfId="131" xr:uid="{00000000-0005-0000-0000-0000A4000000}"/>
    <cellStyle name="20% - 강조색3 23" xfId="132" xr:uid="{00000000-0005-0000-0000-0000A5000000}"/>
    <cellStyle name="20% - 강조색3 24" xfId="133" xr:uid="{00000000-0005-0000-0000-0000A6000000}"/>
    <cellStyle name="20% - 강조색3 25" xfId="134" xr:uid="{00000000-0005-0000-0000-0000A7000000}"/>
    <cellStyle name="20% - 강조색3 26" xfId="135" xr:uid="{00000000-0005-0000-0000-0000A8000000}"/>
    <cellStyle name="20% - 강조색3 27" xfId="136" xr:uid="{00000000-0005-0000-0000-0000A9000000}"/>
    <cellStyle name="20% - 강조색3 28" xfId="137" xr:uid="{00000000-0005-0000-0000-0000AA000000}"/>
    <cellStyle name="20% - 강조색3 29" xfId="138" xr:uid="{00000000-0005-0000-0000-0000AB000000}"/>
    <cellStyle name="20% - 강조색3 3" xfId="139" xr:uid="{00000000-0005-0000-0000-0000AC000000}"/>
    <cellStyle name="20% - 강조색3 30" xfId="140" xr:uid="{00000000-0005-0000-0000-0000AD000000}"/>
    <cellStyle name="20% - 강조색3 31" xfId="141" xr:uid="{00000000-0005-0000-0000-0000AE000000}"/>
    <cellStyle name="20% - 강조색3 32" xfId="142" xr:uid="{00000000-0005-0000-0000-0000AF000000}"/>
    <cellStyle name="20% - 강조색3 33" xfId="143" xr:uid="{00000000-0005-0000-0000-0000B0000000}"/>
    <cellStyle name="20% - 강조색3 34" xfId="144" xr:uid="{00000000-0005-0000-0000-0000B1000000}"/>
    <cellStyle name="20% - 강조색3 35" xfId="145" xr:uid="{00000000-0005-0000-0000-0000B2000000}"/>
    <cellStyle name="20% - 강조색3 36" xfId="146" xr:uid="{00000000-0005-0000-0000-0000B3000000}"/>
    <cellStyle name="20% - 강조색3 37" xfId="147" xr:uid="{00000000-0005-0000-0000-0000B4000000}"/>
    <cellStyle name="20% - 강조색3 38" xfId="148" xr:uid="{00000000-0005-0000-0000-0000B5000000}"/>
    <cellStyle name="20% - 강조색3 39" xfId="149" xr:uid="{00000000-0005-0000-0000-0000B6000000}"/>
    <cellStyle name="20% - 강조색3 4" xfId="150" xr:uid="{00000000-0005-0000-0000-0000B7000000}"/>
    <cellStyle name="20% - 강조색3 40" xfId="151" xr:uid="{00000000-0005-0000-0000-0000B8000000}"/>
    <cellStyle name="20% - 강조색3 41" xfId="152" xr:uid="{00000000-0005-0000-0000-0000B9000000}"/>
    <cellStyle name="20% - 강조색3 42" xfId="153" xr:uid="{00000000-0005-0000-0000-0000BA000000}"/>
    <cellStyle name="20% - 강조색3 43" xfId="154" xr:uid="{00000000-0005-0000-0000-0000BB000000}"/>
    <cellStyle name="20% - 강조색3 44" xfId="155" xr:uid="{00000000-0005-0000-0000-0000BC000000}"/>
    <cellStyle name="20% - 강조색3 45" xfId="156" xr:uid="{00000000-0005-0000-0000-0000BD000000}"/>
    <cellStyle name="20% - 강조색3 46" xfId="157" xr:uid="{00000000-0005-0000-0000-0000BE000000}"/>
    <cellStyle name="20% - 강조색3 47" xfId="158" xr:uid="{00000000-0005-0000-0000-0000BF000000}"/>
    <cellStyle name="20% - 강조색3 48" xfId="159" xr:uid="{00000000-0005-0000-0000-0000C0000000}"/>
    <cellStyle name="20% - 강조색3 49" xfId="160" xr:uid="{00000000-0005-0000-0000-0000C1000000}"/>
    <cellStyle name="20% - 강조색3 5" xfId="161" xr:uid="{00000000-0005-0000-0000-0000C2000000}"/>
    <cellStyle name="20% - 강조색3 50" xfId="162" xr:uid="{00000000-0005-0000-0000-0000C3000000}"/>
    <cellStyle name="20% - 강조색3 51" xfId="163" xr:uid="{00000000-0005-0000-0000-0000C4000000}"/>
    <cellStyle name="20% - 강조색3 52" xfId="164" xr:uid="{00000000-0005-0000-0000-0000C5000000}"/>
    <cellStyle name="20% - 강조색3 53" xfId="165" xr:uid="{00000000-0005-0000-0000-0000C6000000}"/>
    <cellStyle name="20% - 강조색3 54" xfId="166" xr:uid="{00000000-0005-0000-0000-0000C7000000}"/>
    <cellStyle name="20% - 강조색3 55" xfId="167" xr:uid="{00000000-0005-0000-0000-0000C8000000}"/>
    <cellStyle name="20% - 강조색3 56" xfId="168" xr:uid="{00000000-0005-0000-0000-0000C9000000}"/>
    <cellStyle name="20% - 강조색3 57" xfId="169" xr:uid="{00000000-0005-0000-0000-0000CA000000}"/>
    <cellStyle name="20% - 강조색3 58" xfId="170" xr:uid="{00000000-0005-0000-0000-0000CB000000}"/>
    <cellStyle name="20% - 강조색3 59" xfId="3104" xr:uid="{00000000-0005-0000-0000-0000CC000000}"/>
    <cellStyle name="20% - 강조색3 6" xfId="171" xr:uid="{00000000-0005-0000-0000-0000CD000000}"/>
    <cellStyle name="20% - 강조색3 60" xfId="3124" xr:uid="{00000000-0005-0000-0000-0000CE000000}"/>
    <cellStyle name="20% - 강조색3 61" xfId="3137" xr:uid="{00000000-0005-0000-0000-0000CF000000}"/>
    <cellStyle name="20% - 강조색3 62" xfId="3151" xr:uid="{00000000-0005-0000-0000-0000D0000000}"/>
    <cellStyle name="20% - 강조색3 63" xfId="3164" xr:uid="{00000000-0005-0000-0000-0000D1000000}"/>
    <cellStyle name="20% - 강조색3 64" xfId="3177" xr:uid="{00000000-0005-0000-0000-0000D2000000}"/>
    <cellStyle name="20% - 강조색3 65" xfId="3190" xr:uid="{00000000-0005-0000-0000-0000D3000000}"/>
    <cellStyle name="20% - 강조색3 66" xfId="3213" xr:uid="{00000000-0005-0000-0000-0000D4000000}"/>
    <cellStyle name="20% - 강조색3 67" xfId="3237" xr:uid="{00000000-0005-0000-0000-0000D5000000}"/>
    <cellStyle name="20% - 강조색3 68" xfId="3250" xr:uid="{00000000-0005-0000-0000-0000D6000000}"/>
    <cellStyle name="20% - 강조색3 69" xfId="3263" xr:uid="{00000000-0005-0000-0000-0000D7000000}"/>
    <cellStyle name="20% - 강조색3 7" xfId="172" xr:uid="{00000000-0005-0000-0000-0000D8000000}"/>
    <cellStyle name="20% - 강조색3 70" xfId="3276" xr:uid="{00000000-0005-0000-0000-0000D9000000}"/>
    <cellStyle name="20% - 강조색3 71" xfId="3289" xr:uid="{00000000-0005-0000-0000-0000DA000000}"/>
    <cellStyle name="20% - 강조색3 72" xfId="3302" xr:uid="{00000000-0005-0000-0000-0000DB000000}"/>
    <cellStyle name="20% - 강조색3 73" xfId="3315" xr:uid="{00000000-0005-0000-0000-0000DC000000}"/>
    <cellStyle name="20% - 강조색3 74" xfId="3328" xr:uid="{00000000-0005-0000-0000-0000DD000000}"/>
    <cellStyle name="20% - 강조색3 75" xfId="3341" xr:uid="{00000000-0005-0000-0000-0000DE000000}"/>
    <cellStyle name="20% - 강조색3 8" xfId="173" xr:uid="{00000000-0005-0000-0000-0000DF000000}"/>
    <cellStyle name="20% - 강조색3 9" xfId="174" xr:uid="{00000000-0005-0000-0000-0000E0000000}"/>
    <cellStyle name="20% - 강조색4" xfId="175" builtinId="42" customBuiltin="1"/>
    <cellStyle name="20% - 강조색4 10" xfId="176" xr:uid="{00000000-0005-0000-0000-0000E2000000}"/>
    <cellStyle name="20% - 강조색4 11" xfId="177" xr:uid="{00000000-0005-0000-0000-0000E3000000}"/>
    <cellStyle name="20% - 강조색4 12" xfId="178" xr:uid="{00000000-0005-0000-0000-0000E4000000}"/>
    <cellStyle name="20% - 강조색4 13" xfId="179" xr:uid="{00000000-0005-0000-0000-0000E5000000}"/>
    <cellStyle name="20% - 강조색4 14" xfId="180" xr:uid="{00000000-0005-0000-0000-0000E6000000}"/>
    <cellStyle name="20% - 강조색4 15" xfId="181" xr:uid="{00000000-0005-0000-0000-0000E7000000}"/>
    <cellStyle name="20% - 강조색4 16" xfId="182" xr:uid="{00000000-0005-0000-0000-0000E8000000}"/>
    <cellStyle name="20% - 강조색4 17" xfId="183" xr:uid="{00000000-0005-0000-0000-0000E9000000}"/>
    <cellStyle name="20% - 강조색4 18" xfId="184" xr:uid="{00000000-0005-0000-0000-0000EA000000}"/>
    <cellStyle name="20% - 강조색4 19" xfId="185" xr:uid="{00000000-0005-0000-0000-0000EB000000}"/>
    <cellStyle name="20% - 강조색4 2" xfId="186" xr:uid="{00000000-0005-0000-0000-0000EC000000}"/>
    <cellStyle name="20% - 강조색4 20" xfId="187" xr:uid="{00000000-0005-0000-0000-0000ED000000}"/>
    <cellStyle name="20% - 강조색4 21" xfId="188" xr:uid="{00000000-0005-0000-0000-0000EE000000}"/>
    <cellStyle name="20% - 강조색4 22" xfId="189" xr:uid="{00000000-0005-0000-0000-0000EF000000}"/>
    <cellStyle name="20% - 강조색4 23" xfId="190" xr:uid="{00000000-0005-0000-0000-0000F0000000}"/>
    <cellStyle name="20% - 강조색4 24" xfId="191" xr:uid="{00000000-0005-0000-0000-0000F1000000}"/>
    <cellStyle name="20% - 강조색4 25" xfId="192" xr:uid="{00000000-0005-0000-0000-0000F2000000}"/>
    <cellStyle name="20% - 강조색4 26" xfId="193" xr:uid="{00000000-0005-0000-0000-0000F3000000}"/>
    <cellStyle name="20% - 강조색4 27" xfId="194" xr:uid="{00000000-0005-0000-0000-0000F4000000}"/>
    <cellStyle name="20% - 강조색4 28" xfId="195" xr:uid="{00000000-0005-0000-0000-0000F5000000}"/>
    <cellStyle name="20% - 강조색4 29" xfId="196" xr:uid="{00000000-0005-0000-0000-0000F6000000}"/>
    <cellStyle name="20% - 강조색4 3" xfId="197" xr:uid="{00000000-0005-0000-0000-0000F7000000}"/>
    <cellStyle name="20% - 강조색4 30" xfId="198" xr:uid="{00000000-0005-0000-0000-0000F8000000}"/>
    <cellStyle name="20% - 강조색4 31" xfId="199" xr:uid="{00000000-0005-0000-0000-0000F9000000}"/>
    <cellStyle name="20% - 강조색4 32" xfId="200" xr:uid="{00000000-0005-0000-0000-0000FA000000}"/>
    <cellStyle name="20% - 강조색4 33" xfId="201" xr:uid="{00000000-0005-0000-0000-0000FB000000}"/>
    <cellStyle name="20% - 강조색4 34" xfId="202" xr:uid="{00000000-0005-0000-0000-0000FC000000}"/>
    <cellStyle name="20% - 강조색4 35" xfId="203" xr:uid="{00000000-0005-0000-0000-0000FD000000}"/>
    <cellStyle name="20% - 강조색4 36" xfId="204" xr:uid="{00000000-0005-0000-0000-0000FE000000}"/>
    <cellStyle name="20% - 강조색4 37" xfId="205" xr:uid="{00000000-0005-0000-0000-0000FF000000}"/>
    <cellStyle name="20% - 강조색4 38" xfId="206" xr:uid="{00000000-0005-0000-0000-000000010000}"/>
    <cellStyle name="20% - 강조색4 39" xfId="207" xr:uid="{00000000-0005-0000-0000-000001010000}"/>
    <cellStyle name="20% - 강조색4 4" xfId="208" xr:uid="{00000000-0005-0000-0000-000002010000}"/>
    <cellStyle name="20% - 강조색4 40" xfId="209" xr:uid="{00000000-0005-0000-0000-000003010000}"/>
    <cellStyle name="20% - 강조색4 41" xfId="210" xr:uid="{00000000-0005-0000-0000-000004010000}"/>
    <cellStyle name="20% - 강조색4 42" xfId="211" xr:uid="{00000000-0005-0000-0000-000005010000}"/>
    <cellStyle name="20% - 강조색4 43" xfId="212" xr:uid="{00000000-0005-0000-0000-000006010000}"/>
    <cellStyle name="20% - 강조색4 44" xfId="213" xr:uid="{00000000-0005-0000-0000-000007010000}"/>
    <cellStyle name="20% - 강조색4 45" xfId="214" xr:uid="{00000000-0005-0000-0000-000008010000}"/>
    <cellStyle name="20% - 강조색4 46" xfId="215" xr:uid="{00000000-0005-0000-0000-000009010000}"/>
    <cellStyle name="20% - 강조색4 47" xfId="216" xr:uid="{00000000-0005-0000-0000-00000A010000}"/>
    <cellStyle name="20% - 강조색4 48" xfId="217" xr:uid="{00000000-0005-0000-0000-00000B010000}"/>
    <cellStyle name="20% - 강조색4 49" xfId="218" xr:uid="{00000000-0005-0000-0000-00000C010000}"/>
    <cellStyle name="20% - 강조색4 5" xfId="219" xr:uid="{00000000-0005-0000-0000-00000D010000}"/>
    <cellStyle name="20% - 강조색4 50" xfId="220" xr:uid="{00000000-0005-0000-0000-00000E010000}"/>
    <cellStyle name="20% - 강조색4 51" xfId="221" xr:uid="{00000000-0005-0000-0000-00000F010000}"/>
    <cellStyle name="20% - 강조색4 52" xfId="222" xr:uid="{00000000-0005-0000-0000-000010010000}"/>
    <cellStyle name="20% - 강조색4 53" xfId="223" xr:uid="{00000000-0005-0000-0000-000011010000}"/>
    <cellStyle name="20% - 강조색4 54" xfId="224" xr:uid="{00000000-0005-0000-0000-000012010000}"/>
    <cellStyle name="20% - 강조색4 55" xfId="225" xr:uid="{00000000-0005-0000-0000-000013010000}"/>
    <cellStyle name="20% - 강조색4 56" xfId="226" xr:uid="{00000000-0005-0000-0000-000014010000}"/>
    <cellStyle name="20% - 강조색4 57" xfId="227" xr:uid="{00000000-0005-0000-0000-000015010000}"/>
    <cellStyle name="20% - 강조색4 58" xfId="228" xr:uid="{00000000-0005-0000-0000-000016010000}"/>
    <cellStyle name="20% - 강조색4 59" xfId="3108" xr:uid="{00000000-0005-0000-0000-000017010000}"/>
    <cellStyle name="20% - 강조색4 6" xfId="229" xr:uid="{00000000-0005-0000-0000-000018010000}"/>
    <cellStyle name="20% - 강조색4 60" xfId="3126" xr:uid="{00000000-0005-0000-0000-000019010000}"/>
    <cellStyle name="20% - 강조색4 61" xfId="3139" xr:uid="{00000000-0005-0000-0000-00001A010000}"/>
    <cellStyle name="20% - 강조색4 62" xfId="3153" xr:uid="{00000000-0005-0000-0000-00001B010000}"/>
    <cellStyle name="20% - 강조색4 63" xfId="3166" xr:uid="{00000000-0005-0000-0000-00001C010000}"/>
    <cellStyle name="20% - 강조색4 64" xfId="3179" xr:uid="{00000000-0005-0000-0000-00001D010000}"/>
    <cellStyle name="20% - 강조색4 65" xfId="3192" xr:uid="{00000000-0005-0000-0000-00001E010000}"/>
    <cellStyle name="20% - 강조색4 66" xfId="3216" xr:uid="{00000000-0005-0000-0000-00001F010000}"/>
    <cellStyle name="20% - 강조색4 67" xfId="3239" xr:uid="{00000000-0005-0000-0000-000020010000}"/>
    <cellStyle name="20% - 강조색4 68" xfId="3252" xr:uid="{00000000-0005-0000-0000-000021010000}"/>
    <cellStyle name="20% - 강조색4 69" xfId="3265" xr:uid="{00000000-0005-0000-0000-000022010000}"/>
    <cellStyle name="20% - 강조색4 7" xfId="230" xr:uid="{00000000-0005-0000-0000-000023010000}"/>
    <cellStyle name="20% - 강조색4 70" xfId="3278" xr:uid="{00000000-0005-0000-0000-000024010000}"/>
    <cellStyle name="20% - 강조색4 71" xfId="3291" xr:uid="{00000000-0005-0000-0000-000025010000}"/>
    <cellStyle name="20% - 강조색4 72" xfId="3304" xr:uid="{00000000-0005-0000-0000-000026010000}"/>
    <cellStyle name="20% - 강조색4 73" xfId="3317" xr:uid="{00000000-0005-0000-0000-000027010000}"/>
    <cellStyle name="20% - 강조색4 74" xfId="3330" xr:uid="{00000000-0005-0000-0000-000028010000}"/>
    <cellStyle name="20% - 강조색4 75" xfId="3343" xr:uid="{00000000-0005-0000-0000-000029010000}"/>
    <cellStyle name="20% - 강조색4 8" xfId="231" xr:uid="{00000000-0005-0000-0000-00002A010000}"/>
    <cellStyle name="20% - 강조색4 9" xfId="232" xr:uid="{00000000-0005-0000-0000-00002B010000}"/>
    <cellStyle name="20% - 강조색5" xfId="233" builtinId="46" customBuiltin="1"/>
    <cellStyle name="20% - 강조색5 10" xfId="234" xr:uid="{00000000-0005-0000-0000-00002D010000}"/>
    <cellStyle name="20% - 강조색5 11" xfId="235" xr:uid="{00000000-0005-0000-0000-00002E010000}"/>
    <cellStyle name="20% - 강조색5 12" xfId="236" xr:uid="{00000000-0005-0000-0000-00002F010000}"/>
    <cellStyle name="20% - 강조색5 13" xfId="237" xr:uid="{00000000-0005-0000-0000-000030010000}"/>
    <cellStyle name="20% - 강조색5 14" xfId="238" xr:uid="{00000000-0005-0000-0000-000031010000}"/>
    <cellStyle name="20% - 강조색5 15" xfId="239" xr:uid="{00000000-0005-0000-0000-000032010000}"/>
    <cellStyle name="20% - 강조색5 16" xfId="240" xr:uid="{00000000-0005-0000-0000-000033010000}"/>
    <cellStyle name="20% - 강조색5 17" xfId="241" xr:uid="{00000000-0005-0000-0000-000034010000}"/>
    <cellStyle name="20% - 강조색5 18" xfId="242" xr:uid="{00000000-0005-0000-0000-000035010000}"/>
    <cellStyle name="20% - 강조색5 19" xfId="243" xr:uid="{00000000-0005-0000-0000-000036010000}"/>
    <cellStyle name="20% - 강조색5 2" xfId="244" xr:uid="{00000000-0005-0000-0000-000037010000}"/>
    <cellStyle name="20% - 강조색5 20" xfId="245" xr:uid="{00000000-0005-0000-0000-000038010000}"/>
    <cellStyle name="20% - 강조색5 21" xfId="246" xr:uid="{00000000-0005-0000-0000-000039010000}"/>
    <cellStyle name="20% - 강조색5 22" xfId="247" xr:uid="{00000000-0005-0000-0000-00003A010000}"/>
    <cellStyle name="20% - 강조색5 23" xfId="248" xr:uid="{00000000-0005-0000-0000-00003B010000}"/>
    <cellStyle name="20% - 강조색5 24" xfId="249" xr:uid="{00000000-0005-0000-0000-00003C010000}"/>
    <cellStyle name="20% - 강조색5 25" xfId="250" xr:uid="{00000000-0005-0000-0000-00003D010000}"/>
    <cellStyle name="20% - 강조색5 26" xfId="251" xr:uid="{00000000-0005-0000-0000-00003E010000}"/>
    <cellStyle name="20% - 강조색5 27" xfId="252" xr:uid="{00000000-0005-0000-0000-00003F010000}"/>
    <cellStyle name="20% - 강조색5 28" xfId="253" xr:uid="{00000000-0005-0000-0000-000040010000}"/>
    <cellStyle name="20% - 강조색5 29" xfId="254" xr:uid="{00000000-0005-0000-0000-000041010000}"/>
    <cellStyle name="20% - 강조색5 3" xfId="255" xr:uid="{00000000-0005-0000-0000-000042010000}"/>
    <cellStyle name="20% - 강조색5 30" xfId="256" xr:uid="{00000000-0005-0000-0000-000043010000}"/>
    <cellStyle name="20% - 강조색5 31" xfId="257" xr:uid="{00000000-0005-0000-0000-000044010000}"/>
    <cellStyle name="20% - 강조색5 32" xfId="258" xr:uid="{00000000-0005-0000-0000-000045010000}"/>
    <cellStyle name="20% - 강조색5 33" xfId="259" xr:uid="{00000000-0005-0000-0000-000046010000}"/>
    <cellStyle name="20% - 강조색5 34" xfId="260" xr:uid="{00000000-0005-0000-0000-000047010000}"/>
    <cellStyle name="20% - 강조색5 35" xfId="261" xr:uid="{00000000-0005-0000-0000-000048010000}"/>
    <cellStyle name="20% - 강조색5 36" xfId="262" xr:uid="{00000000-0005-0000-0000-000049010000}"/>
    <cellStyle name="20% - 강조색5 37" xfId="263" xr:uid="{00000000-0005-0000-0000-00004A010000}"/>
    <cellStyle name="20% - 강조색5 38" xfId="264" xr:uid="{00000000-0005-0000-0000-00004B010000}"/>
    <cellStyle name="20% - 강조색5 39" xfId="265" xr:uid="{00000000-0005-0000-0000-00004C010000}"/>
    <cellStyle name="20% - 강조색5 4" xfId="266" xr:uid="{00000000-0005-0000-0000-00004D010000}"/>
    <cellStyle name="20% - 강조색5 40" xfId="267" xr:uid="{00000000-0005-0000-0000-00004E010000}"/>
    <cellStyle name="20% - 강조색5 41" xfId="268" xr:uid="{00000000-0005-0000-0000-00004F010000}"/>
    <cellStyle name="20% - 강조색5 42" xfId="269" xr:uid="{00000000-0005-0000-0000-000050010000}"/>
    <cellStyle name="20% - 강조색5 43" xfId="270" xr:uid="{00000000-0005-0000-0000-000051010000}"/>
    <cellStyle name="20% - 강조색5 44" xfId="271" xr:uid="{00000000-0005-0000-0000-000052010000}"/>
    <cellStyle name="20% - 강조색5 45" xfId="272" xr:uid="{00000000-0005-0000-0000-000053010000}"/>
    <cellStyle name="20% - 강조색5 46" xfId="273" xr:uid="{00000000-0005-0000-0000-000054010000}"/>
    <cellStyle name="20% - 강조색5 47" xfId="274" xr:uid="{00000000-0005-0000-0000-000055010000}"/>
    <cellStyle name="20% - 강조색5 48" xfId="275" xr:uid="{00000000-0005-0000-0000-000056010000}"/>
    <cellStyle name="20% - 강조색5 49" xfId="276" xr:uid="{00000000-0005-0000-0000-000057010000}"/>
    <cellStyle name="20% - 강조색5 5" xfId="277" xr:uid="{00000000-0005-0000-0000-000058010000}"/>
    <cellStyle name="20% - 강조색5 50" xfId="278" xr:uid="{00000000-0005-0000-0000-000059010000}"/>
    <cellStyle name="20% - 강조색5 51" xfId="279" xr:uid="{00000000-0005-0000-0000-00005A010000}"/>
    <cellStyle name="20% - 강조색5 52" xfId="280" xr:uid="{00000000-0005-0000-0000-00005B010000}"/>
    <cellStyle name="20% - 강조색5 53" xfId="281" xr:uid="{00000000-0005-0000-0000-00005C010000}"/>
    <cellStyle name="20% - 강조색5 54" xfId="282" xr:uid="{00000000-0005-0000-0000-00005D010000}"/>
    <cellStyle name="20% - 강조색5 55" xfId="283" xr:uid="{00000000-0005-0000-0000-00005E010000}"/>
    <cellStyle name="20% - 강조색5 56" xfId="284" xr:uid="{00000000-0005-0000-0000-00005F010000}"/>
    <cellStyle name="20% - 강조색5 57" xfId="285" xr:uid="{00000000-0005-0000-0000-000060010000}"/>
    <cellStyle name="20% - 강조색5 58" xfId="286" xr:uid="{00000000-0005-0000-0000-000061010000}"/>
    <cellStyle name="20% - 강조색5 59" xfId="3112" xr:uid="{00000000-0005-0000-0000-000062010000}"/>
    <cellStyle name="20% - 강조색5 6" xfId="287" xr:uid="{00000000-0005-0000-0000-000063010000}"/>
    <cellStyle name="20% - 강조색5 60" xfId="3128" xr:uid="{00000000-0005-0000-0000-000064010000}"/>
    <cellStyle name="20% - 강조색5 61" xfId="3141" xr:uid="{00000000-0005-0000-0000-000065010000}"/>
    <cellStyle name="20% - 강조색5 62" xfId="3155" xr:uid="{00000000-0005-0000-0000-000066010000}"/>
    <cellStyle name="20% - 강조색5 63" xfId="3168" xr:uid="{00000000-0005-0000-0000-000067010000}"/>
    <cellStyle name="20% - 강조색5 64" xfId="3181" xr:uid="{00000000-0005-0000-0000-000068010000}"/>
    <cellStyle name="20% - 강조색5 65" xfId="3194" xr:uid="{00000000-0005-0000-0000-000069010000}"/>
    <cellStyle name="20% - 강조색5 66" xfId="3220" xr:uid="{00000000-0005-0000-0000-00006A010000}"/>
    <cellStyle name="20% - 강조색5 67" xfId="3241" xr:uid="{00000000-0005-0000-0000-00006B010000}"/>
    <cellStyle name="20% - 강조색5 68" xfId="3254" xr:uid="{00000000-0005-0000-0000-00006C010000}"/>
    <cellStyle name="20% - 강조색5 69" xfId="3267" xr:uid="{00000000-0005-0000-0000-00006D010000}"/>
    <cellStyle name="20% - 강조색5 7" xfId="288" xr:uid="{00000000-0005-0000-0000-00006E010000}"/>
    <cellStyle name="20% - 강조색5 70" xfId="3280" xr:uid="{00000000-0005-0000-0000-00006F010000}"/>
    <cellStyle name="20% - 강조색5 71" xfId="3293" xr:uid="{00000000-0005-0000-0000-000070010000}"/>
    <cellStyle name="20% - 강조색5 72" xfId="3306" xr:uid="{00000000-0005-0000-0000-000071010000}"/>
    <cellStyle name="20% - 강조색5 73" xfId="3319" xr:uid="{00000000-0005-0000-0000-000072010000}"/>
    <cellStyle name="20% - 강조색5 74" xfId="3332" xr:uid="{00000000-0005-0000-0000-000073010000}"/>
    <cellStyle name="20% - 강조색5 75" xfId="3345" xr:uid="{00000000-0005-0000-0000-000074010000}"/>
    <cellStyle name="20% - 강조색5 8" xfId="289" xr:uid="{00000000-0005-0000-0000-000075010000}"/>
    <cellStyle name="20% - 강조색5 9" xfId="290" xr:uid="{00000000-0005-0000-0000-000076010000}"/>
    <cellStyle name="20% - 강조색6" xfId="291" builtinId="50" customBuiltin="1"/>
    <cellStyle name="20% - 강조색6 10" xfId="292" xr:uid="{00000000-0005-0000-0000-000078010000}"/>
    <cellStyle name="20% - 강조색6 11" xfId="293" xr:uid="{00000000-0005-0000-0000-000079010000}"/>
    <cellStyle name="20% - 강조색6 12" xfId="294" xr:uid="{00000000-0005-0000-0000-00007A010000}"/>
    <cellStyle name="20% - 강조색6 13" xfId="295" xr:uid="{00000000-0005-0000-0000-00007B010000}"/>
    <cellStyle name="20% - 강조색6 14" xfId="296" xr:uid="{00000000-0005-0000-0000-00007C010000}"/>
    <cellStyle name="20% - 강조색6 15" xfId="297" xr:uid="{00000000-0005-0000-0000-00007D010000}"/>
    <cellStyle name="20% - 강조색6 16" xfId="298" xr:uid="{00000000-0005-0000-0000-00007E010000}"/>
    <cellStyle name="20% - 강조색6 17" xfId="299" xr:uid="{00000000-0005-0000-0000-00007F010000}"/>
    <cellStyle name="20% - 강조색6 18" xfId="300" xr:uid="{00000000-0005-0000-0000-000080010000}"/>
    <cellStyle name="20% - 강조색6 19" xfId="301" xr:uid="{00000000-0005-0000-0000-000081010000}"/>
    <cellStyle name="20% - 강조색6 2" xfId="302" xr:uid="{00000000-0005-0000-0000-000082010000}"/>
    <cellStyle name="20% - 강조색6 20" xfId="303" xr:uid="{00000000-0005-0000-0000-000083010000}"/>
    <cellStyle name="20% - 강조색6 21" xfId="304" xr:uid="{00000000-0005-0000-0000-000084010000}"/>
    <cellStyle name="20% - 강조색6 22" xfId="305" xr:uid="{00000000-0005-0000-0000-000085010000}"/>
    <cellStyle name="20% - 강조색6 23" xfId="306" xr:uid="{00000000-0005-0000-0000-000086010000}"/>
    <cellStyle name="20% - 강조색6 24" xfId="307" xr:uid="{00000000-0005-0000-0000-000087010000}"/>
    <cellStyle name="20% - 강조색6 25" xfId="308" xr:uid="{00000000-0005-0000-0000-000088010000}"/>
    <cellStyle name="20% - 강조색6 26" xfId="309" xr:uid="{00000000-0005-0000-0000-000089010000}"/>
    <cellStyle name="20% - 강조색6 27" xfId="310" xr:uid="{00000000-0005-0000-0000-00008A010000}"/>
    <cellStyle name="20% - 강조색6 28" xfId="311" xr:uid="{00000000-0005-0000-0000-00008B010000}"/>
    <cellStyle name="20% - 강조색6 29" xfId="312" xr:uid="{00000000-0005-0000-0000-00008C010000}"/>
    <cellStyle name="20% - 강조색6 3" xfId="313" xr:uid="{00000000-0005-0000-0000-00008D010000}"/>
    <cellStyle name="20% - 강조색6 30" xfId="314" xr:uid="{00000000-0005-0000-0000-00008E010000}"/>
    <cellStyle name="20% - 강조색6 31" xfId="315" xr:uid="{00000000-0005-0000-0000-00008F010000}"/>
    <cellStyle name="20% - 강조색6 32" xfId="316" xr:uid="{00000000-0005-0000-0000-000090010000}"/>
    <cellStyle name="20% - 강조색6 33" xfId="317" xr:uid="{00000000-0005-0000-0000-000091010000}"/>
    <cellStyle name="20% - 강조색6 34" xfId="318" xr:uid="{00000000-0005-0000-0000-000092010000}"/>
    <cellStyle name="20% - 강조색6 35" xfId="319" xr:uid="{00000000-0005-0000-0000-000093010000}"/>
    <cellStyle name="20% - 강조색6 36" xfId="320" xr:uid="{00000000-0005-0000-0000-000094010000}"/>
    <cellStyle name="20% - 강조색6 37" xfId="321" xr:uid="{00000000-0005-0000-0000-000095010000}"/>
    <cellStyle name="20% - 강조색6 38" xfId="322" xr:uid="{00000000-0005-0000-0000-000096010000}"/>
    <cellStyle name="20% - 강조색6 39" xfId="323" xr:uid="{00000000-0005-0000-0000-000097010000}"/>
    <cellStyle name="20% - 강조색6 4" xfId="324" xr:uid="{00000000-0005-0000-0000-000098010000}"/>
    <cellStyle name="20% - 강조색6 40" xfId="325" xr:uid="{00000000-0005-0000-0000-000099010000}"/>
    <cellStyle name="20% - 강조색6 41" xfId="326" xr:uid="{00000000-0005-0000-0000-00009A010000}"/>
    <cellStyle name="20% - 강조색6 42" xfId="327" xr:uid="{00000000-0005-0000-0000-00009B010000}"/>
    <cellStyle name="20% - 강조색6 43" xfId="328" xr:uid="{00000000-0005-0000-0000-00009C010000}"/>
    <cellStyle name="20% - 강조색6 44" xfId="329" xr:uid="{00000000-0005-0000-0000-00009D010000}"/>
    <cellStyle name="20% - 강조색6 45" xfId="330" xr:uid="{00000000-0005-0000-0000-00009E010000}"/>
    <cellStyle name="20% - 강조색6 46" xfId="331" xr:uid="{00000000-0005-0000-0000-00009F010000}"/>
    <cellStyle name="20% - 강조색6 47" xfId="332" xr:uid="{00000000-0005-0000-0000-0000A0010000}"/>
    <cellStyle name="20% - 강조색6 48" xfId="333" xr:uid="{00000000-0005-0000-0000-0000A1010000}"/>
    <cellStyle name="20% - 강조색6 49" xfId="334" xr:uid="{00000000-0005-0000-0000-0000A2010000}"/>
    <cellStyle name="20% - 강조색6 5" xfId="335" xr:uid="{00000000-0005-0000-0000-0000A3010000}"/>
    <cellStyle name="20% - 강조색6 50" xfId="336" xr:uid="{00000000-0005-0000-0000-0000A4010000}"/>
    <cellStyle name="20% - 강조색6 51" xfId="337" xr:uid="{00000000-0005-0000-0000-0000A5010000}"/>
    <cellStyle name="20% - 강조색6 52" xfId="338" xr:uid="{00000000-0005-0000-0000-0000A6010000}"/>
    <cellStyle name="20% - 강조색6 53" xfId="339" xr:uid="{00000000-0005-0000-0000-0000A7010000}"/>
    <cellStyle name="20% - 강조색6 54" xfId="340" xr:uid="{00000000-0005-0000-0000-0000A8010000}"/>
    <cellStyle name="20% - 강조색6 55" xfId="341" xr:uid="{00000000-0005-0000-0000-0000A9010000}"/>
    <cellStyle name="20% - 강조색6 56" xfId="342" xr:uid="{00000000-0005-0000-0000-0000AA010000}"/>
    <cellStyle name="20% - 강조색6 57" xfId="343" xr:uid="{00000000-0005-0000-0000-0000AB010000}"/>
    <cellStyle name="20% - 강조색6 58" xfId="344" xr:uid="{00000000-0005-0000-0000-0000AC010000}"/>
    <cellStyle name="20% - 강조색6 59" xfId="3116" xr:uid="{00000000-0005-0000-0000-0000AD010000}"/>
    <cellStyle name="20% - 강조색6 6" xfId="345" xr:uid="{00000000-0005-0000-0000-0000AE010000}"/>
    <cellStyle name="20% - 강조색6 60" xfId="3130" xr:uid="{00000000-0005-0000-0000-0000AF010000}"/>
    <cellStyle name="20% - 강조색6 61" xfId="3143" xr:uid="{00000000-0005-0000-0000-0000B0010000}"/>
    <cellStyle name="20% - 강조색6 62" xfId="3157" xr:uid="{00000000-0005-0000-0000-0000B1010000}"/>
    <cellStyle name="20% - 강조색6 63" xfId="3170" xr:uid="{00000000-0005-0000-0000-0000B2010000}"/>
    <cellStyle name="20% - 강조색6 64" xfId="3183" xr:uid="{00000000-0005-0000-0000-0000B3010000}"/>
    <cellStyle name="20% - 강조색6 65" xfId="3196" xr:uid="{00000000-0005-0000-0000-0000B4010000}"/>
    <cellStyle name="20% - 강조색6 66" xfId="3224" xr:uid="{00000000-0005-0000-0000-0000B5010000}"/>
    <cellStyle name="20% - 강조색6 67" xfId="3243" xr:uid="{00000000-0005-0000-0000-0000B6010000}"/>
    <cellStyle name="20% - 강조색6 68" xfId="3256" xr:uid="{00000000-0005-0000-0000-0000B7010000}"/>
    <cellStyle name="20% - 강조색6 69" xfId="3269" xr:uid="{00000000-0005-0000-0000-0000B8010000}"/>
    <cellStyle name="20% - 강조색6 7" xfId="346" xr:uid="{00000000-0005-0000-0000-0000B9010000}"/>
    <cellStyle name="20% - 강조색6 70" xfId="3282" xr:uid="{00000000-0005-0000-0000-0000BA010000}"/>
    <cellStyle name="20% - 강조색6 71" xfId="3295" xr:uid="{00000000-0005-0000-0000-0000BB010000}"/>
    <cellStyle name="20% - 강조색6 72" xfId="3308" xr:uid="{00000000-0005-0000-0000-0000BC010000}"/>
    <cellStyle name="20% - 강조색6 73" xfId="3321" xr:uid="{00000000-0005-0000-0000-0000BD010000}"/>
    <cellStyle name="20% - 강조색6 74" xfId="3334" xr:uid="{00000000-0005-0000-0000-0000BE010000}"/>
    <cellStyle name="20% - 강조색6 75" xfId="3347" xr:uid="{00000000-0005-0000-0000-0000BF010000}"/>
    <cellStyle name="20% - 강조색6 8" xfId="347" xr:uid="{00000000-0005-0000-0000-0000C0010000}"/>
    <cellStyle name="20% - 강조색6 9" xfId="348" xr:uid="{00000000-0005-0000-0000-0000C1010000}"/>
    <cellStyle name="40% - 강조색1" xfId="349" builtinId="31" customBuiltin="1"/>
    <cellStyle name="40% - 강조색1 10" xfId="350" xr:uid="{00000000-0005-0000-0000-0000C3010000}"/>
    <cellStyle name="40% - 강조색1 11" xfId="351" xr:uid="{00000000-0005-0000-0000-0000C4010000}"/>
    <cellStyle name="40% - 강조색1 12" xfId="352" xr:uid="{00000000-0005-0000-0000-0000C5010000}"/>
    <cellStyle name="40% - 강조색1 13" xfId="353" xr:uid="{00000000-0005-0000-0000-0000C6010000}"/>
    <cellStyle name="40% - 강조색1 14" xfId="354" xr:uid="{00000000-0005-0000-0000-0000C7010000}"/>
    <cellStyle name="40% - 강조색1 15" xfId="355" xr:uid="{00000000-0005-0000-0000-0000C8010000}"/>
    <cellStyle name="40% - 강조색1 16" xfId="356" xr:uid="{00000000-0005-0000-0000-0000C9010000}"/>
    <cellStyle name="40% - 강조색1 17" xfId="357" xr:uid="{00000000-0005-0000-0000-0000CA010000}"/>
    <cellStyle name="40% - 강조색1 18" xfId="358" xr:uid="{00000000-0005-0000-0000-0000CB010000}"/>
    <cellStyle name="40% - 강조색1 19" xfId="359" xr:uid="{00000000-0005-0000-0000-0000CC010000}"/>
    <cellStyle name="40% - 강조색1 2" xfId="360" xr:uid="{00000000-0005-0000-0000-0000CD010000}"/>
    <cellStyle name="40% - 강조색1 20" xfId="361" xr:uid="{00000000-0005-0000-0000-0000CE010000}"/>
    <cellStyle name="40% - 강조색1 21" xfId="362" xr:uid="{00000000-0005-0000-0000-0000CF010000}"/>
    <cellStyle name="40% - 강조색1 22" xfId="363" xr:uid="{00000000-0005-0000-0000-0000D0010000}"/>
    <cellStyle name="40% - 강조색1 23" xfId="364" xr:uid="{00000000-0005-0000-0000-0000D1010000}"/>
    <cellStyle name="40% - 강조색1 24" xfId="365" xr:uid="{00000000-0005-0000-0000-0000D2010000}"/>
    <cellStyle name="40% - 강조색1 25" xfId="366" xr:uid="{00000000-0005-0000-0000-0000D3010000}"/>
    <cellStyle name="40% - 강조색1 26" xfId="367" xr:uid="{00000000-0005-0000-0000-0000D4010000}"/>
    <cellStyle name="40% - 강조색1 27" xfId="368" xr:uid="{00000000-0005-0000-0000-0000D5010000}"/>
    <cellStyle name="40% - 강조색1 28" xfId="369" xr:uid="{00000000-0005-0000-0000-0000D6010000}"/>
    <cellStyle name="40% - 강조색1 29" xfId="370" xr:uid="{00000000-0005-0000-0000-0000D7010000}"/>
    <cellStyle name="40% - 강조색1 3" xfId="371" xr:uid="{00000000-0005-0000-0000-0000D8010000}"/>
    <cellStyle name="40% - 강조색1 30" xfId="372" xr:uid="{00000000-0005-0000-0000-0000D9010000}"/>
    <cellStyle name="40% - 강조색1 31" xfId="373" xr:uid="{00000000-0005-0000-0000-0000DA010000}"/>
    <cellStyle name="40% - 강조색1 32" xfId="374" xr:uid="{00000000-0005-0000-0000-0000DB010000}"/>
    <cellStyle name="40% - 강조색1 33" xfId="375" xr:uid="{00000000-0005-0000-0000-0000DC010000}"/>
    <cellStyle name="40% - 강조색1 34" xfId="376" xr:uid="{00000000-0005-0000-0000-0000DD010000}"/>
    <cellStyle name="40% - 강조색1 35" xfId="377" xr:uid="{00000000-0005-0000-0000-0000DE010000}"/>
    <cellStyle name="40% - 강조색1 36" xfId="378" xr:uid="{00000000-0005-0000-0000-0000DF010000}"/>
    <cellStyle name="40% - 강조색1 37" xfId="379" xr:uid="{00000000-0005-0000-0000-0000E0010000}"/>
    <cellStyle name="40% - 강조색1 38" xfId="380" xr:uid="{00000000-0005-0000-0000-0000E1010000}"/>
    <cellStyle name="40% - 강조색1 39" xfId="381" xr:uid="{00000000-0005-0000-0000-0000E2010000}"/>
    <cellStyle name="40% - 강조색1 4" xfId="382" xr:uid="{00000000-0005-0000-0000-0000E3010000}"/>
    <cellStyle name="40% - 강조색1 40" xfId="383" xr:uid="{00000000-0005-0000-0000-0000E4010000}"/>
    <cellStyle name="40% - 강조색1 41" xfId="384" xr:uid="{00000000-0005-0000-0000-0000E5010000}"/>
    <cellStyle name="40% - 강조색1 42" xfId="385" xr:uid="{00000000-0005-0000-0000-0000E6010000}"/>
    <cellStyle name="40% - 강조색1 43" xfId="386" xr:uid="{00000000-0005-0000-0000-0000E7010000}"/>
    <cellStyle name="40% - 강조색1 44" xfId="387" xr:uid="{00000000-0005-0000-0000-0000E8010000}"/>
    <cellStyle name="40% - 강조색1 45" xfId="388" xr:uid="{00000000-0005-0000-0000-0000E9010000}"/>
    <cellStyle name="40% - 강조색1 46" xfId="389" xr:uid="{00000000-0005-0000-0000-0000EA010000}"/>
    <cellStyle name="40% - 강조색1 47" xfId="390" xr:uid="{00000000-0005-0000-0000-0000EB010000}"/>
    <cellStyle name="40% - 강조색1 48" xfId="391" xr:uid="{00000000-0005-0000-0000-0000EC010000}"/>
    <cellStyle name="40% - 강조색1 49" xfId="392" xr:uid="{00000000-0005-0000-0000-0000ED010000}"/>
    <cellStyle name="40% - 강조색1 5" xfId="393" xr:uid="{00000000-0005-0000-0000-0000EE010000}"/>
    <cellStyle name="40% - 강조색1 50" xfId="394" xr:uid="{00000000-0005-0000-0000-0000EF010000}"/>
    <cellStyle name="40% - 강조색1 51" xfId="395" xr:uid="{00000000-0005-0000-0000-0000F0010000}"/>
    <cellStyle name="40% - 강조색1 52" xfId="396" xr:uid="{00000000-0005-0000-0000-0000F1010000}"/>
    <cellStyle name="40% - 강조색1 53" xfId="397" xr:uid="{00000000-0005-0000-0000-0000F2010000}"/>
    <cellStyle name="40% - 강조색1 54" xfId="398" xr:uid="{00000000-0005-0000-0000-0000F3010000}"/>
    <cellStyle name="40% - 강조색1 55" xfId="399" xr:uid="{00000000-0005-0000-0000-0000F4010000}"/>
    <cellStyle name="40% - 강조색1 56" xfId="400" xr:uid="{00000000-0005-0000-0000-0000F5010000}"/>
    <cellStyle name="40% - 강조색1 57" xfId="401" xr:uid="{00000000-0005-0000-0000-0000F6010000}"/>
    <cellStyle name="40% - 강조색1 58" xfId="402" xr:uid="{00000000-0005-0000-0000-0000F7010000}"/>
    <cellStyle name="40% - 강조색1 59" xfId="3097" xr:uid="{00000000-0005-0000-0000-0000F8010000}"/>
    <cellStyle name="40% - 강조색1 6" xfId="403" xr:uid="{00000000-0005-0000-0000-0000F9010000}"/>
    <cellStyle name="40% - 강조색1 60" xfId="3121" xr:uid="{00000000-0005-0000-0000-0000FA010000}"/>
    <cellStyle name="40% - 강조색1 61" xfId="3134" xr:uid="{00000000-0005-0000-0000-0000FB010000}"/>
    <cellStyle name="40% - 강조색1 62" xfId="3148" xr:uid="{00000000-0005-0000-0000-0000FC010000}"/>
    <cellStyle name="40% - 강조색1 63" xfId="3161" xr:uid="{00000000-0005-0000-0000-0000FD010000}"/>
    <cellStyle name="40% - 강조색1 64" xfId="3174" xr:uid="{00000000-0005-0000-0000-0000FE010000}"/>
    <cellStyle name="40% - 강조색1 65" xfId="3187" xr:uid="{00000000-0005-0000-0000-0000FF010000}"/>
    <cellStyle name="40% - 강조색1 66" xfId="3206" xr:uid="{00000000-0005-0000-0000-000000020000}"/>
    <cellStyle name="40% - 강조색1 67" xfId="3234" xr:uid="{00000000-0005-0000-0000-000001020000}"/>
    <cellStyle name="40% - 강조색1 68" xfId="3247" xr:uid="{00000000-0005-0000-0000-000002020000}"/>
    <cellStyle name="40% - 강조색1 69" xfId="3260" xr:uid="{00000000-0005-0000-0000-000003020000}"/>
    <cellStyle name="40% - 강조색1 7" xfId="404" xr:uid="{00000000-0005-0000-0000-000004020000}"/>
    <cellStyle name="40% - 강조색1 70" xfId="3273" xr:uid="{00000000-0005-0000-0000-000005020000}"/>
    <cellStyle name="40% - 강조색1 71" xfId="3286" xr:uid="{00000000-0005-0000-0000-000006020000}"/>
    <cellStyle name="40% - 강조색1 72" xfId="3299" xr:uid="{00000000-0005-0000-0000-000007020000}"/>
    <cellStyle name="40% - 강조색1 73" xfId="3312" xr:uid="{00000000-0005-0000-0000-000008020000}"/>
    <cellStyle name="40% - 강조색1 74" xfId="3325" xr:uid="{00000000-0005-0000-0000-000009020000}"/>
    <cellStyle name="40% - 강조색1 75" xfId="3338" xr:uid="{00000000-0005-0000-0000-00000A020000}"/>
    <cellStyle name="40% - 강조색1 8" xfId="405" xr:uid="{00000000-0005-0000-0000-00000B020000}"/>
    <cellStyle name="40% - 강조색1 9" xfId="406" xr:uid="{00000000-0005-0000-0000-00000C020000}"/>
    <cellStyle name="40% - 강조색2" xfId="407" builtinId="35" customBuiltin="1"/>
    <cellStyle name="40% - 강조색2 10" xfId="408" xr:uid="{00000000-0005-0000-0000-00000E020000}"/>
    <cellStyle name="40% - 강조색2 11" xfId="409" xr:uid="{00000000-0005-0000-0000-00000F020000}"/>
    <cellStyle name="40% - 강조색2 12" xfId="410" xr:uid="{00000000-0005-0000-0000-000010020000}"/>
    <cellStyle name="40% - 강조색2 13" xfId="411" xr:uid="{00000000-0005-0000-0000-000011020000}"/>
    <cellStyle name="40% - 강조색2 14" xfId="412" xr:uid="{00000000-0005-0000-0000-000012020000}"/>
    <cellStyle name="40% - 강조색2 15" xfId="413" xr:uid="{00000000-0005-0000-0000-000013020000}"/>
    <cellStyle name="40% - 강조색2 16" xfId="414" xr:uid="{00000000-0005-0000-0000-000014020000}"/>
    <cellStyle name="40% - 강조색2 17" xfId="415" xr:uid="{00000000-0005-0000-0000-000015020000}"/>
    <cellStyle name="40% - 강조색2 18" xfId="416" xr:uid="{00000000-0005-0000-0000-000016020000}"/>
    <cellStyle name="40% - 강조색2 19" xfId="417" xr:uid="{00000000-0005-0000-0000-000017020000}"/>
    <cellStyle name="40% - 강조색2 2" xfId="418" xr:uid="{00000000-0005-0000-0000-000018020000}"/>
    <cellStyle name="40% - 강조색2 20" xfId="419" xr:uid="{00000000-0005-0000-0000-000019020000}"/>
    <cellStyle name="40% - 강조색2 21" xfId="420" xr:uid="{00000000-0005-0000-0000-00001A020000}"/>
    <cellStyle name="40% - 강조색2 22" xfId="421" xr:uid="{00000000-0005-0000-0000-00001B020000}"/>
    <cellStyle name="40% - 강조색2 23" xfId="422" xr:uid="{00000000-0005-0000-0000-00001C020000}"/>
    <cellStyle name="40% - 강조색2 24" xfId="423" xr:uid="{00000000-0005-0000-0000-00001D020000}"/>
    <cellStyle name="40% - 강조색2 25" xfId="424" xr:uid="{00000000-0005-0000-0000-00001E020000}"/>
    <cellStyle name="40% - 강조색2 26" xfId="425" xr:uid="{00000000-0005-0000-0000-00001F020000}"/>
    <cellStyle name="40% - 강조색2 27" xfId="426" xr:uid="{00000000-0005-0000-0000-000020020000}"/>
    <cellStyle name="40% - 강조색2 28" xfId="427" xr:uid="{00000000-0005-0000-0000-000021020000}"/>
    <cellStyle name="40% - 강조색2 29" xfId="428" xr:uid="{00000000-0005-0000-0000-000022020000}"/>
    <cellStyle name="40% - 강조색2 3" xfId="429" xr:uid="{00000000-0005-0000-0000-000023020000}"/>
    <cellStyle name="40% - 강조색2 30" xfId="430" xr:uid="{00000000-0005-0000-0000-000024020000}"/>
    <cellStyle name="40% - 강조색2 31" xfId="431" xr:uid="{00000000-0005-0000-0000-000025020000}"/>
    <cellStyle name="40% - 강조색2 32" xfId="432" xr:uid="{00000000-0005-0000-0000-000026020000}"/>
    <cellStyle name="40% - 강조색2 33" xfId="433" xr:uid="{00000000-0005-0000-0000-000027020000}"/>
    <cellStyle name="40% - 강조색2 34" xfId="434" xr:uid="{00000000-0005-0000-0000-000028020000}"/>
    <cellStyle name="40% - 강조색2 35" xfId="435" xr:uid="{00000000-0005-0000-0000-000029020000}"/>
    <cellStyle name="40% - 강조색2 36" xfId="436" xr:uid="{00000000-0005-0000-0000-00002A020000}"/>
    <cellStyle name="40% - 강조색2 37" xfId="437" xr:uid="{00000000-0005-0000-0000-00002B020000}"/>
    <cellStyle name="40% - 강조색2 38" xfId="438" xr:uid="{00000000-0005-0000-0000-00002C020000}"/>
    <cellStyle name="40% - 강조색2 39" xfId="439" xr:uid="{00000000-0005-0000-0000-00002D020000}"/>
    <cellStyle name="40% - 강조색2 4" xfId="440" xr:uid="{00000000-0005-0000-0000-00002E020000}"/>
    <cellStyle name="40% - 강조색2 40" xfId="441" xr:uid="{00000000-0005-0000-0000-00002F020000}"/>
    <cellStyle name="40% - 강조색2 41" xfId="442" xr:uid="{00000000-0005-0000-0000-000030020000}"/>
    <cellStyle name="40% - 강조색2 42" xfId="443" xr:uid="{00000000-0005-0000-0000-000031020000}"/>
    <cellStyle name="40% - 강조색2 43" xfId="444" xr:uid="{00000000-0005-0000-0000-000032020000}"/>
    <cellStyle name="40% - 강조색2 44" xfId="445" xr:uid="{00000000-0005-0000-0000-000033020000}"/>
    <cellStyle name="40% - 강조색2 45" xfId="446" xr:uid="{00000000-0005-0000-0000-000034020000}"/>
    <cellStyle name="40% - 강조색2 46" xfId="447" xr:uid="{00000000-0005-0000-0000-000035020000}"/>
    <cellStyle name="40% - 강조색2 47" xfId="448" xr:uid="{00000000-0005-0000-0000-000036020000}"/>
    <cellStyle name="40% - 강조색2 48" xfId="449" xr:uid="{00000000-0005-0000-0000-000037020000}"/>
    <cellStyle name="40% - 강조색2 49" xfId="450" xr:uid="{00000000-0005-0000-0000-000038020000}"/>
    <cellStyle name="40% - 강조색2 5" xfId="451" xr:uid="{00000000-0005-0000-0000-000039020000}"/>
    <cellStyle name="40% - 강조색2 50" xfId="452" xr:uid="{00000000-0005-0000-0000-00003A020000}"/>
    <cellStyle name="40% - 강조색2 51" xfId="453" xr:uid="{00000000-0005-0000-0000-00003B020000}"/>
    <cellStyle name="40% - 강조색2 52" xfId="454" xr:uid="{00000000-0005-0000-0000-00003C020000}"/>
    <cellStyle name="40% - 강조색2 53" xfId="455" xr:uid="{00000000-0005-0000-0000-00003D020000}"/>
    <cellStyle name="40% - 강조색2 54" xfId="456" xr:uid="{00000000-0005-0000-0000-00003E020000}"/>
    <cellStyle name="40% - 강조색2 55" xfId="457" xr:uid="{00000000-0005-0000-0000-00003F020000}"/>
    <cellStyle name="40% - 강조색2 56" xfId="458" xr:uid="{00000000-0005-0000-0000-000040020000}"/>
    <cellStyle name="40% - 강조색2 57" xfId="459" xr:uid="{00000000-0005-0000-0000-000041020000}"/>
    <cellStyle name="40% - 강조색2 58" xfId="460" xr:uid="{00000000-0005-0000-0000-000042020000}"/>
    <cellStyle name="40% - 강조색2 59" xfId="3101" xr:uid="{00000000-0005-0000-0000-000043020000}"/>
    <cellStyle name="40% - 강조색2 6" xfId="461" xr:uid="{00000000-0005-0000-0000-000044020000}"/>
    <cellStyle name="40% - 강조색2 60" xfId="3123" xr:uid="{00000000-0005-0000-0000-000045020000}"/>
    <cellStyle name="40% - 강조색2 61" xfId="3136" xr:uid="{00000000-0005-0000-0000-000046020000}"/>
    <cellStyle name="40% - 강조색2 62" xfId="3150" xr:uid="{00000000-0005-0000-0000-000047020000}"/>
    <cellStyle name="40% - 강조색2 63" xfId="3163" xr:uid="{00000000-0005-0000-0000-000048020000}"/>
    <cellStyle name="40% - 강조색2 64" xfId="3176" xr:uid="{00000000-0005-0000-0000-000049020000}"/>
    <cellStyle name="40% - 강조색2 65" xfId="3189" xr:uid="{00000000-0005-0000-0000-00004A020000}"/>
    <cellStyle name="40% - 강조색2 66" xfId="3210" xr:uid="{00000000-0005-0000-0000-00004B020000}"/>
    <cellStyle name="40% - 강조색2 67" xfId="3236" xr:uid="{00000000-0005-0000-0000-00004C020000}"/>
    <cellStyle name="40% - 강조색2 68" xfId="3249" xr:uid="{00000000-0005-0000-0000-00004D020000}"/>
    <cellStyle name="40% - 강조색2 69" xfId="3262" xr:uid="{00000000-0005-0000-0000-00004E020000}"/>
    <cellStyle name="40% - 강조색2 7" xfId="462" xr:uid="{00000000-0005-0000-0000-00004F020000}"/>
    <cellStyle name="40% - 강조색2 70" xfId="3275" xr:uid="{00000000-0005-0000-0000-000050020000}"/>
    <cellStyle name="40% - 강조색2 71" xfId="3288" xr:uid="{00000000-0005-0000-0000-000051020000}"/>
    <cellStyle name="40% - 강조색2 72" xfId="3301" xr:uid="{00000000-0005-0000-0000-000052020000}"/>
    <cellStyle name="40% - 강조색2 73" xfId="3314" xr:uid="{00000000-0005-0000-0000-000053020000}"/>
    <cellStyle name="40% - 강조색2 74" xfId="3327" xr:uid="{00000000-0005-0000-0000-000054020000}"/>
    <cellStyle name="40% - 강조색2 75" xfId="3340" xr:uid="{00000000-0005-0000-0000-000055020000}"/>
    <cellStyle name="40% - 강조색2 8" xfId="463" xr:uid="{00000000-0005-0000-0000-000056020000}"/>
    <cellStyle name="40% - 강조색2 9" xfId="464" xr:uid="{00000000-0005-0000-0000-000057020000}"/>
    <cellStyle name="40% - 강조색3" xfId="465" builtinId="39" customBuiltin="1"/>
    <cellStyle name="40% - 강조색3 10" xfId="466" xr:uid="{00000000-0005-0000-0000-000059020000}"/>
    <cellStyle name="40% - 강조색3 11" xfId="467" xr:uid="{00000000-0005-0000-0000-00005A020000}"/>
    <cellStyle name="40% - 강조색3 12" xfId="468" xr:uid="{00000000-0005-0000-0000-00005B020000}"/>
    <cellStyle name="40% - 강조색3 13" xfId="469" xr:uid="{00000000-0005-0000-0000-00005C020000}"/>
    <cellStyle name="40% - 강조색3 14" xfId="470" xr:uid="{00000000-0005-0000-0000-00005D020000}"/>
    <cellStyle name="40% - 강조색3 15" xfId="471" xr:uid="{00000000-0005-0000-0000-00005E020000}"/>
    <cellStyle name="40% - 강조색3 16" xfId="472" xr:uid="{00000000-0005-0000-0000-00005F020000}"/>
    <cellStyle name="40% - 강조색3 17" xfId="473" xr:uid="{00000000-0005-0000-0000-000060020000}"/>
    <cellStyle name="40% - 강조색3 18" xfId="474" xr:uid="{00000000-0005-0000-0000-000061020000}"/>
    <cellStyle name="40% - 강조색3 19" xfId="475" xr:uid="{00000000-0005-0000-0000-000062020000}"/>
    <cellStyle name="40% - 강조색3 2" xfId="476" xr:uid="{00000000-0005-0000-0000-000063020000}"/>
    <cellStyle name="40% - 강조색3 20" xfId="477" xr:uid="{00000000-0005-0000-0000-000064020000}"/>
    <cellStyle name="40% - 강조색3 21" xfId="478" xr:uid="{00000000-0005-0000-0000-000065020000}"/>
    <cellStyle name="40% - 강조색3 22" xfId="479" xr:uid="{00000000-0005-0000-0000-000066020000}"/>
    <cellStyle name="40% - 강조색3 23" xfId="480" xr:uid="{00000000-0005-0000-0000-000067020000}"/>
    <cellStyle name="40% - 강조색3 24" xfId="481" xr:uid="{00000000-0005-0000-0000-000068020000}"/>
    <cellStyle name="40% - 강조색3 25" xfId="482" xr:uid="{00000000-0005-0000-0000-000069020000}"/>
    <cellStyle name="40% - 강조색3 26" xfId="483" xr:uid="{00000000-0005-0000-0000-00006A020000}"/>
    <cellStyle name="40% - 강조색3 27" xfId="484" xr:uid="{00000000-0005-0000-0000-00006B020000}"/>
    <cellStyle name="40% - 강조색3 28" xfId="485" xr:uid="{00000000-0005-0000-0000-00006C020000}"/>
    <cellStyle name="40% - 강조색3 29" xfId="486" xr:uid="{00000000-0005-0000-0000-00006D020000}"/>
    <cellStyle name="40% - 강조색3 3" xfId="487" xr:uid="{00000000-0005-0000-0000-00006E020000}"/>
    <cellStyle name="40% - 강조색3 30" xfId="488" xr:uid="{00000000-0005-0000-0000-00006F020000}"/>
    <cellStyle name="40% - 강조색3 31" xfId="489" xr:uid="{00000000-0005-0000-0000-000070020000}"/>
    <cellStyle name="40% - 강조색3 32" xfId="490" xr:uid="{00000000-0005-0000-0000-000071020000}"/>
    <cellStyle name="40% - 강조색3 33" xfId="491" xr:uid="{00000000-0005-0000-0000-000072020000}"/>
    <cellStyle name="40% - 강조색3 34" xfId="492" xr:uid="{00000000-0005-0000-0000-000073020000}"/>
    <cellStyle name="40% - 강조색3 35" xfId="493" xr:uid="{00000000-0005-0000-0000-000074020000}"/>
    <cellStyle name="40% - 강조색3 36" xfId="494" xr:uid="{00000000-0005-0000-0000-000075020000}"/>
    <cellStyle name="40% - 강조색3 37" xfId="495" xr:uid="{00000000-0005-0000-0000-000076020000}"/>
    <cellStyle name="40% - 강조색3 38" xfId="496" xr:uid="{00000000-0005-0000-0000-000077020000}"/>
    <cellStyle name="40% - 강조색3 39" xfId="497" xr:uid="{00000000-0005-0000-0000-000078020000}"/>
    <cellStyle name="40% - 강조색3 4" xfId="498" xr:uid="{00000000-0005-0000-0000-000079020000}"/>
    <cellStyle name="40% - 강조색3 40" xfId="499" xr:uid="{00000000-0005-0000-0000-00007A020000}"/>
    <cellStyle name="40% - 강조색3 41" xfId="500" xr:uid="{00000000-0005-0000-0000-00007B020000}"/>
    <cellStyle name="40% - 강조색3 42" xfId="501" xr:uid="{00000000-0005-0000-0000-00007C020000}"/>
    <cellStyle name="40% - 강조색3 43" xfId="502" xr:uid="{00000000-0005-0000-0000-00007D020000}"/>
    <cellStyle name="40% - 강조색3 44" xfId="503" xr:uid="{00000000-0005-0000-0000-00007E020000}"/>
    <cellStyle name="40% - 강조색3 45" xfId="504" xr:uid="{00000000-0005-0000-0000-00007F020000}"/>
    <cellStyle name="40% - 강조색3 46" xfId="505" xr:uid="{00000000-0005-0000-0000-000080020000}"/>
    <cellStyle name="40% - 강조색3 47" xfId="506" xr:uid="{00000000-0005-0000-0000-000081020000}"/>
    <cellStyle name="40% - 강조색3 48" xfId="507" xr:uid="{00000000-0005-0000-0000-000082020000}"/>
    <cellStyle name="40% - 강조색3 49" xfId="508" xr:uid="{00000000-0005-0000-0000-000083020000}"/>
    <cellStyle name="40% - 강조색3 5" xfId="509" xr:uid="{00000000-0005-0000-0000-000084020000}"/>
    <cellStyle name="40% - 강조색3 50" xfId="510" xr:uid="{00000000-0005-0000-0000-000085020000}"/>
    <cellStyle name="40% - 강조색3 51" xfId="511" xr:uid="{00000000-0005-0000-0000-000086020000}"/>
    <cellStyle name="40% - 강조색3 52" xfId="512" xr:uid="{00000000-0005-0000-0000-000087020000}"/>
    <cellStyle name="40% - 강조색3 53" xfId="513" xr:uid="{00000000-0005-0000-0000-000088020000}"/>
    <cellStyle name="40% - 강조색3 54" xfId="514" xr:uid="{00000000-0005-0000-0000-000089020000}"/>
    <cellStyle name="40% - 강조색3 55" xfId="515" xr:uid="{00000000-0005-0000-0000-00008A020000}"/>
    <cellStyle name="40% - 강조색3 56" xfId="516" xr:uid="{00000000-0005-0000-0000-00008B020000}"/>
    <cellStyle name="40% - 강조색3 57" xfId="517" xr:uid="{00000000-0005-0000-0000-00008C020000}"/>
    <cellStyle name="40% - 강조색3 58" xfId="518" xr:uid="{00000000-0005-0000-0000-00008D020000}"/>
    <cellStyle name="40% - 강조색3 59" xfId="3105" xr:uid="{00000000-0005-0000-0000-00008E020000}"/>
    <cellStyle name="40% - 강조색3 6" xfId="519" xr:uid="{00000000-0005-0000-0000-00008F020000}"/>
    <cellStyle name="40% - 강조색3 60" xfId="3125" xr:uid="{00000000-0005-0000-0000-000090020000}"/>
    <cellStyle name="40% - 강조색3 61" xfId="3138" xr:uid="{00000000-0005-0000-0000-000091020000}"/>
    <cellStyle name="40% - 강조색3 62" xfId="3152" xr:uid="{00000000-0005-0000-0000-000092020000}"/>
    <cellStyle name="40% - 강조색3 63" xfId="3165" xr:uid="{00000000-0005-0000-0000-000093020000}"/>
    <cellStyle name="40% - 강조색3 64" xfId="3178" xr:uid="{00000000-0005-0000-0000-000094020000}"/>
    <cellStyle name="40% - 강조색3 65" xfId="3191" xr:uid="{00000000-0005-0000-0000-000095020000}"/>
    <cellStyle name="40% - 강조색3 66" xfId="3214" xr:uid="{00000000-0005-0000-0000-000096020000}"/>
    <cellStyle name="40% - 강조색3 67" xfId="3238" xr:uid="{00000000-0005-0000-0000-000097020000}"/>
    <cellStyle name="40% - 강조색3 68" xfId="3251" xr:uid="{00000000-0005-0000-0000-000098020000}"/>
    <cellStyle name="40% - 강조색3 69" xfId="3264" xr:uid="{00000000-0005-0000-0000-000099020000}"/>
    <cellStyle name="40% - 강조색3 7" xfId="520" xr:uid="{00000000-0005-0000-0000-00009A020000}"/>
    <cellStyle name="40% - 강조색3 70" xfId="3277" xr:uid="{00000000-0005-0000-0000-00009B020000}"/>
    <cellStyle name="40% - 강조색3 71" xfId="3290" xr:uid="{00000000-0005-0000-0000-00009C020000}"/>
    <cellStyle name="40% - 강조색3 72" xfId="3303" xr:uid="{00000000-0005-0000-0000-00009D020000}"/>
    <cellStyle name="40% - 강조색3 73" xfId="3316" xr:uid="{00000000-0005-0000-0000-00009E020000}"/>
    <cellStyle name="40% - 강조색3 74" xfId="3329" xr:uid="{00000000-0005-0000-0000-00009F020000}"/>
    <cellStyle name="40% - 강조색3 75" xfId="3342" xr:uid="{00000000-0005-0000-0000-0000A0020000}"/>
    <cellStyle name="40% - 강조색3 8" xfId="521" xr:uid="{00000000-0005-0000-0000-0000A1020000}"/>
    <cellStyle name="40% - 강조색3 9" xfId="522" xr:uid="{00000000-0005-0000-0000-0000A2020000}"/>
    <cellStyle name="40% - 강조색4" xfId="523" builtinId="43" customBuiltin="1"/>
    <cellStyle name="40% - 강조색4 10" xfId="524" xr:uid="{00000000-0005-0000-0000-0000A4020000}"/>
    <cellStyle name="40% - 강조색4 11" xfId="525" xr:uid="{00000000-0005-0000-0000-0000A5020000}"/>
    <cellStyle name="40% - 강조색4 12" xfId="526" xr:uid="{00000000-0005-0000-0000-0000A6020000}"/>
    <cellStyle name="40% - 강조색4 13" xfId="527" xr:uid="{00000000-0005-0000-0000-0000A7020000}"/>
    <cellStyle name="40% - 강조색4 14" xfId="528" xr:uid="{00000000-0005-0000-0000-0000A8020000}"/>
    <cellStyle name="40% - 강조색4 15" xfId="529" xr:uid="{00000000-0005-0000-0000-0000A9020000}"/>
    <cellStyle name="40% - 강조색4 16" xfId="530" xr:uid="{00000000-0005-0000-0000-0000AA020000}"/>
    <cellStyle name="40% - 강조색4 17" xfId="531" xr:uid="{00000000-0005-0000-0000-0000AB020000}"/>
    <cellStyle name="40% - 강조색4 18" xfId="532" xr:uid="{00000000-0005-0000-0000-0000AC020000}"/>
    <cellStyle name="40% - 강조색4 19" xfId="533" xr:uid="{00000000-0005-0000-0000-0000AD020000}"/>
    <cellStyle name="40% - 강조색4 2" xfId="534" xr:uid="{00000000-0005-0000-0000-0000AE020000}"/>
    <cellStyle name="40% - 강조색4 20" xfId="535" xr:uid="{00000000-0005-0000-0000-0000AF020000}"/>
    <cellStyle name="40% - 강조색4 21" xfId="536" xr:uid="{00000000-0005-0000-0000-0000B0020000}"/>
    <cellStyle name="40% - 강조색4 22" xfId="537" xr:uid="{00000000-0005-0000-0000-0000B1020000}"/>
    <cellStyle name="40% - 강조색4 23" xfId="538" xr:uid="{00000000-0005-0000-0000-0000B2020000}"/>
    <cellStyle name="40% - 강조색4 24" xfId="539" xr:uid="{00000000-0005-0000-0000-0000B3020000}"/>
    <cellStyle name="40% - 강조색4 25" xfId="540" xr:uid="{00000000-0005-0000-0000-0000B4020000}"/>
    <cellStyle name="40% - 강조색4 26" xfId="541" xr:uid="{00000000-0005-0000-0000-0000B5020000}"/>
    <cellStyle name="40% - 강조색4 27" xfId="542" xr:uid="{00000000-0005-0000-0000-0000B6020000}"/>
    <cellStyle name="40% - 강조색4 28" xfId="543" xr:uid="{00000000-0005-0000-0000-0000B7020000}"/>
    <cellStyle name="40% - 강조색4 29" xfId="544" xr:uid="{00000000-0005-0000-0000-0000B8020000}"/>
    <cellStyle name="40% - 강조색4 3" xfId="545" xr:uid="{00000000-0005-0000-0000-0000B9020000}"/>
    <cellStyle name="40% - 강조색4 30" xfId="546" xr:uid="{00000000-0005-0000-0000-0000BA020000}"/>
    <cellStyle name="40% - 강조색4 31" xfId="547" xr:uid="{00000000-0005-0000-0000-0000BB020000}"/>
    <cellStyle name="40% - 강조색4 32" xfId="548" xr:uid="{00000000-0005-0000-0000-0000BC020000}"/>
    <cellStyle name="40% - 강조색4 33" xfId="549" xr:uid="{00000000-0005-0000-0000-0000BD020000}"/>
    <cellStyle name="40% - 강조색4 34" xfId="550" xr:uid="{00000000-0005-0000-0000-0000BE020000}"/>
    <cellStyle name="40% - 강조색4 35" xfId="551" xr:uid="{00000000-0005-0000-0000-0000BF020000}"/>
    <cellStyle name="40% - 강조색4 36" xfId="552" xr:uid="{00000000-0005-0000-0000-0000C0020000}"/>
    <cellStyle name="40% - 강조색4 37" xfId="553" xr:uid="{00000000-0005-0000-0000-0000C1020000}"/>
    <cellStyle name="40% - 강조색4 38" xfId="554" xr:uid="{00000000-0005-0000-0000-0000C2020000}"/>
    <cellStyle name="40% - 강조색4 39" xfId="555" xr:uid="{00000000-0005-0000-0000-0000C3020000}"/>
    <cellStyle name="40% - 강조색4 4" xfId="556" xr:uid="{00000000-0005-0000-0000-0000C4020000}"/>
    <cellStyle name="40% - 강조색4 40" xfId="557" xr:uid="{00000000-0005-0000-0000-0000C5020000}"/>
    <cellStyle name="40% - 강조색4 41" xfId="558" xr:uid="{00000000-0005-0000-0000-0000C6020000}"/>
    <cellStyle name="40% - 강조색4 42" xfId="559" xr:uid="{00000000-0005-0000-0000-0000C7020000}"/>
    <cellStyle name="40% - 강조색4 43" xfId="560" xr:uid="{00000000-0005-0000-0000-0000C8020000}"/>
    <cellStyle name="40% - 강조색4 44" xfId="561" xr:uid="{00000000-0005-0000-0000-0000C9020000}"/>
    <cellStyle name="40% - 강조색4 45" xfId="562" xr:uid="{00000000-0005-0000-0000-0000CA020000}"/>
    <cellStyle name="40% - 강조색4 46" xfId="563" xr:uid="{00000000-0005-0000-0000-0000CB020000}"/>
    <cellStyle name="40% - 강조색4 47" xfId="564" xr:uid="{00000000-0005-0000-0000-0000CC020000}"/>
    <cellStyle name="40% - 강조색4 48" xfId="565" xr:uid="{00000000-0005-0000-0000-0000CD020000}"/>
    <cellStyle name="40% - 강조색4 49" xfId="566" xr:uid="{00000000-0005-0000-0000-0000CE020000}"/>
    <cellStyle name="40% - 강조색4 5" xfId="567" xr:uid="{00000000-0005-0000-0000-0000CF020000}"/>
    <cellStyle name="40% - 강조색4 50" xfId="568" xr:uid="{00000000-0005-0000-0000-0000D0020000}"/>
    <cellStyle name="40% - 강조색4 51" xfId="569" xr:uid="{00000000-0005-0000-0000-0000D1020000}"/>
    <cellStyle name="40% - 강조색4 52" xfId="570" xr:uid="{00000000-0005-0000-0000-0000D2020000}"/>
    <cellStyle name="40% - 강조색4 53" xfId="571" xr:uid="{00000000-0005-0000-0000-0000D3020000}"/>
    <cellStyle name="40% - 강조색4 54" xfId="572" xr:uid="{00000000-0005-0000-0000-0000D4020000}"/>
    <cellStyle name="40% - 강조색4 55" xfId="573" xr:uid="{00000000-0005-0000-0000-0000D5020000}"/>
    <cellStyle name="40% - 강조색4 56" xfId="574" xr:uid="{00000000-0005-0000-0000-0000D6020000}"/>
    <cellStyle name="40% - 강조색4 57" xfId="575" xr:uid="{00000000-0005-0000-0000-0000D7020000}"/>
    <cellStyle name="40% - 강조색4 58" xfId="576" xr:uid="{00000000-0005-0000-0000-0000D8020000}"/>
    <cellStyle name="40% - 강조색4 59" xfId="3109" xr:uid="{00000000-0005-0000-0000-0000D9020000}"/>
    <cellStyle name="40% - 강조색4 6" xfId="577" xr:uid="{00000000-0005-0000-0000-0000DA020000}"/>
    <cellStyle name="40% - 강조색4 60" xfId="3127" xr:uid="{00000000-0005-0000-0000-0000DB020000}"/>
    <cellStyle name="40% - 강조색4 61" xfId="3140" xr:uid="{00000000-0005-0000-0000-0000DC020000}"/>
    <cellStyle name="40% - 강조색4 62" xfId="3154" xr:uid="{00000000-0005-0000-0000-0000DD020000}"/>
    <cellStyle name="40% - 강조색4 63" xfId="3167" xr:uid="{00000000-0005-0000-0000-0000DE020000}"/>
    <cellStyle name="40% - 강조색4 64" xfId="3180" xr:uid="{00000000-0005-0000-0000-0000DF020000}"/>
    <cellStyle name="40% - 강조색4 65" xfId="3193" xr:uid="{00000000-0005-0000-0000-0000E0020000}"/>
    <cellStyle name="40% - 강조색4 66" xfId="3217" xr:uid="{00000000-0005-0000-0000-0000E1020000}"/>
    <cellStyle name="40% - 강조색4 67" xfId="3240" xr:uid="{00000000-0005-0000-0000-0000E2020000}"/>
    <cellStyle name="40% - 강조색4 68" xfId="3253" xr:uid="{00000000-0005-0000-0000-0000E3020000}"/>
    <cellStyle name="40% - 강조색4 69" xfId="3266" xr:uid="{00000000-0005-0000-0000-0000E4020000}"/>
    <cellStyle name="40% - 강조색4 7" xfId="578" xr:uid="{00000000-0005-0000-0000-0000E5020000}"/>
    <cellStyle name="40% - 강조색4 70" xfId="3279" xr:uid="{00000000-0005-0000-0000-0000E6020000}"/>
    <cellStyle name="40% - 강조색4 71" xfId="3292" xr:uid="{00000000-0005-0000-0000-0000E7020000}"/>
    <cellStyle name="40% - 강조색4 72" xfId="3305" xr:uid="{00000000-0005-0000-0000-0000E8020000}"/>
    <cellStyle name="40% - 강조색4 73" xfId="3318" xr:uid="{00000000-0005-0000-0000-0000E9020000}"/>
    <cellStyle name="40% - 강조색4 74" xfId="3331" xr:uid="{00000000-0005-0000-0000-0000EA020000}"/>
    <cellStyle name="40% - 강조색4 75" xfId="3344" xr:uid="{00000000-0005-0000-0000-0000EB020000}"/>
    <cellStyle name="40% - 강조색4 8" xfId="579" xr:uid="{00000000-0005-0000-0000-0000EC020000}"/>
    <cellStyle name="40% - 강조색4 9" xfId="580" xr:uid="{00000000-0005-0000-0000-0000ED020000}"/>
    <cellStyle name="40% - 강조색5" xfId="581" builtinId="47" customBuiltin="1"/>
    <cellStyle name="40% - 강조색5 10" xfId="582" xr:uid="{00000000-0005-0000-0000-0000EF020000}"/>
    <cellStyle name="40% - 강조색5 11" xfId="583" xr:uid="{00000000-0005-0000-0000-0000F0020000}"/>
    <cellStyle name="40% - 강조색5 12" xfId="584" xr:uid="{00000000-0005-0000-0000-0000F1020000}"/>
    <cellStyle name="40% - 강조색5 13" xfId="585" xr:uid="{00000000-0005-0000-0000-0000F2020000}"/>
    <cellStyle name="40% - 강조색5 14" xfId="586" xr:uid="{00000000-0005-0000-0000-0000F3020000}"/>
    <cellStyle name="40% - 강조색5 15" xfId="587" xr:uid="{00000000-0005-0000-0000-0000F4020000}"/>
    <cellStyle name="40% - 강조색5 16" xfId="588" xr:uid="{00000000-0005-0000-0000-0000F5020000}"/>
    <cellStyle name="40% - 강조색5 17" xfId="589" xr:uid="{00000000-0005-0000-0000-0000F6020000}"/>
    <cellStyle name="40% - 강조색5 18" xfId="590" xr:uid="{00000000-0005-0000-0000-0000F7020000}"/>
    <cellStyle name="40% - 강조색5 19" xfId="591" xr:uid="{00000000-0005-0000-0000-0000F8020000}"/>
    <cellStyle name="40% - 강조색5 2" xfId="592" xr:uid="{00000000-0005-0000-0000-0000F9020000}"/>
    <cellStyle name="40% - 강조색5 20" xfId="593" xr:uid="{00000000-0005-0000-0000-0000FA020000}"/>
    <cellStyle name="40% - 강조색5 21" xfId="594" xr:uid="{00000000-0005-0000-0000-0000FB020000}"/>
    <cellStyle name="40% - 강조색5 22" xfId="595" xr:uid="{00000000-0005-0000-0000-0000FC020000}"/>
    <cellStyle name="40% - 강조색5 23" xfId="596" xr:uid="{00000000-0005-0000-0000-0000FD020000}"/>
    <cellStyle name="40% - 강조색5 24" xfId="597" xr:uid="{00000000-0005-0000-0000-0000FE020000}"/>
    <cellStyle name="40% - 강조색5 25" xfId="598" xr:uid="{00000000-0005-0000-0000-0000FF020000}"/>
    <cellStyle name="40% - 강조색5 26" xfId="599" xr:uid="{00000000-0005-0000-0000-000000030000}"/>
    <cellStyle name="40% - 강조색5 27" xfId="600" xr:uid="{00000000-0005-0000-0000-000001030000}"/>
    <cellStyle name="40% - 강조색5 28" xfId="601" xr:uid="{00000000-0005-0000-0000-000002030000}"/>
    <cellStyle name="40% - 강조색5 29" xfId="602" xr:uid="{00000000-0005-0000-0000-000003030000}"/>
    <cellStyle name="40% - 강조색5 3" xfId="603" xr:uid="{00000000-0005-0000-0000-000004030000}"/>
    <cellStyle name="40% - 강조색5 30" xfId="604" xr:uid="{00000000-0005-0000-0000-000005030000}"/>
    <cellStyle name="40% - 강조색5 31" xfId="605" xr:uid="{00000000-0005-0000-0000-000006030000}"/>
    <cellStyle name="40% - 강조색5 32" xfId="606" xr:uid="{00000000-0005-0000-0000-000007030000}"/>
    <cellStyle name="40% - 강조색5 33" xfId="607" xr:uid="{00000000-0005-0000-0000-000008030000}"/>
    <cellStyle name="40% - 강조색5 34" xfId="608" xr:uid="{00000000-0005-0000-0000-000009030000}"/>
    <cellStyle name="40% - 강조색5 35" xfId="609" xr:uid="{00000000-0005-0000-0000-00000A030000}"/>
    <cellStyle name="40% - 강조색5 36" xfId="610" xr:uid="{00000000-0005-0000-0000-00000B030000}"/>
    <cellStyle name="40% - 강조색5 37" xfId="611" xr:uid="{00000000-0005-0000-0000-00000C030000}"/>
    <cellStyle name="40% - 강조색5 38" xfId="612" xr:uid="{00000000-0005-0000-0000-00000D030000}"/>
    <cellStyle name="40% - 강조색5 39" xfId="613" xr:uid="{00000000-0005-0000-0000-00000E030000}"/>
    <cellStyle name="40% - 강조색5 4" xfId="614" xr:uid="{00000000-0005-0000-0000-00000F030000}"/>
    <cellStyle name="40% - 강조색5 40" xfId="615" xr:uid="{00000000-0005-0000-0000-000010030000}"/>
    <cellStyle name="40% - 강조색5 41" xfId="616" xr:uid="{00000000-0005-0000-0000-000011030000}"/>
    <cellStyle name="40% - 강조색5 42" xfId="617" xr:uid="{00000000-0005-0000-0000-000012030000}"/>
    <cellStyle name="40% - 강조색5 43" xfId="618" xr:uid="{00000000-0005-0000-0000-000013030000}"/>
    <cellStyle name="40% - 강조색5 44" xfId="619" xr:uid="{00000000-0005-0000-0000-000014030000}"/>
    <cellStyle name="40% - 강조색5 45" xfId="620" xr:uid="{00000000-0005-0000-0000-000015030000}"/>
    <cellStyle name="40% - 강조색5 46" xfId="621" xr:uid="{00000000-0005-0000-0000-000016030000}"/>
    <cellStyle name="40% - 강조색5 47" xfId="622" xr:uid="{00000000-0005-0000-0000-000017030000}"/>
    <cellStyle name="40% - 강조색5 48" xfId="623" xr:uid="{00000000-0005-0000-0000-000018030000}"/>
    <cellStyle name="40% - 강조색5 49" xfId="624" xr:uid="{00000000-0005-0000-0000-000019030000}"/>
    <cellStyle name="40% - 강조색5 5" xfId="625" xr:uid="{00000000-0005-0000-0000-00001A030000}"/>
    <cellStyle name="40% - 강조색5 50" xfId="626" xr:uid="{00000000-0005-0000-0000-00001B030000}"/>
    <cellStyle name="40% - 강조색5 51" xfId="627" xr:uid="{00000000-0005-0000-0000-00001C030000}"/>
    <cellStyle name="40% - 강조색5 52" xfId="628" xr:uid="{00000000-0005-0000-0000-00001D030000}"/>
    <cellStyle name="40% - 강조색5 53" xfId="629" xr:uid="{00000000-0005-0000-0000-00001E030000}"/>
    <cellStyle name="40% - 강조색5 54" xfId="630" xr:uid="{00000000-0005-0000-0000-00001F030000}"/>
    <cellStyle name="40% - 강조색5 55" xfId="631" xr:uid="{00000000-0005-0000-0000-000020030000}"/>
    <cellStyle name="40% - 강조색5 56" xfId="632" xr:uid="{00000000-0005-0000-0000-000021030000}"/>
    <cellStyle name="40% - 강조색5 57" xfId="633" xr:uid="{00000000-0005-0000-0000-000022030000}"/>
    <cellStyle name="40% - 강조색5 58" xfId="634" xr:uid="{00000000-0005-0000-0000-000023030000}"/>
    <cellStyle name="40% - 강조색5 59" xfId="3113" xr:uid="{00000000-0005-0000-0000-000024030000}"/>
    <cellStyle name="40% - 강조색5 6" xfId="635" xr:uid="{00000000-0005-0000-0000-000025030000}"/>
    <cellStyle name="40% - 강조색5 60" xfId="3129" xr:uid="{00000000-0005-0000-0000-000026030000}"/>
    <cellStyle name="40% - 강조색5 61" xfId="3142" xr:uid="{00000000-0005-0000-0000-000027030000}"/>
    <cellStyle name="40% - 강조색5 62" xfId="3156" xr:uid="{00000000-0005-0000-0000-000028030000}"/>
    <cellStyle name="40% - 강조색5 63" xfId="3169" xr:uid="{00000000-0005-0000-0000-000029030000}"/>
    <cellStyle name="40% - 강조색5 64" xfId="3182" xr:uid="{00000000-0005-0000-0000-00002A030000}"/>
    <cellStyle name="40% - 강조색5 65" xfId="3195" xr:uid="{00000000-0005-0000-0000-00002B030000}"/>
    <cellStyle name="40% - 강조색5 66" xfId="3221" xr:uid="{00000000-0005-0000-0000-00002C030000}"/>
    <cellStyle name="40% - 강조색5 67" xfId="3242" xr:uid="{00000000-0005-0000-0000-00002D030000}"/>
    <cellStyle name="40% - 강조색5 68" xfId="3255" xr:uid="{00000000-0005-0000-0000-00002E030000}"/>
    <cellStyle name="40% - 강조색5 69" xfId="3268" xr:uid="{00000000-0005-0000-0000-00002F030000}"/>
    <cellStyle name="40% - 강조색5 7" xfId="636" xr:uid="{00000000-0005-0000-0000-000030030000}"/>
    <cellStyle name="40% - 강조색5 70" xfId="3281" xr:uid="{00000000-0005-0000-0000-000031030000}"/>
    <cellStyle name="40% - 강조색5 71" xfId="3294" xr:uid="{00000000-0005-0000-0000-000032030000}"/>
    <cellStyle name="40% - 강조색5 72" xfId="3307" xr:uid="{00000000-0005-0000-0000-000033030000}"/>
    <cellStyle name="40% - 강조색5 73" xfId="3320" xr:uid="{00000000-0005-0000-0000-000034030000}"/>
    <cellStyle name="40% - 강조색5 74" xfId="3333" xr:uid="{00000000-0005-0000-0000-000035030000}"/>
    <cellStyle name="40% - 강조색5 75" xfId="3346" xr:uid="{00000000-0005-0000-0000-000036030000}"/>
    <cellStyle name="40% - 강조색5 8" xfId="637" xr:uid="{00000000-0005-0000-0000-000037030000}"/>
    <cellStyle name="40% - 강조색5 9" xfId="638" xr:uid="{00000000-0005-0000-0000-000038030000}"/>
    <cellStyle name="40% - 강조색6" xfId="639" builtinId="51" customBuiltin="1"/>
    <cellStyle name="40% - 강조색6 10" xfId="640" xr:uid="{00000000-0005-0000-0000-00003A030000}"/>
    <cellStyle name="40% - 강조색6 11" xfId="641" xr:uid="{00000000-0005-0000-0000-00003B030000}"/>
    <cellStyle name="40% - 강조색6 12" xfId="642" xr:uid="{00000000-0005-0000-0000-00003C030000}"/>
    <cellStyle name="40% - 강조색6 13" xfId="643" xr:uid="{00000000-0005-0000-0000-00003D030000}"/>
    <cellStyle name="40% - 강조색6 14" xfId="644" xr:uid="{00000000-0005-0000-0000-00003E030000}"/>
    <cellStyle name="40% - 강조색6 15" xfId="645" xr:uid="{00000000-0005-0000-0000-00003F030000}"/>
    <cellStyle name="40% - 강조색6 16" xfId="646" xr:uid="{00000000-0005-0000-0000-000040030000}"/>
    <cellStyle name="40% - 강조색6 17" xfId="647" xr:uid="{00000000-0005-0000-0000-000041030000}"/>
    <cellStyle name="40% - 강조색6 18" xfId="648" xr:uid="{00000000-0005-0000-0000-000042030000}"/>
    <cellStyle name="40% - 강조색6 19" xfId="649" xr:uid="{00000000-0005-0000-0000-000043030000}"/>
    <cellStyle name="40% - 강조색6 2" xfId="650" xr:uid="{00000000-0005-0000-0000-000044030000}"/>
    <cellStyle name="40% - 강조색6 20" xfId="651" xr:uid="{00000000-0005-0000-0000-000045030000}"/>
    <cellStyle name="40% - 강조색6 21" xfId="652" xr:uid="{00000000-0005-0000-0000-000046030000}"/>
    <cellStyle name="40% - 강조색6 22" xfId="653" xr:uid="{00000000-0005-0000-0000-000047030000}"/>
    <cellStyle name="40% - 강조색6 23" xfId="654" xr:uid="{00000000-0005-0000-0000-000048030000}"/>
    <cellStyle name="40% - 강조색6 24" xfId="655" xr:uid="{00000000-0005-0000-0000-000049030000}"/>
    <cellStyle name="40% - 강조색6 25" xfId="656" xr:uid="{00000000-0005-0000-0000-00004A030000}"/>
    <cellStyle name="40% - 강조색6 26" xfId="657" xr:uid="{00000000-0005-0000-0000-00004B030000}"/>
    <cellStyle name="40% - 강조색6 27" xfId="658" xr:uid="{00000000-0005-0000-0000-00004C030000}"/>
    <cellStyle name="40% - 강조색6 28" xfId="659" xr:uid="{00000000-0005-0000-0000-00004D030000}"/>
    <cellStyle name="40% - 강조색6 29" xfId="660" xr:uid="{00000000-0005-0000-0000-00004E030000}"/>
    <cellStyle name="40% - 강조색6 3" xfId="661" xr:uid="{00000000-0005-0000-0000-00004F030000}"/>
    <cellStyle name="40% - 강조색6 30" xfId="662" xr:uid="{00000000-0005-0000-0000-000050030000}"/>
    <cellStyle name="40% - 강조색6 31" xfId="663" xr:uid="{00000000-0005-0000-0000-000051030000}"/>
    <cellStyle name="40% - 강조색6 32" xfId="664" xr:uid="{00000000-0005-0000-0000-000052030000}"/>
    <cellStyle name="40% - 강조색6 33" xfId="665" xr:uid="{00000000-0005-0000-0000-000053030000}"/>
    <cellStyle name="40% - 강조색6 34" xfId="666" xr:uid="{00000000-0005-0000-0000-000054030000}"/>
    <cellStyle name="40% - 강조색6 35" xfId="667" xr:uid="{00000000-0005-0000-0000-000055030000}"/>
    <cellStyle name="40% - 강조색6 36" xfId="668" xr:uid="{00000000-0005-0000-0000-000056030000}"/>
    <cellStyle name="40% - 강조색6 37" xfId="669" xr:uid="{00000000-0005-0000-0000-000057030000}"/>
    <cellStyle name="40% - 강조색6 38" xfId="670" xr:uid="{00000000-0005-0000-0000-000058030000}"/>
    <cellStyle name="40% - 강조색6 39" xfId="671" xr:uid="{00000000-0005-0000-0000-000059030000}"/>
    <cellStyle name="40% - 강조색6 4" xfId="672" xr:uid="{00000000-0005-0000-0000-00005A030000}"/>
    <cellStyle name="40% - 강조색6 40" xfId="673" xr:uid="{00000000-0005-0000-0000-00005B030000}"/>
    <cellStyle name="40% - 강조색6 41" xfId="674" xr:uid="{00000000-0005-0000-0000-00005C030000}"/>
    <cellStyle name="40% - 강조색6 42" xfId="675" xr:uid="{00000000-0005-0000-0000-00005D030000}"/>
    <cellStyle name="40% - 강조색6 43" xfId="676" xr:uid="{00000000-0005-0000-0000-00005E030000}"/>
    <cellStyle name="40% - 강조색6 44" xfId="677" xr:uid="{00000000-0005-0000-0000-00005F030000}"/>
    <cellStyle name="40% - 강조색6 45" xfId="678" xr:uid="{00000000-0005-0000-0000-000060030000}"/>
    <cellStyle name="40% - 강조색6 46" xfId="679" xr:uid="{00000000-0005-0000-0000-000061030000}"/>
    <cellStyle name="40% - 강조색6 47" xfId="680" xr:uid="{00000000-0005-0000-0000-000062030000}"/>
    <cellStyle name="40% - 강조색6 48" xfId="681" xr:uid="{00000000-0005-0000-0000-000063030000}"/>
    <cellStyle name="40% - 강조색6 49" xfId="682" xr:uid="{00000000-0005-0000-0000-000064030000}"/>
    <cellStyle name="40% - 강조색6 5" xfId="683" xr:uid="{00000000-0005-0000-0000-000065030000}"/>
    <cellStyle name="40% - 강조색6 50" xfId="684" xr:uid="{00000000-0005-0000-0000-000066030000}"/>
    <cellStyle name="40% - 강조색6 51" xfId="685" xr:uid="{00000000-0005-0000-0000-000067030000}"/>
    <cellStyle name="40% - 강조색6 52" xfId="686" xr:uid="{00000000-0005-0000-0000-000068030000}"/>
    <cellStyle name="40% - 강조색6 53" xfId="687" xr:uid="{00000000-0005-0000-0000-000069030000}"/>
    <cellStyle name="40% - 강조색6 54" xfId="688" xr:uid="{00000000-0005-0000-0000-00006A030000}"/>
    <cellStyle name="40% - 강조색6 55" xfId="689" xr:uid="{00000000-0005-0000-0000-00006B030000}"/>
    <cellStyle name="40% - 강조색6 56" xfId="690" xr:uid="{00000000-0005-0000-0000-00006C030000}"/>
    <cellStyle name="40% - 강조색6 57" xfId="691" xr:uid="{00000000-0005-0000-0000-00006D030000}"/>
    <cellStyle name="40% - 강조색6 58" xfId="692" xr:uid="{00000000-0005-0000-0000-00006E030000}"/>
    <cellStyle name="40% - 강조색6 59" xfId="3117" xr:uid="{00000000-0005-0000-0000-00006F030000}"/>
    <cellStyle name="40% - 강조색6 6" xfId="693" xr:uid="{00000000-0005-0000-0000-000070030000}"/>
    <cellStyle name="40% - 강조색6 60" xfId="3131" xr:uid="{00000000-0005-0000-0000-000071030000}"/>
    <cellStyle name="40% - 강조색6 61" xfId="3144" xr:uid="{00000000-0005-0000-0000-000072030000}"/>
    <cellStyle name="40% - 강조색6 62" xfId="3158" xr:uid="{00000000-0005-0000-0000-000073030000}"/>
    <cellStyle name="40% - 강조색6 63" xfId="3171" xr:uid="{00000000-0005-0000-0000-000074030000}"/>
    <cellStyle name="40% - 강조색6 64" xfId="3184" xr:uid="{00000000-0005-0000-0000-000075030000}"/>
    <cellStyle name="40% - 강조색6 65" xfId="3197" xr:uid="{00000000-0005-0000-0000-000076030000}"/>
    <cellStyle name="40% - 강조색6 66" xfId="3225" xr:uid="{00000000-0005-0000-0000-000077030000}"/>
    <cellStyle name="40% - 강조색6 67" xfId="3244" xr:uid="{00000000-0005-0000-0000-000078030000}"/>
    <cellStyle name="40% - 강조색6 68" xfId="3257" xr:uid="{00000000-0005-0000-0000-000079030000}"/>
    <cellStyle name="40% - 강조색6 69" xfId="3270" xr:uid="{00000000-0005-0000-0000-00007A030000}"/>
    <cellStyle name="40% - 강조색6 7" xfId="694" xr:uid="{00000000-0005-0000-0000-00007B030000}"/>
    <cellStyle name="40% - 강조색6 70" xfId="3283" xr:uid="{00000000-0005-0000-0000-00007C030000}"/>
    <cellStyle name="40% - 강조색6 71" xfId="3296" xr:uid="{00000000-0005-0000-0000-00007D030000}"/>
    <cellStyle name="40% - 강조색6 72" xfId="3309" xr:uid="{00000000-0005-0000-0000-00007E030000}"/>
    <cellStyle name="40% - 강조색6 73" xfId="3322" xr:uid="{00000000-0005-0000-0000-00007F030000}"/>
    <cellStyle name="40% - 강조색6 74" xfId="3335" xr:uid="{00000000-0005-0000-0000-000080030000}"/>
    <cellStyle name="40% - 강조색6 75" xfId="3348" xr:uid="{00000000-0005-0000-0000-000081030000}"/>
    <cellStyle name="40% - 강조색6 8" xfId="695" xr:uid="{00000000-0005-0000-0000-000082030000}"/>
    <cellStyle name="40% - 강조색6 9" xfId="696" xr:uid="{00000000-0005-0000-0000-000083030000}"/>
    <cellStyle name="60% - 강조색1" xfId="697" builtinId="32" customBuiltin="1"/>
    <cellStyle name="60% - 강조색1 10" xfId="698" xr:uid="{00000000-0005-0000-0000-000085030000}"/>
    <cellStyle name="60% - 강조색1 11" xfId="699" xr:uid="{00000000-0005-0000-0000-000086030000}"/>
    <cellStyle name="60% - 강조색1 12" xfId="700" xr:uid="{00000000-0005-0000-0000-000087030000}"/>
    <cellStyle name="60% - 강조색1 13" xfId="701" xr:uid="{00000000-0005-0000-0000-000088030000}"/>
    <cellStyle name="60% - 강조색1 14" xfId="702" xr:uid="{00000000-0005-0000-0000-000089030000}"/>
    <cellStyle name="60% - 강조색1 15" xfId="703" xr:uid="{00000000-0005-0000-0000-00008A030000}"/>
    <cellStyle name="60% - 강조색1 16" xfId="704" xr:uid="{00000000-0005-0000-0000-00008B030000}"/>
    <cellStyle name="60% - 강조색1 17" xfId="705" xr:uid="{00000000-0005-0000-0000-00008C030000}"/>
    <cellStyle name="60% - 강조색1 18" xfId="706" xr:uid="{00000000-0005-0000-0000-00008D030000}"/>
    <cellStyle name="60% - 강조색1 19" xfId="707" xr:uid="{00000000-0005-0000-0000-00008E030000}"/>
    <cellStyle name="60% - 강조색1 2" xfId="708" xr:uid="{00000000-0005-0000-0000-00008F030000}"/>
    <cellStyle name="60% - 강조색1 20" xfId="709" xr:uid="{00000000-0005-0000-0000-000090030000}"/>
    <cellStyle name="60% - 강조색1 21" xfId="710" xr:uid="{00000000-0005-0000-0000-000091030000}"/>
    <cellStyle name="60% - 강조색1 22" xfId="711" xr:uid="{00000000-0005-0000-0000-000092030000}"/>
    <cellStyle name="60% - 강조색1 23" xfId="712" xr:uid="{00000000-0005-0000-0000-000093030000}"/>
    <cellStyle name="60% - 강조색1 24" xfId="713" xr:uid="{00000000-0005-0000-0000-000094030000}"/>
    <cellStyle name="60% - 강조색1 25" xfId="714" xr:uid="{00000000-0005-0000-0000-000095030000}"/>
    <cellStyle name="60% - 강조색1 26" xfId="715" xr:uid="{00000000-0005-0000-0000-000096030000}"/>
    <cellStyle name="60% - 강조색1 27" xfId="716" xr:uid="{00000000-0005-0000-0000-000097030000}"/>
    <cellStyle name="60% - 강조색1 28" xfId="717" xr:uid="{00000000-0005-0000-0000-000098030000}"/>
    <cellStyle name="60% - 강조색1 29" xfId="718" xr:uid="{00000000-0005-0000-0000-000099030000}"/>
    <cellStyle name="60% - 강조색1 3" xfId="719" xr:uid="{00000000-0005-0000-0000-00009A030000}"/>
    <cellStyle name="60% - 강조색1 30" xfId="720" xr:uid="{00000000-0005-0000-0000-00009B030000}"/>
    <cellStyle name="60% - 강조색1 31" xfId="721" xr:uid="{00000000-0005-0000-0000-00009C030000}"/>
    <cellStyle name="60% - 강조색1 32" xfId="722" xr:uid="{00000000-0005-0000-0000-00009D030000}"/>
    <cellStyle name="60% - 강조색1 33" xfId="723" xr:uid="{00000000-0005-0000-0000-00009E030000}"/>
    <cellStyle name="60% - 강조색1 34" xfId="724" xr:uid="{00000000-0005-0000-0000-00009F030000}"/>
    <cellStyle name="60% - 강조색1 35" xfId="725" xr:uid="{00000000-0005-0000-0000-0000A0030000}"/>
    <cellStyle name="60% - 강조색1 36" xfId="726" xr:uid="{00000000-0005-0000-0000-0000A1030000}"/>
    <cellStyle name="60% - 강조색1 37" xfId="727" xr:uid="{00000000-0005-0000-0000-0000A2030000}"/>
    <cellStyle name="60% - 강조색1 38" xfId="728" xr:uid="{00000000-0005-0000-0000-0000A3030000}"/>
    <cellStyle name="60% - 강조색1 39" xfId="729" xr:uid="{00000000-0005-0000-0000-0000A4030000}"/>
    <cellStyle name="60% - 강조색1 4" xfId="730" xr:uid="{00000000-0005-0000-0000-0000A5030000}"/>
    <cellStyle name="60% - 강조색1 40" xfId="731" xr:uid="{00000000-0005-0000-0000-0000A6030000}"/>
    <cellStyle name="60% - 강조색1 41" xfId="732" xr:uid="{00000000-0005-0000-0000-0000A7030000}"/>
    <cellStyle name="60% - 강조색1 42" xfId="733" xr:uid="{00000000-0005-0000-0000-0000A8030000}"/>
    <cellStyle name="60% - 강조색1 43" xfId="734" xr:uid="{00000000-0005-0000-0000-0000A9030000}"/>
    <cellStyle name="60% - 강조색1 44" xfId="735" xr:uid="{00000000-0005-0000-0000-0000AA030000}"/>
    <cellStyle name="60% - 강조색1 45" xfId="736" xr:uid="{00000000-0005-0000-0000-0000AB030000}"/>
    <cellStyle name="60% - 강조색1 46" xfId="737" xr:uid="{00000000-0005-0000-0000-0000AC030000}"/>
    <cellStyle name="60% - 강조색1 47" xfId="738" xr:uid="{00000000-0005-0000-0000-0000AD030000}"/>
    <cellStyle name="60% - 강조색1 48" xfId="739" xr:uid="{00000000-0005-0000-0000-0000AE030000}"/>
    <cellStyle name="60% - 강조색1 49" xfId="740" xr:uid="{00000000-0005-0000-0000-0000AF030000}"/>
    <cellStyle name="60% - 강조색1 5" xfId="741" xr:uid="{00000000-0005-0000-0000-0000B0030000}"/>
    <cellStyle name="60% - 강조색1 50" xfId="742" xr:uid="{00000000-0005-0000-0000-0000B1030000}"/>
    <cellStyle name="60% - 강조색1 51" xfId="743" xr:uid="{00000000-0005-0000-0000-0000B2030000}"/>
    <cellStyle name="60% - 강조색1 52" xfId="744" xr:uid="{00000000-0005-0000-0000-0000B3030000}"/>
    <cellStyle name="60% - 강조색1 53" xfId="745" xr:uid="{00000000-0005-0000-0000-0000B4030000}"/>
    <cellStyle name="60% - 강조색1 54" xfId="746" xr:uid="{00000000-0005-0000-0000-0000B5030000}"/>
    <cellStyle name="60% - 강조색1 55" xfId="747" xr:uid="{00000000-0005-0000-0000-0000B6030000}"/>
    <cellStyle name="60% - 강조색1 56" xfId="748" xr:uid="{00000000-0005-0000-0000-0000B7030000}"/>
    <cellStyle name="60% - 강조색1 57" xfId="749" xr:uid="{00000000-0005-0000-0000-0000B8030000}"/>
    <cellStyle name="60% - 강조색1 58" xfId="750" xr:uid="{00000000-0005-0000-0000-0000B9030000}"/>
    <cellStyle name="60% - 강조색1 59" xfId="3098" xr:uid="{00000000-0005-0000-0000-0000BA030000}"/>
    <cellStyle name="60% - 강조색1 6" xfId="751" xr:uid="{00000000-0005-0000-0000-0000BB030000}"/>
    <cellStyle name="60% - 강조색1 7" xfId="752" xr:uid="{00000000-0005-0000-0000-0000BC030000}"/>
    <cellStyle name="60% - 강조색1 8" xfId="753" xr:uid="{00000000-0005-0000-0000-0000BD030000}"/>
    <cellStyle name="60% - 강조색1 9" xfId="754" xr:uid="{00000000-0005-0000-0000-0000BE030000}"/>
    <cellStyle name="60% - 강조색2" xfId="755" builtinId="36" customBuiltin="1"/>
    <cellStyle name="60% - 강조색2 10" xfId="756" xr:uid="{00000000-0005-0000-0000-0000C0030000}"/>
    <cellStyle name="60% - 강조색2 11" xfId="757" xr:uid="{00000000-0005-0000-0000-0000C1030000}"/>
    <cellStyle name="60% - 강조색2 12" xfId="758" xr:uid="{00000000-0005-0000-0000-0000C2030000}"/>
    <cellStyle name="60% - 강조색2 13" xfId="759" xr:uid="{00000000-0005-0000-0000-0000C3030000}"/>
    <cellStyle name="60% - 강조색2 14" xfId="760" xr:uid="{00000000-0005-0000-0000-0000C4030000}"/>
    <cellStyle name="60% - 강조색2 15" xfId="761" xr:uid="{00000000-0005-0000-0000-0000C5030000}"/>
    <cellStyle name="60% - 강조색2 16" xfId="762" xr:uid="{00000000-0005-0000-0000-0000C6030000}"/>
    <cellStyle name="60% - 강조색2 17" xfId="763" xr:uid="{00000000-0005-0000-0000-0000C7030000}"/>
    <cellStyle name="60% - 강조색2 18" xfId="764" xr:uid="{00000000-0005-0000-0000-0000C8030000}"/>
    <cellStyle name="60% - 강조색2 19" xfId="765" xr:uid="{00000000-0005-0000-0000-0000C9030000}"/>
    <cellStyle name="60% - 강조색2 2" xfId="766" xr:uid="{00000000-0005-0000-0000-0000CA030000}"/>
    <cellStyle name="60% - 강조색2 20" xfId="767" xr:uid="{00000000-0005-0000-0000-0000CB030000}"/>
    <cellStyle name="60% - 강조색2 21" xfId="768" xr:uid="{00000000-0005-0000-0000-0000CC030000}"/>
    <cellStyle name="60% - 강조색2 22" xfId="769" xr:uid="{00000000-0005-0000-0000-0000CD030000}"/>
    <cellStyle name="60% - 강조색2 23" xfId="770" xr:uid="{00000000-0005-0000-0000-0000CE030000}"/>
    <cellStyle name="60% - 강조색2 24" xfId="771" xr:uid="{00000000-0005-0000-0000-0000CF030000}"/>
    <cellStyle name="60% - 강조색2 25" xfId="772" xr:uid="{00000000-0005-0000-0000-0000D0030000}"/>
    <cellStyle name="60% - 강조색2 26" xfId="773" xr:uid="{00000000-0005-0000-0000-0000D1030000}"/>
    <cellStyle name="60% - 강조색2 27" xfId="774" xr:uid="{00000000-0005-0000-0000-0000D2030000}"/>
    <cellStyle name="60% - 강조색2 28" xfId="775" xr:uid="{00000000-0005-0000-0000-0000D3030000}"/>
    <cellStyle name="60% - 강조색2 29" xfId="776" xr:uid="{00000000-0005-0000-0000-0000D4030000}"/>
    <cellStyle name="60% - 강조색2 3" xfId="777" xr:uid="{00000000-0005-0000-0000-0000D5030000}"/>
    <cellStyle name="60% - 강조색2 30" xfId="778" xr:uid="{00000000-0005-0000-0000-0000D6030000}"/>
    <cellStyle name="60% - 강조색2 31" xfId="779" xr:uid="{00000000-0005-0000-0000-0000D7030000}"/>
    <cellStyle name="60% - 강조색2 32" xfId="780" xr:uid="{00000000-0005-0000-0000-0000D8030000}"/>
    <cellStyle name="60% - 강조색2 33" xfId="781" xr:uid="{00000000-0005-0000-0000-0000D9030000}"/>
    <cellStyle name="60% - 강조색2 34" xfId="782" xr:uid="{00000000-0005-0000-0000-0000DA030000}"/>
    <cellStyle name="60% - 강조색2 35" xfId="783" xr:uid="{00000000-0005-0000-0000-0000DB030000}"/>
    <cellStyle name="60% - 강조색2 36" xfId="784" xr:uid="{00000000-0005-0000-0000-0000DC030000}"/>
    <cellStyle name="60% - 강조색2 37" xfId="785" xr:uid="{00000000-0005-0000-0000-0000DD030000}"/>
    <cellStyle name="60% - 강조색2 38" xfId="786" xr:uid="{00000000-0005-0000-0000-0000DE030000}"/>
    <cellStyle name="60% - 강조색2 39" xfId="787" xr:uid="{00000000-0005-0000-0000-0000DF030000}"/>
    <cellStyle name="60% - 강조색2 4" xfId="788" xr:uid="{00000000-0005-0000-0000-0000E0030000}"/>
    <cellStyle name="60% - 강조색2 40" xfId="789" xr:uid="{00000000-0005-0000-0000-0000E1030000}"/>
    <cellStyle name="60% - 강조색2 41" xfId="790" xr:uid="{00000000-0005-0000-0000-0000E2030000}"/>
    <cellStyle name="60% - 강조색2 42" xfId="791" xr:uid="{00000000-0005-0000-0000-0000E3030000}"/>
    <cellStyle name="60% - 강조색2 43" xfId="792" xr:uid="{00000000-0005-0000-0000-0000E4030000}"/>
    <cellStyle name="60% - 강조색2 44" xfId="793" xr:uid="{00000000-0005-0000-0000-0000E5030000}"/>
    <cellStyle name="60% - 강조색2 45" xfId="794" xr:uid="{00000000-0005-0000-0000-0000E6030000}"/>
    <cellStyle name="60% - 강조색2 46" xfId="795" xr:uid="{00000000-0005-0000-0000-0000E7030000}"/>
    <cellStyle name="60% - 강조색2 47" xfId="796" xr:uid="{00000000-0005-0000-0000-0000E8030000}"/>
    <cellStyle name="60% - 강조색2 48" xfId="797" xr:uid="{00000000-0005-0000-0000-0000E9030000}"/>
    <cellStyle name="60% - 강조색2 49" xfId="798" xr:uid="{00000000-0005-0000-0000-0000EA030000}"/>
    <cellStyle name="60% - 강조색2 5" xfId="799" xr:uid="{00000000-0005-0000-0000-0000EB030000}"/>
    <cellStyle name="60% - 강조색2 50" xfId="800" xr:uid="{00000000-0005-0000-0000-0000EC030000}"/>
    <cellStyle name="60% - 강조색2 51" xfId="801" xr:uid="{00000000-0005-0000-0000-0000ED030000}"/>
    <cellStyle name="60% - 강조색2 52" xfId="802" xr:uid="{00000000-0005-0000-0000-0000EE030000}"/>
    <cellStyle name="60% - 강조색2 53" xfId="803" xr:uid="{00000000-0005-0000-0000-0000EF030000}"/>
    <cellStyle name="60% - 강조색2 54" xfId="804" xr:uid="{00000000-0005-0000-0000-0000F0030000}"/>
    <cellStyle name="60% - 강조색2 55" xfId="805" xr:uid="{00000000-0005-0000-0000-0000F1030000}"/>
    <cellStyle name="60% - 강조색2 56" xfId="806" xr:uid="{00000000-0005-0000-0000-0000F2030000}"/>
    <cellStyle name="60% - 강조색2 57" xfId="807" xr:uid="{00000000-0005-0000-0000-0000F3030000}"/>
    <cellStyle name="60% - 강조색2 58" xfId="808" xr:uid="{00000000-0005-0000-0000-0000F4030000}"/>
    <cellStyle name="60% - 강조색2 59" xfId="3102" xr:uid="{00000000-0005-0000-0000-0000F5030000}"/>
    <cellStyle name="60% - 강조색2 6" xfId="809" xr:uid="{00000000-0005-0000-0000-0000F6030000}"/>
    <cellStyle name="60% - 강조색2 7" xfId="810" xr:uid="{00000000-0005-0000-0000-0000F7030000}"/>
    <cellStyle name="60% - 강조색2 8" xfId="811" xr:uid="{00000000-0005-0000-0000-0000F8030000}"/>
    <cellStyle name="60% - 강조색2 9" xfId="812" xr:uid="{00000000-0005-0000-0000-0000F9030000}"/>
    <cellStyle name="60% - 강조색3" xfId="813" builtinId="40" customBuiltin="1"/>
    <cellStyle name="60% - 강조색3 10" xfId="814" xr:uid="{00000000-0005-0000-0000-0000FB030000}"/>
    <cellStyle name="60% - 강조색3 11" xfId="815" xr:uid="{00000000-0005-0000-0000-0000FC030000}"/>
    <cellStyle name="60% - 강조색3 12" xfId="816" xr:uid="{00000000-0005-0000-0000-0000FD030000}"/>
    <cellStyle name="60% - 강조색3 13" xfId="817" xr:uid="{00000000-0005-0000-0000-0000FE030000}"/>
    <cellStyle name="60% - 강조색3 14" xfId="818" xr:uid="{00000000-0005-0000-0000-0000FF030000}"/>
    <cellStyle name="60% - 강조색3 15" xfId="819" xr:uid="{00000000-0005-0000-0000-000000040000}"/>
    <cellStyle name="60% - 강조색3 16" xfId="820" xr:uid="{00000000-0005-0000-0000-000001040000}"/>
    <cellStyle name="60% - 강조색3 17" xfId="821" xr:uid="{00000000-0005-0000-0000-000002040000}"/>
    <cellStyle name="60% - 강조색3 18" xfId="822" xr:uid="{00000000-0005-0000-0000-000003040000}"/>
    <cellStyle name="60% - 강조색3 19" xfId="823" xr:uid="{00000000-0005-0000-0000-000004040000}"/>
    <cellStyle name="60% - 강조색3 2" xfId="824" xr:uid="{00000000-0005-0000-0000-000005040000}"/>
    <cellStyle name="60% - 강조색3 20" xfId="825" xr:uid="{00000000-0005-0000-0000-000006040000}"/>
    <cellStyle name="60% - 강조색3 21" xfId="826" xr:uid="{00000000-0005-0000-0000-000007040000}"/>
    <cellStyle name="60% - 강조색3 22" xfId="827" xr:uid="{00000000-0005-0000-0000-000008040000}"/>
    <cellStyle name="60% - 강조색3 23" xfId="828" xr:uid="{00000000-0005-0000-0000-000009040000}"/>
    <cellStyle name="60% - 강조색3 24" xfId="829" xr:uid="{00000000-0005-0000-0000-00000A040000}"/>
    <cellStyle name="60% - 강조색3 25" xfId="830" xr:uid="{00000000-0005-0000-0000-00000B040000}"/>
    <cellStyle name="60% - 강조색3 26" xfId="831" xr:uid="{00000000-0005-0000-0000-00000C040000}"/>
    <cellStyle name="60% - 강조색3 27" xfId="832" xr:uid="{00000000-0005-0000-0000-00000D040000}"/>
    <cellStyle name="60% - 강조색3 28" xfId="833" xr:uid="{00000000-0005-0000-0000-00000E040000}"/>
    <cellStyle name="60% - 강조색3 29" xfId="834" xr:uid="{00000000-0005-0000-0000-00000F040000}"/>
    <cellStyle name="60% - 강조색3 3" xfId="835" xr:uid="{00000000-0005-0000-0000-000010040000}"/>
    <cellStyle name="60% - 강조색3 30" xfId="836" xr:uid="{00000000-0005-0000-0000-000011040000}"/>
    <cellStyle name="60% - 강조색3 31" xfId="837" xr:uid="{00000000-0005-0000-0000-000012040000}"/>
    <cellStyle name="60% - 강조색3 32" xfId="838" xr:uid="{00000000-0005-0000-0000-000013040000}"/>
    <cellStyle name="60% - 강조색3 33" xfId="839" xr:uid="{00000000-0005-0000-0000-000014040000}"/>
    <cellStyle name="60% - 강조색3 34" xfId="840" xr:uid="{00000000-0005-0000-0000-000015040000}"/>
    <cellStyle name="60% - 강조색3 35" xfId="841" xr:uid="{00000000-0005-0000-0000-000016040000}"/>
    <cellStyle name="60% - 강조색3 36" xfId="842" xr:uid="{00000000-0005-0000-0000-000017040000}"/>
    <cellStyle name="60% - 강조색3 37" xfId="843" xr:uid="{00000000-0005-0000-0000-000018040000}"/>
    <cellStyle name="60% - 강조색3 38" xfId="844" xr:uid="{00000000-0005-0000-0000-000019040000}"/>
    <cellStyle name="60% - 강조색3 39" xfId="845" xr:uid="{00000000-0005-0000-0000-00001A040000}"/>
    <cellStyle name="60% - 강조색3 4" xfId="846" xr:uid="{00000000-0005-0000-0000-00001B040000}"/>
    <cellStyle name="60% - 강조색3 40" xfId="847" xr:uid="{00000000-0005-0000-0000-00001C040000}"/>
    <cellStyle name="60% - 강조색3 41" xfId="848" xr:uid="{00000000-0005-0000-0000-00001D040000}"/>
    <cellStyle name="60% - 강조색3 42" xfId="849" xr:uid="{00000000-0005-0000-0000-00001E040000}"/>
    <cellStyle name="60% - 강조색3 43" xfId="850" xr:uid="{00000000-0005-0000-0000-00001F040000}"/>
    <cellStyle name="60% - 강조색3 44" xfId="851" xr:uid="{00000000-0005-0000-0000-000020040000}"/>
    <cellStyle name="60% - 강조색3 45" xfId="852" xr:uid="{00000000-0005-0000-0000-000021040000}"/>
    <cellStyle name="60% - 강조색3 46" xfId="853" xr:uid="{00000000-0005-0000-0000-000022040000}"/>
    <cellStyle name="60% - 강조색3 47" xfId="854" xr:uid="{00000000-0005-0000-0000-000023040000}"/>
    <cellStyle name="60% - 강조색3 48" xfId="855" xr:uid="{00000000-0005-0000-0000-000024040000}"/>
    <cellStyle name="60% - 강조색3 49" xfId="856" xr:uid="{00000000-0005-0000-0000-000025040000}"/>
    <cellStyle name="60% - 강조색3 5" xfId="857" xr:uid="{00000000-0005-0000-0000-000026040000}"/>
    <cellStyle name="60% - 강조색3 50" xfId="858" xr:uid="{00000000-0005-0000-0000-000027040000}"/>
    <cellStyle name="60% - 강조색3 51" xfId="859" xr:uid="{00000000-0005-0000-0000-000028040000}"/>
    <cellStyle name="60% - 강조색3 52" xfId="860" xr:uid="{00000000-0005-0000-0000-000029040000}"/>
    <cellStyle name="60% - 강조색3 53" xfId="861" xr:uid="{00000000-0005-0000-0000-00002A040000}"/>
    <cellStyle name="60% - 강조색3 54" xfId="862" xr:uid="{00000000-0005-0000-0000-00002B040000}"/>
    <cellStyle name="60% - 강조색3 55" xfId="863" xr:uid="{00000000-0005-0000-0000-00002C040000}"/>
    <cellStyle name="60% - 강조색3 56" xfId="864" xr:uid="{00000000-0005-0000-0000-00002D040000}"/>
    <cellStyle name="60% - 강조색3 57" xfId="865" xr:uid="{00000000-0005-0000-0000-00002E040000}"/>
    <cellStyle name="60% - 강조색3 58" xfId="866" xr:uid="{00000000-0005-0000-0000-00002F040000}"/>
    <cellStyle name="60% - 강조색3 59" xfId="3106" xr:uid="{00000000-0005-0000-0000-000030040000}"/>
    <cellStyle name="60% - 강조색3 6" xfId="867" xr:uid="{00000000-0005-0000-0000-000031040000}"/>
    <cellStyle name="60% - 강조색3 7" xfId="868" xr:uid="{00000000-0005-0000-0000-000032040000}"/>
    <cellStyle name="60% - 강조색3 8" xfId="869" xr:uid="{00000000-0005-0000-0000-000033040000}"/>
    <cellStyle name="60% - 강조색3 9" xfId="870" xr:uid="{00000000-0005-0000-0000-000034040000}"/>
    <cellStyle name="60% - 강조색4" xfId="871" builtinId="44" customBuiltin="1"/>
    <cellStyle name="60% - 강조색4 10" xfId="872" xr:uid="{00000000-0005-0000-0000-000036040000}"/>
    <cellStyle name="60% - 강조색4 11" xfId="873" xr:uid="{00000000-0005-0000-0000-000037040000}"/>
    <cellStyle name="60% - 강조색4 12" xfId="874" xr:uid="{00000000-0005-0000-0000-000038040000}"/>
    <cellStyle name="60% - 강조색4 13" xfId="875" xr:uid="{00000000-0005-0000-0000-000039040000}"/>
    <cellStyle name="60% - 강조색4 14" xfId="876" xr:uid="{00000000-0005-0000-0000-00003A040000}"/>
    <cellStyle name="60% - 강조색4 15" xfId="877" xr:uid="{00000000-0005-0000-0000-00003B040000}"/>
    <cellStyle name="60% - 강조색4 16" xfId="878" xr:uid="{00000000-0005-0000-0000-00003C040000}"/>
    <cellStyle name="60% - 강조색4 17" xfId="879" xr:uid="{00000000-0005-0000-0000-00003D040000}"/>
    <cellStyle name="60% - 강조색4 18" xfId="880" xr:uid="{00000000-0005-0000-0000-00003E040000}"/>
    <cellStyle name="60% - 강조색4 19" xfId="881" xr:uid="{00000000-0005-0000-0000-00003F040000}"/>
    <cellStyle name="60% - 강조색4 2" xfId="882" xr:uid="{00000000-0005-0000-0000-000040040000}"/>
    <cellStyle name="60% - 강조색4 20" xfId="883" xr:uid="{00000000-0005-0000-0000-000041040000}"/>
    <cellStyle name="60% - 강조색4 21" xfId="884" xr:uid="{00000000-0005-0000-0000-000042040000}"/>
    <cellStyle name="60% - 강조색4 22" xfId="885" xr:uid="{00000000-0005-0000-0000-000043040000}"/>
    <cellStyle name="60% - 강조색4 23" xfId="886" xr:uid="{00000000-0005-0000-0000-000044040000}"/>
    <cellStyle name="60% - 강조색4 24" xfId="887" xr:uid="{00000000-0005-0000-0000-000045040000}"/>
    <cellStyle name="60% - 강조색4 25" xfId="888" xr:uid="{00000000-0005-0000-0000-000046040000}"/>
    <cellStyle name="60% - 강조색4 26" xfId="889" xr:uid="{00000000-0005-0000-0000-000047040000}"/>
    <cellStyle name="60% - 강조색4 27" xfId="890" xr:uid="{00000000-0005-0000-0000-000048040000}"/>
    <cellStyle name="60% - 강조색4 28" xfId="891" xr:uid="{00000000-0005-0000-0000-000049040000}"/>
    <cellStyle name="60% - 강조색4 29" xfId="892" xr:uid="{00000000-0005-0000-0000-00004A040000}"/>
    <cellStyle name="60% - 강조색4 3" xfId="893" xr:uid="{00000000-0005-0000-0000-00004B040000}"/>
    <cellStyle name="60% - 강조색4 30" xfId="894" xr:uid="{00000000-0005-0000-0000-00004C040000}"/>
    <cellStyle name="60% - 강조색4 31" xfId="895" xr:uid="{00000000-0005-0000-0000-00004D040000}"/>
    <cellStyle name="60% - 강조색4 32" xfId="896" xr:uid="{00000000-0005-0000-0000-00004E040000}"/>
    <cellStyle name="60% - 강조색4 33" xfId="897" xr:uid="{00000000-0005-0000-0000-00004F040000}"/>
    <cellStyle name="60% - 강조색4 34" xfId="898" xr:uid="{00000000-0005-0000-0000-000050040000}"/>
    <cellStyle name="60% - 강조색4 35" xfId="899" xr:uid="{00000000-0005-0000-0000-000051040000}"/>
    <cellStyle name="60% - 강조색4 36" xfId="900" xr:uid="{00000000-0005-0000-0000-000052040000}"/>
    <cellStyle name="60% - 강조색4 37" xfId="901" xr:uid="{00000000-0005-0000-0000-000053040000}"/>
    <cellStyle name="60% - 강조색4 38" xfId="902" xr:uid="{00000000-0005-0000-0000-000054040000}"/>
    <cellStyle name="60% - 강조색4 39" xfId="903" xr:uid="{00000000-0005-0000-0000-000055040000}"/>
    <cellStyle name="60% - 강조색4 4" xfId="904" xr:uid="{00000000-0005-0000-0000-000056040000}"/>
    <cellStyle name="60% - 강조색4 40" xfId="905" xr:uid="{00000000-0005-0000-0000-000057040000}"/>
    <cellStyle name="60% - 강조색4 41" xfId="906" xr:uid="{00000000-0005-0000-0000-000058040000}"/>
    <cellStyle name="60% - 강조색4 42" xfId="907" xr:uid="{00000000-0005-0000-0000-000059040000}"/>
    <cellStyle name="60% - 강조색4 43" xfId="908" xr:uid="{00000000-0005-0000-0000-00005A040000}"/>
    <cellStyle name="60% - 강조색4 44" xfId="909" xr:uid="{00000000-0005-0000-0000-00005B040000}"/>
    <cellStyle name="60% - 강조색4 45" xfId="910" xr:uid="{00000000-0005-0000-0000-00005C040000}"/>
    <cellStyle name="60% - 강조색4 46" xfId="911" xr:uid="{00000000-0005-0000-0000-00005D040000}"/>
    <cellStyle name="60% - 강조색4 47" xfId="912" xr:uid="{00000000-0005-0000-0000-00005E040000}"/>
    <cellStyle name="60% - 강조색4 48" xfId="913" xr:uid="{00000000-0005-0000-0000-00005F040000}"/>
    <cellStyle name="60% - 강조색4 49" xfId="914" xr:uid="{00000000-0005-0000-0000-000060040000}"/>
    <cellStyle name="60% - 강조색4 5" xfId="915" xr:uid="{00000000-0005-0000-0000-000061040000}"/>
    <cellStyle name="60% - 강조색4 50" xfId="916" xr:uid="{00000000-0005-0000-0000-000062040000}"/>
    <cellStyle name="60% - 강조색4 51" xfId="917" xr:uid="{00000000-0005-0000-0000-000063040000}"/>
    <cellStyle name="60% - 강조색4 52" xfId="918" xr:uid="{00000000-0005-0000-0000-000064040000}"/>
    <cellStyle name="60% - 강조색4 53" xfId="919" xr:uid="{00000000-0005-0000-0000-000065040000}"/>
    <cellStyle name="60% - 강조색4 54" xfId="920" xr:uid="{00000000-0005-0000-0000-000066040000}"/>
    <cellStyle name="60% - 강조색4 55" xfId="921" xr:uid="{00000000-0005-0000-0000-000067040000}"/>
    <cellStyle name="60% - 강조색4 56" xfId="922" xr:uid="{00000000-0005-0000-0000-000068040000}"/>
    <cellStyle name="60% - 강조색4 57" xfId="923" xr:uid="{00000000-0005-0000-0000-000069040000}"/>
    <cellStyle name="60% - 강조색4 58" xfId="924" xr:uid="{00000000-0005-0000-0000-00006A040000}"/>
    <cellStyle name="60% - 강조색4 59" xfId="3110" xr:uid="{00000000-0005-0000-0000-00006B040000}"/>
    <cellStyle name="60% - 강조색4 6" xfId="925" xr:uid="{00000000-0005-0000-0000-00006C040000}"/>
    <cellStyle name="60% - 강조색4 7" xfId="926" xr:uid="{00000000-0005-0000-0000-00006D040000}"/>
    <cellStyle name="60% - 강조색4 8" xfId="927" xr:uid="{00000000-0005-0000-0000-00006E040000}"/>
    <cellStyle name="60% - 강조색4 9" xfId="928" xr:uid="{00000000-0005-0000-0000-00006F040000}"/>
    <cellStyle name="60% - 강조색5" xfId="929" builtinId="48" customBuiltin="1"/>
    <cellStyle name="60% - 강조색5 10" xfId="930" xr:uid="{00000000-0005-0000-0000-000071040000}"/>
    <cellStyle name="60% - 강조색5 11" xfId="931" xr:uid="{00000000-0005-0000-0000-000072040000}"/>
    <cellStyle name="60% - 강조색5 12" xfId="932" xr:uid="{00000000-0005-0000-0000-000073040000}"/>
    <cellStyle name="60% - 강조색5 13" xfId="933" xr:uid="{00000000-0005-0000-0000-000074040000}"/>
    <cellStyle name="60% - 강조색5 14" xfId="934" xr:uid="{00000000-0005-0000-0000-000075040000}"/>
    <cellStyle name="60% - 강조색5 15" xfId="935" xr:uid="{00000000-0005-0000-0000-000076040000}"/>
    <cellStyle name="60% - 강조색5 16" xfId="936" xr:uid="{00000000-0005-0000-0000-000077040000}"/>
    <cellStyle name="60% - 강조색5 17" xfId="937" xr:uid="{00000000-0005-0000-0000-000078040000}"/>
    <cellStyle name="60% - 강조색5 18" xfId="938" xr:uid="{00000000-0005-0000-0000-000079040000}"/>
    <cellStyle name="60% - 강조색5 19" xfId="939" xr:uid="{00000000-0005-0000-0000-00007A040000}"/>
    <cellStyle name="60% - 강조색5 2" xfId="940" xr:uid="{00000000-0005-0000-0000-00007B040000}"/>
    <cellStyle name="60% - 강조색5 20" xfId="941" xr:uid="{00000000-0005-0000-0000-00007C040000}"/>
    <cellStyle name="60% - 강조색5 21" xfId="942" xr:uid="{00000000-0005-0000-0000-00007D040000}"/>
    <cellStyle name="60% - 강조색5 22" xfId="943" xr:uid="{00000000-0005-0000-0000-00007E040000}"/>
    <cellStyle name="60% - 강조색5 23" xfId="944" xr:uid="{00000000-0005-0000-0000-00007F040000}"/>
    <cellStyle name="60% - 강조색5 24" xfId="945" xr:uid="{00000000-0005-0000-0000-000080040000}"/>
    <cellStyle name="60% - 강조색5 25" xfId="946" xr:uid="{00000000-0005-0000-0000-000081040000}"/>
    <cellStyle name="60% - 강조색5 26" xfId="947" xr:uid="{00000000-0005-0000-0000-000082040000}"/>
    <cellStyle name="60% - 강조색5 27" xfId="948" xr:uid="{00000000-0005-0000-0000-000083040000}"/>
    <cellStyle name="60% - 강조색5 28" xfId="949" xr:uid="{00000000-0005-0000-0000-000084040000}"/>
    <cellStyle name="60% - 강조색5 29" xfId="950" xr:uid="{00000000-0005-0000-0000-000085040000}"/>
    <cellStyle name="60% - 강조색5 3" xfId="951" xr:uid="{00000000-0005-0000-0000-000086040000}"/>
    <cellStyle name="60% - 강조색5 30" xfId="952" xr:uid="{00000000-0005-0000-0000-000087040000}"/>
    <cellStyle name="60% - 강조색5 31" xfId="953" xr:uid="{00000000-0005-0000-0000-000088040000}"/>
    <cellStyle name="60% - 강조색5 32" xfId="954" xr:uid="{00000000-0005-0000-0000-000089040000}"/>
    <cellStyle name="60% - 강조색5 33" xfId="955" xr:uid="{00000000-0005-0000-0000-00008A040000}"/>
    <cellStyle name="60% - 강조색5 34" xfId="956" xr:uid="{00000000-0005-0000-0000-00008B040000}"/>
    <cellStyle name="60% - 강조색5 35" xfId="957" xr:uid="{00000000-0005-0000-0000-00008C040000}"/>
    <cellStyle name="60% - 강조색5 36" xfId="958" xr:uid="{00000000-0005-0000-0000-00008D040000}"/>
    <cellStyle name="60% - 강조색5 37" xfId="959" xr:uid="{00000000-0005-0000-0000-00008E040000}"/>
    <cellStyle name="60% - 강조색5 38" xfId="960" xr:uid="{00000000-0005-0000-0000-00008F040000}"/>
    <cellStyle name="60% - 강조색5 39" xfId="961" xr:uid="{00000000-0005-0000-0000-000090040000}"/>
    <cellStyle name="60% - 강조색5 4" xfId="962" xr:uid="{00000000-0005-0000-0000-000091040000}"/>
    <cellStyle name="60% - 강조색5 40" xfId="963" xr:uid="{00000000-0005-0000-0000-000092040000}"/>
    <cellStyle name="60% - 강조색5 41" xfId="964" xr:uid="{00000000-0005-0000-0000-000093040000}"/>
    <cellStyle name="60% - 강조색5 42" xfId="965" xr:uid="{00000000-0005-0000-0000-000094040000}"/>
    <cellStyle name="60% - 강조색5 43" xfId="966" xr:uid="{00000000-0005-0000-0000-000095040000}"/>
    <cellStyle name="60% - 강조색5 44" xfId="967" xr:uid="{00000000-0005-0000-0000-000096040000}"/>
    <cellStyle name="60% - 강조색5 45" xfId="968" xr:uid="{00000000-0005-0000-0000-000097040000}"/>
    <cellStyle name="60% - 강조색5 46" xfId="969" xr:uid="{00000000-0005-0000-0000-000098040000}"/>
    <cellStyle name="60% - 강조색5 47" xfId="970" xr:uid="{00000000-0005-0000-0000-000099040000}"/>
    <cellStyle name="60% - 강조색5 48" xfId="971" xr:uid="{00000000-0005-0000-0000-00009A040000}"/>
    <cellStyle name="60% - 강조색5 49" xfId="972" xr:uid="{00000000-0005-0000-0000-00009B040000}"/>
    <cellStyle name="60% - 강조색5 5" xfId="973" xr:uid="{00000000-0005-0000-0000-00009C040000}"/>
    <cellStyle name="60% - 강조색5 50" xfId="974" xr:uid="{00000000-0005-0000-0000-00009D040000}"/>
    <cellStyle name="60% - 강조색5 51" xfId="975" xr:uid="{00000000-0005-0000-0000-00009E040000}"/>
    <cellStyle name="60% - 강조색5 52" xfId="976" xr:uid="{00000000-0005-0000-0000-00009F040000}"/>
    <cellStyle name="60% - 강조색5 53" xfId="977" xr:uid="{00000000-0005-0000-0000-0000A0040000}"/>
    <cellStyle name="60% - 강조색5 54" xfId="978" xr:uid="{00000000-0005-0000-0000-0000A1040000}"/>
    <cellStyle name="60% - 강조색5 55" xfId="979" xr:uid="{00000000-0005-0000-0000-0000A2040000}"/>
    <cellStyle name="60% - 강조색5 56" xfId="980" xr:uid="{00000000-0005-0000-0000-0000A3040000}"/>
    <cellStyle name="60% - 강조색5 57" xfId="981" xr:uid="{00000000-0005-0000-0000-0000A4040000}"/>
    <cellStyle name="60% - 강조색5 58" xfId="982" xr:uid="{00000000-0005-0000-0000-0000A5040000}"/>
    <cellStyle name="60% - 강조색5 59" xfId="3114" xr:uid="{00000000-0005-0000-0000-0000A6040000}"/>
    <cellStyle name="60% - 강조색5 6" xfId="983" xr:uid="{00000000-0005-0000-0000-0000A7040000}"/>
    <cellStyle name="60% - 강조색5 7" xfId="984" xr:uid="{00000000-0005-0000-0000-0000A8040000}"/>
    <cellStyle name="60% - 강조색5 8" xfId="985" xr:uid="{00000000-0005-0000-0000-0000A9040000}"/>
    <cellStyle name="60% - 강조색5 9" xfId="986" xr:uid="{00000000-0005-0000-0000-0000AA040000}"/>
    <cellStyle name="60% - 강조색6" xfId="987" builtinId="52" customBuiltin="1"/>
    <cellStyle name="60% - 강조색6 10" xfId="988" xr:uid="{00000000-0005-0000-0000-0000AC040000}"/>
    <cellStyle name="60% - 강조색6 11" xfId="989" xr:uid="{00000000-0005-0000-0000-0000AD040000}"/>
    <cellStyle name="60% - 강조색6 12" xfId="990" xr:uid="{00000000-0005-0000-0000-0000AE040000}"/>
    <cellStyle name="60% - 강조색6 13" xfId="991" xr:uid="{00000000-0005-0000-0000-0000AF040000}"/>
    <cellStyle name="60% - 강조색6 14" xfId="992" xr:uid="{00000000-0005-0000-0000-0000B0040000}"/>
    <cellStyle name="60% - 강조색6 15" xfId="993" xr:uid="{00000000-0005-0000-0000-0000B1040000}"/>
    <cellStyle name="60% - 강조색6 16" xfId="994" xr:uid="{00000000-0005-0000-0000-0000B2040000}"/>
    <cellStyle name="60% - 강조색6 17" xfId="995" xr:uid="{00000000-0005-0000-0000-0000B3040000}"/>
    <cellStyle name="60% - 강조색6 18" xfId="996" xr:uid="{00000000-0005-0000-0000-0000B4040000}"/>
    <cellStyle name="60% - 강조색6 19" xfId="997" xr:uid="{00000000-0005-0000-0000-0000B5040000}"/>
    <cellStyle name="60% - 강조색6 2" xfId="998" xr:uid="{00000000-0005-0000-0000-0000B6040000}"/>
    <cellStyle name="60% - 강조색6 20" xfId="999" xr:uid="{00000000-0005-0000-0000-0000B7040000}"/>
    <cellStyle name="60% - 강조색6 21" xfId="1000" xr:uid="{00000000-0005-0000-0000-0000B8040000}"/>
    <cellStyle name="60% - 강조색6 22" xfId="1001" xr:uid="{00000000-0005-0000-0000-0000B9040000}"/>
    <cellStyle name="60% - 강조색6 23" xfId="1002" xr:uid="{00000000-0005-0000-0000-0000BA040000}"/>
    <cellStyle name="60% - 강조색6 24" xfId="1003" xr:uid="{00000000-0005-0000-0000-0000BB040000}"/>
    <cellStyle name="60% - 강조색6 25" xfId="1004" xr:uid="{00000000-0005-0000-0000-0000BC040000}"/>
    <cellStyle name="60% - 강조색6 26" xfId="1005" xr:uid="{00000000-0005-0000-0000-0000BD040000}"/>
    <cellStyle name="60% - 강조색6 27" xfId="1006" xr:uid="{00000000-0005-0000-0000-0000BE040000}"/>
    <cellStyle name="60% - 강조색6 28" xfId="1007" xr:uid="{00000000-0005-0000-0000-0000BF040000}"/>
    <cellStyle name="60% - 강조색6 29" xfId="1008" xr:uid="{00000000-0005-0000-0000-0000C0040000}"/>
    <cellStyle name="60% - 강조색6 3" xfId="1009" xr:uid="{00000000-0005-0000-0000-0000C1040000}"/>
    <cellStyle name="60% - 강조색6 30" xfId="1010" xr:uid="{00000000-0005-0000-0000-0000C2040000}"/>
    <cellStyle name="60% - 강조색6 31" xfId="1011" xr:uid="{00000000-0005-0000-0000-0000C3040000}"/>
    <cellStyle name="60% - 강조색6 32" xfId="1012" xr:uid="{00000000-0005-0000-0000-0000C4040000}"/>
    <cellStyle name="60% - 강조색6 33" xfId="1013" xr:uid="{00000000-0005-0000-0000-0000C5040000}"/>
    <cellStyle name="60% - 강조색6 34" xfId="1014" xr:uid="{00000000-0005-0000-0000-0000C6040000}"/>
    <cellStyle name="60% - 강조색6 35" xfId="1015" xr:uid="{00000000-0005-0000-0000-0000C7040000}"/>
    <cellStyle name="60% - 강조색6 36" xfId="1016" xr:uid="{00000000-0005-0000-0000-0000C8040000}"/>
    <cellStyle name="60% - 강조색6 37" xfId="1017" xr:uid="{00000000-0005-0000-0000-0000C9040000}"/>
    <cellStyle name="60% - 강조색6 38" xfId="1018" xr:uid="{00000000-0005-0000-0000-0000CA040000}"/>
    <cellStyle name="60% - 강조색6 39" xfId="1019" xr:uid="{00000000-0005-0000-0000-0000CB040000}"/>
    <cellStyle name="60% - 강조색6 4" xfId="1020" xr:uid="{00000000-0005-0000-0000-0000CC040000}"/>
    <cellStyle name="60% - 강조색6 40" xfId="1021" xr:uid="{00000000-0005-0000-0000-0000CD040000}"/>
    <cellStyle name="60% - 강조색6 41" xfId="1022" xr:uid="{00000000-0005-0000-0000-0000CE040000}"/>
    <cellStyle name="60% - 강조색6 42" xfId="1023" xr:uid="{00000000-0005-0000-0000-0000CF040000}"/>
    <cellStyle name="60% - 강조색6 43" xfId="1024" xr:uid="{00000000-0005-0000-0000-0000D0040000}"/>
    <cellStyle name="60% - 강조색6 44" xfId="1025" xr:uid="{00000000-0005-0000-0000-0000D1040000}"/>
    <cellStyle name="60% - 강조색6 45" xfId="1026" xr:uid="{00000000-0005-0000-0000-0000D2040000}"/>
    <cellStyle name="60% - 강조색6 46" xfId="1027" xr:uid="{00000000-0005-0000-0000-0000D3040000}"/>
    <cellStyle name="60% - 강조색6 47" xfId="1028" xr:uid="{00000000-0005-0000-0000-0000D4040000}"/>
    <cellStyle name="60% - 강조색6 48" xfId="1029" xr:uid="{00000000-0005-0000-0000-0000D5040000}"/>
    <cellStyle name="60% - 강조색6 49" xfId="1030" xr:uid="{00000000-0005-0000-0000-0000D6040000}"/>
    <cellStyle name="60% - 강조색6 5" xfId="1031" xr:uid="{00000000-0005-0000-0000-0000D7040000}"/>
    <cellStyle name="60% - 강조색6 50" xfId="1032" xr:uid="{00000000-0005-0000-0000-0000D8040000}"/>
    <cellStyle name="60% - 강조색6 51" xfId="1033" xr:uid="{00000000-0005-0000-0000-0000D9040000}"/>
    <cellStyle name="60% - 강조색6 52" xfId="1034" xr:uid="{00000000-0005-0000-0000-0000DA040000}"/>
    <cellStyle name="60% - 강조색6 53" xfId="1035" xr:uid="{00000000-0005-0000-0000-0000DB040000}"/>
    <cellStyle name="60% - 강조색6 54" xfId="1036" xr:uid="{00000000-0005-0000-0000-0000DC040000}"/>
    <cellStyle name="60% - 강조색6 55" xfId="1037" xr:uid="{00000000-0005-0000-0000-0000DD040000}"/>
    <cellStyle name="60% - 강조색6 56" xfId="1038" xr:uid="{00000000-0005-0000-0000-0000DE040000}"/>
    <cellStyle name="60% - 강조색6 57" xfId="1039" xr:uid="{00000000-0005-0000-0000-0000DF040000}"/>
    <cellStyle name="60% - 강조색6 58" xfId="1040" xr:uid="{00000000-0005-0000-0000-0000E0040000}"/>
    <cellStyle name="60% - 강조색6 59" xfId="3118" xr:uid="{00000000-0005-0000-0000-0000E1040000}"/>
    <cellStyle name="60% - 강조색6 6" xfId="1041" xr:uid="{00000000-0005-0000-0000-0000E2040000}"/>
    <cellStyle name="60% - 강조색6 7" xfId="1042" xr:uid="{00000000-0005-0000-0000-0000E3040000}"/>
    <cellStyle name="60% - 강조색6 8" xfId="1043" xr:uid="{00000000-0005-0000-0000-0000E4040000}"/>
    <cellStyle name="60% - 강조색6 9" xfId="1044" xr:uid="{00000000-0005-0000-0000-0000E5040000}"/>
    <cellStyle name="SAPBEXaggData" xfId="1045" xr:uid="{00000000-0005-0000-0000-0000E6040000}"/>
    <cellStyle name="SAPBEXaggData 10" xfId="1046" xr:uid="{00000000-0005-0000-0000-0000E7040000}"/>
    <cellStyle name="SAPBEXaggData 11" xfId="1047" xr:uid="{00000000-0005-0000-0000-0000E8040000}"/>
    <cellStyle name="SAPBEXaggData 12" xfId="1048" xr:uid="{00000000-0005-0000-0000-0000E9040000}"/>
    <cellStyle name="SAPBEXaggData 13" xfId="1049" xr:uid="{00000000-0005-0000-0000-0000EA040000}"/>
    <cellStyle name="SAPBEXaggData 14" xfId="1050" xr:uid="{00000000-0005-0000-0000-0000EB040000}"/>
    <cellStyle name="SAPBEXaggData 15" xfId="1051" xr:uid="{00000000-0005-0000-0000-0000EC040000}"/>
    <cellStyle name="SAPBEXaggData 16" xfId="1052" xr:uid="{00000000-0005-0000-0000-0000ED040000}"/>
    <cellStyle name="SAPBEXaggData 17" xfId="1053" xr:uid="{00000000-0005-0000-0000-0000EE040000}"/>
    <cellStyle name="SAPBEXaggData 18" xfId="1054" xr:uid="{00000000-0005-0000-0000-0000EF040000}"/>
    <cellStyle name="SAPBEXaggData 2" xfId="1055" xr:uid="{00000000-0005-0000-0000-0000F0040000}"/>
    <cellStyle name="SAPBEXaggData 3" xfId="1056" xr:uid="{00000000-0005-0000-0000-0000F1040000}"/>
    <cellStyle name="SAPBEXaggData 4" xfId="1057" xr:uid="{00000000-0005-0000-0000-0000F2040000}"/>
    <cellStyle name="SAPBEXaggData 5" xfId="1058" xr:uid="{00000000-0005-0000-0000-0000F3040000}"/>
    <cellStyle name="SAPBEXaggData 6" xfId="1059" xr:uid="{00000000-0005-0000-0000-0000F4040000}"/>
    <cellStyle name="SAPBEXaggData 7" xfId="1060" xr:uid="{00000000-0005-0000-0000-0000F5040000}"/>
    <cellStyle name="SAPBEXaggData 8" xfId="1061" xr:uid="{00000000-0005-0000-0000-0000F6040000}"/>
    <cellStyle name="SAPBEXaggData 9" xfId="1062" xr:uid="{00000000-0005-0000-0000-0000F7040000}"/>
    <cellStyle name="SAPBEXaggDataEmph" xfId="1063" xr:uid="{00000000-0005-0000-0000-0000F8040000}"/>
    <cellStyle name="SAPBEXaggDataEmph 10" xfId="1064" xr:uid="{00000000-0005-0000-0000-0000F9040000}"/>
    <cellStyle name="SAPBEXaggDataEmph 11" xfId="1065" xr:uid="{00000000-0005-0000-0000-0000FA040000}"/>
    <cellStyle name="SAPBEXaggDataEmph 12" xfId="1066" xr:uid="{00000000-0005-0000-0000-0000FB040000}"/>
    <cellStyle name="SAPBEXaggDataEmph 13" xfId="1067" xr:uid="{00000000-0005-0000-0000-0000FC040000}"/>
    <cellStyle name="SAPBEXaggDataEmph 14" xfId="1068" xr:uid="{00000000-0005-0000-0000-0000FD040000}"/>
    <cellStyle name="SAPBEXaggDataEmph 15" xfId="1069" xr:uid="{00000000-0005-0000-0000-0000FE040000}"/>
    <cellStyle name="SAPBEXaggDataEmph 16" xfId="1070" xr:uid="{00000000-0005-0000-0000-0000FF040000}"/>
    <cellStyle name="SAPBEXaggDataEmph 17" xfId="1071" xr:uid="{00000000-0005-0000-0000-000000050000}"/>
    <cellStyle name="SAPBEXaggDataEmph 18" xfId="1072" xr:uid="{00000000-0005-0000-0000-000001050000}"/>
    <cellStyle name="SAPBEXaggDataEmph 2" xfId="1073" xr:uid="{00000000-0005-0000-0000-000002050000}"/>
    <cellStyle name="SAPBEXaggDataEmph 3" xfId="1074" xr:uid="{00000000-0005-0000-0000-000003050000}"/>
    <cellStyle name="SAPBEXaggDataEmph 4" xfId="1075" xr:uid="{00000000-0005-0000-0000-000004050000}"/>
    <cellStyle name="SAPBEXaggDataEmph 5" xfId="1076" xr:uid="{00000000-0005-0000-0000-000005050000}"/>
    <cellStyle name="SAPBEXaggDataEmph 6" xfId="1077" xr:uid="{00000000-0005-0000-0000-000006050000}"/>
    <cellStyle name="SAPBEXaggDataEmph 7" xfId="1078" xr:uid="{00000000-0005-0000-0000-000007050000}"/>
    <cellStyle name="SAPBEXaggDataEmph 8" xfId="1079" xr:uid="{00000000-0005-0000-0000-000008050000}"/>
    <cellStyle name="SAPBEXaggDataEmph 9" xfId="1080" xr:uid="{00000000-0005-0000-0000-000009050000}"/>
    <cellStyle name="SAPBEXaggItem" xfId="1081" xr:uid="{00000000-0005-0000-0000-00000A050000}"/>
    <cellStyle name="SAPBEXaggItem 10" xfId="1082" xr:uid="{00000000-0005-0000-0000-00000B050000}"/>
    <cellStyle name="SAPBEXaggItem 11" xfId="1083" xr:uid="{00000000-0005-0000-0000-00000C050000}"/>
    <cellStyle name="SAPBEXaggItem 12" xfId="1084" xr:uid="{00000000-0005-0000-0000-00000D050000}"/>
    <cellStyle name="SAPBEXaggItem 13" xfId="1085" xr:uid="{00000000-0005-0000-0000-00000E050000}"/>
    <cellStyle name="SAPBEXaggItem 14" xfId="1086" xr:uid="{00000000-0005-0000-0000-00000F050000}"/>
    <cellStyle name="SAPBEXaggItem 15" xfId="1087" xr:uid="{00000000-0005-0000-0000-000010050000}"/>
    <cellStyle name="SAPBEXaggItem 16" xfId="1088" xr:uid="{00000000-0005-0000-0000-000011050000}"/>
    <cellStyle name="SAPBEXaggItem 17" xfId="1089" xr:uid="{00000000-0005-0000-0000-000012050000}"/>
    <cellStyle name="SAPBEXaggItem 18" xfId="1090" xr:uid="{00000000-0005-0000-0000-000013050000}"/>
    <cellStyle name="SAPBEXaggItem 2" xfId="1091" xr:uid="{00000000-0005-0000-0000-000014050000}"/>
    <cellStyle name="SAPBEXaggItem 3" xfId="1092" xr:uid="{00000000-0005-0000-0000-000015050000}"/>
    <cellStyle name="SAPBEXaggItem 4" xfId="1093" xr:uid="{00000000-0005-0000-0000-000016050000}"/>
    <cellStyle name="SAPBEXaggItem 5" xfId="1094" xr:uid="{00000000-0005-0000-0000-000017050000}"/>
    <cellStyle name="SAPBEXaggItem 6" xfId="1095" xr:uid="{00000000-0005-0000-0000-000018050000}"/>
    <cellStyle name="SAPBEXaggItem 7" xfId="1096" xr:uid="{00000000-0005-0000-0000-000019050000}"/>
    <cellStyle name="SAPBEXaggItem 8" xfId="1097" xr:uid="{00000000-0005-0000-0000-00001A050000}"/>
    <cellStyle name="SAPBEXaggItem 9" xfId="1098" xr:uid="{00000000-0005-0000-0000-00001B050000}"/>
    <cellStyle name="SAPBEXaggItemX" xfId="1099" xr:uid="{00000000-0005-0000-0000-00001C050000}"/>
    <cellStyle name="SAPBEXaggItemX 10" xfId="1100" xr:uid="{00000000-0005-0000-0000-00001D050000}"/>
    <cellStyle name="SAPBEXaggItemX 11" xfId="1101" xr:uid="{00000000-0005-0000-0000-00001E050000}"/>
    <cellStyle name="SAPBEXaggItemX 12" xfId="1102" xr:uid="{00000000-0005-0000-0000-00001F050000}"/>
    <cellStyle name="SAPBEXaggItemX 13" xfId="1103" xr:uid="{00000000-0005-0000-0000-000020050000}"/>
    <cellStyle name="SAPBEXaggItemX 14" xfId="1104" xr:uid="{00000000-0005-0000-0000-000021050000}"/>
    <cellStyle name="SAPBEXaggItemX 15" xfId="1105" xr:uid="{00000000-0005-0000-0000-000022050000}"/>
    <cellStyle name="SAPBEXaggItemX 16" xfId="1106" xr:uid="{00000000-0005-0000-0000-000023050000}"/>
    <cellStyle name="SAPBEXaggItemX 17" xfId="1107" xr:uid="{00000000-0005-0000-0000-000024050000}"/>
    <cellStyle name="SAPBEXaggItemX 18" xfId="1108" xr:uid="{00000000-0005-0000-0000-000025050000}"/>
    <cellStyle name="SAPBEXaggItemX 2" xfId="1109" xr:uid="{00000000-0005-0000-0000-000026050000}"/>
    <cellStyle name="SAPBEXaggItemX 3" xfId="1110" xr:uid="{00000000-0005-0000-0000-000027050000}"/>
    <cellStyle name="SAPBEXaggItemX 4" xfId="1111" xr:uid="{00000000-0005-0000-0000-000028050000}"/>
    <cellStyle name="SAPBEXaggItemX 5" xfId="1112" xr:uid="{00000000-0005-0000-0000-000029050000}"/>
    <cellStyle name="SAPBEXaggItemX 6" xfId="1113" xr:uid="{00000000-0005-0000-0000-00002A050000}"/>
    <cellStyle name="SAPBEXaggItemX 7" xfId="1114" xr:uid="{00000000-0005-0000-0000-00002B050000}"/>
    <cellStyle name="SAPBEXaggItemX 8" xfId="1115" xr:uid="{00000000-0005-0000-0000-00002C050000}"/>
    <cellStyle name="SAPBEXaggItemX 9" xfId="1116" xr:uid="{00000000-0005-0000-0000-00002D050000}"/>
    <cellStyle name="SAPBEXchaText" xfId="1117" xr:uid="{00000000-0005-0000-0000-00002E050000}"/>
    <cellStyle name="SAPBEXexcBad7" xfId="1118" xr:uid="{00000000-0005-0000-0000-00002F050000}"/>
    <cellStyle name="SAPBEXexcBad7 10" xfId="1119" xr:uid="{00000000-0005-0000-0000-000030050000}"/>
    <cellStyle name="SAPBEXexcBad7 11" xfId="1120" xr:uid="{00000000-0005-0000-0000-000031050000}"/>
    <cellStyle name="SAPBEXexcBad7 12" xfId="1121" xr:uid="{00000000-0005-0000-0000-000032050000}"/>
    <cellStyle name="SAPBEXexcBad7 13" xfId="1122" xr:uid="{00000000-0005-0000-0000-000033050000}"/>
    <cellStyle name="SAPBEXexcBad7 14" xfId="1123" xr:uid="{00000000-0005-0000-0000-000034050000}"/>
    <cellStyle name="SAPBEXexcBad7 15" xfId="1124" xr:uid="{00000000-0005-0000-0000-000035050000}"/>
    <cellStyle name="SAPBEXexcBad7 16" xfId="1125" xr:uid="{00000000-0005-0000-0000-000036050000}"/>
    <cellStyle name="SAPBEXexcBad7 17" xfId="1126" xr:uid="{00000000-0005-0000-0000-000037050000}"/>
    <cellStyle name="SAPBEXexcBad7 18" xfId="1127" xr:uid="{00000000-0005-0000-0000-000038050000}"/>
    <cellStyle name="SAPBEXexcBad7 2" xfId="1128" xr:uid="{00000000-0005-0000-0000-000039050000}"/>
    <cellStyle name="SAPBEXexcBad7 3" xfId="1129" xr:uid="{00000000-0005-0000-0000-00003A050000}"/>
    <cellStyle name="SAPBEXexcBad7 4" xfId="1130" xr:uid="{00000000-0005-0000-0000-00003B050000}"/>
    <cellStyle name="SAPBEXexcBad7 5" xfId="1131" xr:uid="{00000000-0005-0000-0000-00003C050000}"/>
    <cellStyle name="SAPBEXexcBad7 6" xfId="1132" xr:uid="{00000000-0005-0000-0000-00003D050000}"/>
    <cellStyle name="SAPBEXexcBad7 7" xfId="1133" xr:uid="{00000000-0005-0000-0000-00003E050000}"/>
    <cellStyle name="SAPBEXexcBad7 8" xfId="1134" xr:uid="{00000000-0005-0000-0000-00003F050000}"/>
    <cellStyle name="SAPBEXexcBad7 9" xfId="1135" xr:uid="{00000000-0005-0000-0000-000040050000}"/>
    <cellStyle name="SAPBEXexcBad8" xfId="1136" xr:uid="{00000000-0005-0000-0000-000041050000}"/>
    <cellStyle name="SAPBEXexcBad8 10" xfId="1137" xr:uid="{00000000-0005-0000-0000-000042050000}"/>
    <cellStyle name="SAPBEXexcBad8 11" xfId="1138" xr:uid="{00000000-0005-0000-0000-000043050000}"/>
    <cellStyle name="SAPBEXexcBad8 12" xfId="1139" xr:uid="{00000000-0005-0000-0000-000044050000}"/>
    <cellStyle name="SAPBEXexcBad8 13" xfId="1140" xr:uid="{00000000-0005-0000-0000-000045050000}"/>
    <cellStyle name="SAPBEXexcBad8 14" xfId="1141" xr:uid="{00000000-0005-0000-0000-000046050000}"/>
    <cellStyle name="SAPBEXexcBad8 15" xfId="1142" xr:uid="{00000000-0005-0000-0000-000047050000}"/>
    <cellStyle name="SAPBEXexcBad8 16" xfId="1143" xr:uid="{00000000-0005-0000-0000-000048050000}"/>
    <cellStyle name="SAPBEXexcBad8 17" xfId="1144" xr:uid="{00000000-0005-0000-0000-000049050000}"/>
    <cellStyle name="SAPBEXexcBad8 18" xfId="1145" xr:uid="{00000000-0005-0000-0000-00004A050000}"/>
    <cellStyle name="SAPBEXexcBad8 2" xfId="1146" xr:uid="{00000000-0005-0000-0000-00004B050000}"/>
    <cellStyle name="SAPBEXexcBad8 3" xfId="1147" xr:uid="{00000000-0005-0000-0000-00004C050000}"/>
    <cellStyle name="SAPBEXexcBad8 4" xfId="1148" xr:uid="{00000000-0005-0000-0000-00004D050000}"/>
    <cellStyle name="SAPBEXexcBad8 5" xfId="1149" xr:uid="{00000000-0005-0000-0000-00004E050000}"/>
    <cellStyle name="SAPBEXexcBad8 6" xfId="1150" xr:uid="{00000000-0005-0000-0000-00004F050000}"/>
    <cellStyle name="SAPBEXexcBad8 7" xfId="1151" xr:uid="{00000000-0005-0000-0000-000050050000}"/>
    <cellStyle name="SAPBEXexcBad8 8" xfId="1152" xr:uid="{00000000-0005-0000-0000-000051050000}"/>
    <cellStyle name="SAPBEXexcBad8 9" xfId="1153" xr:uid="{00000000-0005-0000-0000-000052050000}"/>
    <cellStyle name="SAPBEXexcBad9" xfId="1154" xr:uid="{00000000-0005-0000-0000-000053050000}"/>
    <cellStyle name="SAPBEXexcBad9 10" xfId="1155" xr:uid="{00000000-0005-0000-0000-000054050000}"/>
    <cellStyle name="SAPBEXexcBad9 11" xfId="1156" xr:uid="{00000000-0005-0000-0000-000055050000}"/>
    <cellStyle name="SAPBEXexcBad9 12" xfId="1157" xr:uid="{00000000-0005-0000-0000-000056050000}"/>
    <cellStyle name="SAPBEXexcBad9 13" xfId="1158" xr:uid="{00000000-0005-0000-0000-000057050000}"/>
    <cellStyle name="SAPBEXexcBad9 14" xfId="1159" xr:uid="{00000000-0005-0000-0000-000058050000}"/>
    <cellStyle name="SAPBEXexcBad9 15" xfId="1160" xr:uid="{00000000-0005-0000-0000-000059050000}"/>
    <cellStyle name="SAPBEXexcBad9 16" xfId="1161" xr:uid="{00000000-0005-0000-0000-00005A050000}"/>
    <cellStyle name="SAPBEXexcBad9 17" xfId="1162" xr:uid="{00000000-0005-0000-0000-00005B050000}"/>
    <cellStyle name="SAPBEXexcBad9 18" xfId="1163" xr:uid="{00000000-0005-0000-0000-00005C050000}"/>
    <cellStyle name="SAPBEXexcBad9 2" xfId="1164" xr:uid="{00000000-0005-0000-0000-00005D050000}"/>
    <cellStyle name="SAPBEXexcBad9 3" xfId="1165" xr:uid="{00000000-0005-0000-0000-00005E050000}"/>
    <cellStyle name="SAPBEXexcBad9 4" xfId="1166" xr:uid="{00000000-0005-0000-0000-00005F050000}"/>
    <cellStyle name="SAPBEXexcBad9 5" xfId="1167" xr:uid="{00000000-0005-0000-0000-000060050000}"/>
    <cellStyle name="SAPBEXexcBad9 6" xfId="1168" xr:uid="{00000000-0005-0000-0000-000061050000}"/>
    <cellStyle name="SAPBEXexcBad9 7" xfId="1169" xr:uid="{00000000-0005-0000-0000-000062050000}"/>
    <cellStyle name="SAPBEXexcBad9 8" xfId="1170" xr:uid="{00000000-0005-0000-0000-000063050000}"/>
    <cellStyle name="SAPBEXexcBad9 9" xfId="1171" xr:uid="{00000000-0005-0000-0000-000064050000}"/>
    <cellStyle name="SAPBEXexcCritical4" xfId="1172" xr:uid="{00000000-0005-0000-0000-000065050000}"/>
    <cellStyle name="SAPBEXexcCritical4 10" xfId="1173" xr:uid="{00000000-0005-0000-0000-000066050000}"/>
    <cellStyle name="SAPBEXexcCritical4 11" xfId="1174" xr:uid="{00000000-0005-0000-0000-000067050000}"/>
    <cellStyle name="SAPBEXexcCritical4 12" xfId="1175" xr:uid="{00000000-0005-0000-0000-000068050000}"/>
    <cellStyle name="SAPBEXexcCritical4 13" xfId="1176" xr:uid="{00000000-0005-0000-0000-000069050000}"/>
    <cellStyle name="SAPBEXexcCritical4 14" xfId="1177" xr:uid="{00000000-0005-0000-0000-00006A050000}"/>
    <cellStyle name="SAPBEXexcCritical4 15" xfId="1178" xr:uid="{00000000-0005-0000-0000-00006B050000}"/>
    <cellStyle name="SAPBEXexcCritical4 16" xfId="1179" xr:uid="{00000000-0005-0000-0000-00006C050000}"/>
    <cellStyle name="SAPBEXexcCritical4 17" xfId="1180" xr:uid="{00000000-0005-0000-0000-00006D050000}"/>
    <cellStyle name="SAPBEXexcCritical4 18" xfId="1181" xr:uid="{00000000-0005-0000-0000-00006E050000}"/>
    <cellStyle name="SAPBEXexcCritical4 2" xfId="1182" xr:uid="{00000000-0005-0000-0000-00006F050000}"/>
    <cellStyle name="SAPBEXexcCritical4 3" xfId="1183" xr:uid="{00000000-0005-0000-0000-000070050000}"/>
    <cellStyle name="SAPBEXexcCritical4 4" xfId="1184" xr:uid="{00000000-0005-0000-0000-000071050000}"/>
    <cellStyle name="SAPBEXexcCritical4 5" xfId="1185" xr:uid="{00000000-0005-0000-0000-000072050000}"/>
    <cellStyle name="SAPBEXexcCritical4 6" xfId="1186" xr:uid="{00000000-0005-0000-0000-000073050000}"/>
    <cellStyle name="SAPBEXexcCritical4 7" xfId="1187" xr:uid="{00000000-0005-0000-0000-000074050000}"/>
    <cellStyle name="SAPBEXexcCritical4 8" xfId="1188" xr:uid="{00000000-0005-0000-0000-000075050000}"/>
    <cellStyle name="SAPBEXexcCritical4 9" xfId="1189" xr:uid="{00000000-0005-0000-0000-000076050000}"/>
    <cellStyle name="SAPBEXexcCritical5" xfId="1190" xr:uid="{00000000-0005-0000-0000-000077050000}"/>
    <cellStyle name="SAPBEXexcCritical5 10" xfId="1191" xr:uid="{00000000-0005-0000-0000-000078050000}"/>
    <cellStyle name="SAPBEXexcCritical5 11" xfId="1192" xr:uid="{00000000-0005-0000-0000-000079050000}"/>
    <cellStyle name="SAPBEXexcCritical5 12" xfId="1193" xr:uid="{00000000-0005-0000-0000-00007A050000}"/>
    <cellStyle name="SAPBEXexcCritical5 13" xfId="1194" xr:uid="{00000000-0005-0000-0000-00007B050000}"/>
    <cellStyle name="SAPBEXexcCritical5 14" xfId="1195" xr:uid="{00000000-0005-0000-0000-00007C050000}"/>
    <cellStyle name="SAPBEXexcCritical5 15" xfId="1196" xr:uid="{00000000-0005-0000-0000-00007D050000}"/>
    <cellStyle name="SAPBEXexcCritical5 16" xfId="1197" xr:uid="{00000000-0005-0000-0000-00007E050000}"/>
    <cellStyle name="SAPBEXexcCritical5 17" xfId="1198" xr:uid="{00000000-0005-0000-0000-00007F050000}"/>
    <cellStyle name="SAPBEXexcCritical5 18" xfId="1199" xr:uid="{00000000-0005-0000-0000-000080050000}"/>
    <cellStyle name="SAPBEXexcCritical5 2" xfId="1200" xr:uid="{00000000-0005-0000-0000-000081050000}"/>
    <cellStyle name="SAPBEXexcCritical5 3" xfId="1201" xr:uid="{00000000-0005-0000-0000-000082050000}"/>
    <cellStyle name="SAPBEXexcCritical5 4" xfId="1202" xr:uid="{00000000-0005-0000-0000-000083050000}"/>
    <cellStyle name="SAPBEXexcCritical5 5" xfId="1203" xr:uid="{00000000-0005-0000-0000-000084050000}"/>
    <cellStyle name="SAPBEXexcCritical5 6" xfId="1204" xr:uid="{00000000-0005-0000-0000-000085050000}"/>
    <cellStyle name="SAPBEXexcCritical5 7" xfId="1205" xr:uid="{00000000-0005-0000-0000-000086050000}"/>
    <cellStyle name="SAPBEXexcCritical5 8" xfId="1206" xr:uid="{00000000-0005-0000-0000-000087050000}"/>
    <cellStyle name="SAPBEXexcCritical5 9" xfId="1207" xr:uid="{00000000-0005-0000-0000-000088050000}"/>
    <cellStyle name="SAPBEXexcCritical6" xfId="1208" xr:uid="{00000000-0005-0000-0000-000089050000}"/>
    <cellStyle name="SAPBEXexcCritical6 10" xfId="1209" xr:uid="{00000000-0005-0000-0000-00008A050000}"/>
    <cellStyle name="SAPBEXexcCritical6 11" xfId="1210" xr:uid="{00000000-0005-0000-0000-00008B050000}"/>
    <cellStyle name="SAPBEXexcCritical6 12" xfId="1211" xr:uid="{00000000-0005-0000-0000-00008C050000}"/>
    <cellStyle name="SAPBEXexcCritical6 13" xfId="1212" xr:uid="{00000000-0005-0000-0000-00008D050000}"/>
    <cellStyle name="SAPBEXexcCritical6 14" xfId="1213" xr:uid="{00000000-0005-0000-0000-00008E050000}"/>
    <cellStyle name="SAPBEXexcCritical6 15" xfId="1214" xr:uid="{00000000-0005-0000-0000-00008F050000}"/>
    <cellStyle name="SAPBEXexcCritical6 16" xfId="1215" xr:uid="{00000000-0005-0000-0000-000090050000}"/>
    <cellStyle name="SAPBEXexcCritical6 17" xfId="1216" xr:uid="{00000000-0005-0000-0000-000091050000}"/>
    <cellStyle name="SAPBEXexcCritical6 18" xfId="1217" xr:uid="{00000000-0005-0000-0000-000092050000}"/>
    <cellStyle name="SAPBEXexcCritical6 2" xfId="1218" xr:uid="{00000000-0005-0000-0000-000093050000}"/>
    <cellStyle name="SAPBEXexcCritical6 3" xfId="1219" xr:uid="{00000000-0005-0000-0000-000094050000}"/>
    <cellStyle name="SAPBEXexcCritical6 4" xfId="1220" xr:uid="{00000000-0005-0000-0000-000095050000}"/>
    <cellStyle name="SAPBEXexcCritical6 5" xfId="1221" xr:uid="{00000000-0005-0000-0000-000096050000}"/>
    <cellStyle name="SAPBEXexcCritical6 6" xfId="1222" xr:uid="{00000000-0005-0000-0000-000097050000}"/>
    <cellStyle name="SAPBEXexcCritical6 7" xfId="1223" xr:uid="{00000000-0005-0000-0000-000098050000}"/>
    <cellStyle name="SAPBEXexcCritical6 8" xfId="1224" xr:uid="{00000000-0005-0000-0000-000099050000}"/>
    <cellStyle name="SAPBEXexcCritical6 9" xfId="1225" xr:uid="{00000000-0005-0000-0000-00009A050000}"/>
    <cellStyle name="SAPBEXexcGood1" xfId="1226" xr:uid="{00000000-0005-0000-0000-00009B050000}"/>
    <cellStyle name="SAPBEXexcGood1 10" xfId="1227" xr:uid="{00000000-0005-0000-0000-00009C050000}"/>
    <cellStyle name="SAPBEXexcGood1 11" xfId="1228" xr:uid="{00000000-0005-0000-0000-00009D050000}"/>
    <cellStyle name="SAPBEXexcGood1 12" xfId="1229" xr:uid="{00000000-0005-0000-0000-00009E050000}"/>
    <cellStyle name="SAPBEXexcGood1 13" xfId="1230" xr:uid="{00000000-0005-0000-0000-00009F050000}"/>
    <cellStyle name="SAPBEXexcGood1 14" xfId="1231" xr:uid="{00000000-0005-0000-0000-0000A0050000}"/>
    <cellStyle name="SAPBEXexcGood1 15" xfId="1232" xr:uid="{00000000-0005-0000-0000-0000A1050000}"/>
    <cellStyle name="SAPBEXexcGood1 16" xfId="1233" xr:uid="{00000000-0005-0000-0000-0000A2050000}"/>
    <cellStyle name="SAPBEXexcGood1 17" xfId="1234" xr:uid="{00000000-0005-0000-0000-0000A3050000}"/>
    <cellStyle name="SAPBEXexcGood1 18" xfId="1235" xr:uid="{00000000-0005-0000-0000-0000A4050000}"/>
    <cellStyle name="SAPBEXexcGood1 2" xfId="1236" xr:uid="{00000000-0005-0000-0000-0000A5050000}"/>
    <cellStyle name="SAPBEXexcGood1 3" xfId="1237" xr:uid="{00000000-0005-0000-0000-0000A6050000}"/>
    <cellStyle name="SAPBEXexcGood1 4" xfId="1238" xr:uid="{00000000-0005-0000-0000-0000A7050000}"/>
    <cellStyle name="SAPBEXexcGood1 5" xfId="1239" xr:uid="{00000000-0005-0000-0000-0000A8050000}"/>
    <cellStyle name="SAPBEXexcGood1 6" xfId="1240" xr:uid="{00000000-0005-0000-0000-0000A9050000}"/>
    <cellStyle name="SAPBEXexcGood1 7" xfId="1241" xr:uid="{00000000-0005-0000-0000-0000AA050000}"/>
    <cellStyle name="SAPBEXexcGood1 8" xfId="1242" xr:uid="{00000000-0005-0000-0000-0000AB050000}"/>
    <cellStyle name="SAPBEXexcGood1 9" xfId="1243" xr:uid="{00000000-0005-0000-0000-0000AC050000}"/>
    <cellStyle name="SAPBEXexcGood2" xfId="1244" xr:uid="{00000000-0005-0000-0000-0000AD050000}"/>
    <cellStyle name="SAPBEXexcGood2 10" xfId="1245" xr:uid="{00000000-0005-0000-0000-0000AE050000}"/>
    <cellStyle name="SAPBEXexcGood2 11" xfId="1246" xr:uid="{00000000-0005-0000-0000-0000AF050000}"/>
    <cellStyle name="SAPBEXexcGood2 12" xfId="1247" xr:uid="{00000000-0005-0000-0000-0000B0050000}"/>
    <cellStyle name="SAPBEXexcGood2 13" xfId="1248" xr:uid="{00000000-0005-0000-0000-0000B1050000}"/>
    <cellStyle name="SAPBEXexcGood2 14" xfId="1249" xr:uid="{00000000-0005-0000-0000-0000B2050000}"/>
    <cellStyle name="SAPBEXexcGood2 15" xfId="1250" xr:uid="{00000000-0005-0000-0000-0000B3050000}"/>
    <cellStyle name="SAPBEXexcGood2 16" xfId="1251" xr:uid="{00000000-0005-0000-0000-0000B4050000}"/>
    <cellStyle name="SAPBEXexcGood2 17" xfId="1252" xr:uid="{00000000-0005-0000-0000-0000B5050000}"/>
    <cellStyle name="SAPBEXexcGood2 18" xfId="1253" xr:uid="{00000000-0005-0000-0000-0000B6050000}"/>
    <cellStyle name="SAPBEXexcGood2 2" xfId="1254" xr:uid="{00000000-0005-0000-0000-0000B7050000}"/>
    <cellStyle name="SAPBEXexcGood2 3" xfId="1255" xr:uid="{00000000-0005-0000-0000-0000B8050000}"/>
    <cellStyle name="SAPBEXexcGood2 4" xfId="1256" xr:uid="{00000000-0005-0000-0000-0000B9050000}"/>
    <cellStyle name="SAPBEXexcGood2 5" xfId="1257" xr:uid="{00000000-0005-0000-0000-0000BA050000}"/>
    <cellStyle name="SAPBEXexcGood2 6" xfId="1258" xr:uid="{00000000-0005-0000-0000-0000BB050000}"/>
    <cellStyle name="SAPBEXexcGood2 7" xfId="1259" xr:uid="{00000000-0005-0000-0000-0000BC050000}"/>
    <cellStyle name="SAPBEXexcGood2 8" xfId="1260" xr:uid="{00000000-0005-0000-0000-0000BD050000}"/>
    <cellStyle name="SAPBEXexcGood2 9" xfId="1261" xr:uid="{00000000-0005-0000-0000-0000BE050000}"/>
    <cellStyle name="SAPBEXexcGood3" xfId="1262" xr:uid="{00000000-0005-0000-0000-0000BF050000}"/>
    <cellStyle name="SAPBEXexcGood3 10" xfId="1263" xr:uid="{00000000-0005-0000-0000-0000C0050000}"/>
    <cellStyle name="SAPBEXexcGood3 11" xfId="1264" xr:uid="{00000000-0005-0000-0000-0000C1050000}"/>
    <cellStyle name="SAPBEXexcGood3 12" xfId="1265" xr:uid="{00000000-0005-0000-0000-0000C2050000}"/>
    <cellStyle name="SAPBEXexcGood3 13" xfId="1266" xr:uid="{00000000-0005-0000-0000-0000C3050000}"/>
    <cellStyle name="SAPBEXexcGood3 14" xfId="1267" xr:uid="{00000000-0005-0000-0000-0000C4050000}"/>
    <cellStyle name="SAPBEXexcGood3 15" xfId="1268" xr:uid="{00000000-0005-0000-0000-0000C5050000}"/>
    <cellStyle name="SAPBEXexcGood3 16" xfId="1269" xr:uid="{00000000-0005-0000-0000-0000C6050000}"/>
    <cellStyle name="SAPBEXexcGood3 17" xfId="1270" xr:uid="{00000000-0005-0000-0000-0000C7050000}"/>
    <cellStyle name="SAPBEXexcGood3 18" xfId="1271" xr:uid="{00000000-0005-0000-0000-0000C8050000}"/>
    <cellStyle name="SAPBEXexcGood3 2" xfId="1272" xr:uid="{00000000-0005-0000-0000-0000C9050000}"/>
    <cellStyle name="SAPBEXexcGood3 3" xfId="1273" xr:uid="{00000000-0005-0000-0000-0000CA050000}"/>
    <cellStyle name="SAPBEXexcGood3 4" xfId="1274" xr:uid="{00000000-0005-0000-0000-0000CB050000}"/>
    <cellStyle name="SAPBEXexcGood3 5" xfId="1275" xr:uid="{00000000-0005-0000-0000-0000CC050000}"/>
    <cellStyle name="SAPBEXexcGood3 6" xfId="1276" xr:uid="{00000000-0005-0000-0000-0000CD050000}"/>
    <cellStyle name="SAPBEXexcGood3 7" xfId="1277" xr:uid="{00000000-0005-0000-0000-0000CE050000}"/>
    <cellStyle name="SAPBEXexcGood3 8" xfId="1278" xr:uid="{00000000-0005-0000-0000-0000CF050000}"/>
    <cellStyle name="SAPBEXexcGood3 9" xfId="1279" xr:uid="{00000000-0005-0000-0000-0000D0050000}"/>
    <cellStyle name="SAPBEXfilterDrill" xfId="1280" xr:uid="{00000000-0005-0000-0000-0000D1050000}"/>
    <cellStyle name="SAPBEXfilterItem" xfId="1281" xr:uid="{00000000-0005-0000-0000-0000D2050000}"/>
    <cellStyle name="SAPBEXfilterText" xfId="1282" xr:uid="{00000000-0005-0000-0000-0000D3050000}"/>
    <cellStyle name="SAPBEXformats" xfId="1283" xr:uid="{00000000-0005-0000-0000-0000D4050000}"/>
    <cellStyle name="SAPBEXformats 10" xfId="1284" xr:uid="{00000000-0005-0000-0000-0000D5050000}"/>
    <cellStyle name="SAPBEXformats 11" xfId="1285" xr:uid="{00000000-0005-0000-0000-0000D6050000}"/>
    <cellStyle name="SAPBEXformats 12" xfId="1286" xr:uid="{00000000-0005-0000-0000-0000D7050000}"/>
    <cellStyle name="SAPBEXformats 13" xfId="1287" xr:uid="{00000000-0005-0000-0000-0000D8050000}"/>
    <cellStyle name="SAPBEXformats 14" xfId="1288" xr:uid="{00000000-0005-0000-0000-0000D9050000}"/>
    <cellStyle name="SAPBEXformats 15" xfId="1289" xr:uid="{00000000-0005-0000-0000-0000DA050000}"/>
    <cellStyle name="SAPBEXformats 16" xfId="1290" xr:uid="{00000000-0005-0000-0000-0000DB050000}"/>
    <cellStyle name="SAPBEXformats 17" xfId="1291" xr:uid="{00000000-0005-0000-0000-0000DC050000}"/>
    <cellStyle name="SAPBEXformats 18" xfId="1292" xr:uid="{00000000-0005-0000-0000-0000DD050000}"/>
    <cellStyle name="SAPBEXformats 19" xfId="1293" xr:uid="{00000000-0005-0000-0000-0000DE050000}"/>
    <cellStyle name="SAPBEXformats 2" xfId="1294" xr:uid="{00000000-0005-0000-0000-0000DF050000}"/>
    <cellStyle name="SAPBEXformats 20" xfId="1295" xr:uid="{00000000-0005-0000-0000-0000E0050000}"/>
    <cellStyle name="SAPBEXformats 21" xfId="1296" xr:uid="{00000000-0005-0000-0000-0000E1050000}"/>
    <cellStyle name="SAPBEXformats 3" xfId="1297" xr:uid="{00000000-0005-0000-0000-0000E2050000}"/>
    <cellStyle name="SAPBEXformats 4" xfId="1298" xr:uid="{00000000-0005-0000-0000-0000E3050000}"/>
    <cellStyle name="SAPBEXformats 5" xfId="1299" xr:uid="{00000000-0005-0000-0000-0000E4050000}"/>
    <cellStyle name="SAPBEXformats 6" xfId="1300" xr:uid="{00000000-0005-0000-0000-0000E5050000}"/>
    <cellStyle name="SAPBEXformats 7" xfId="1301" xr:uid="{00000000-0005-0000-0000-0000E6050000}"/>
    <cellStyle name="SAPBEXformats 8" xfId="1302" xr:uid="{00000000-0005-0000-0000-0000E7050000}"/>
    <cellStyle name="SAPBEXformats 9" xfId="1303" xr:uid="{00000000-0005-0000-0000-0000E8050000}"/>
    <cellStyle name="SAPBEXheaderItem" xfId="1304" xr:uid="{00000000-0005-0000-0000-0000E9050000}"/>
    <cellStyle name="SAPBEXheaderItem 10" xfId="1305" xr:uid="{00000000-0005-0000-0000-0000EA050000}"/>
    <cellStyle name="SAPBEXheaderItem 11" xfId="1306" xr:uid="{00000000-0005-0000-0000-0000EB050000}"/>
    <cellStyle name="SAPBEXheaderItem 12" xfId="1307" xr:uid="{00000000-0005-0000-0000-0000EC050000}"/>
    <cellStyle name="SAPBEXheaderItem 13" xfId="1308" xr:uid="{00000000-0005-0000-0000-0000ED050000}"/>
    <cellStyle name="SAPBEXheaderItem 14" xfId="1309" xr:uid="{00000000-0005-0000-0000-0000EE050000}"/>
    <cellStyle name="SAPBEXheaderItem 15" xfId="1310" xr:uid="{00000000-0005-0000-0000-0000EF050000}"/>
    <cellStyle name="SAPBEXheaderItem 16" xfId="1311" xr:uid="{00000000-0005-0000-0000-0000F0050000}"/>
    <cellStyle name="SAPBEXheaderItem 17" xfId="1312" xr:uid="{00000000-0005-0000-0000-0000F1050000}"/>
    <cellStyle name="SAPBEXheaderItem 18" xfId="1313" xr:uid="{00000000-0005-0000-0000-0000F2050000}"/>
    <cellStyle name="SAPBEXheaderItem 2" xfId="1314" xr:uid="{00000000-0005-0000-0000-0000F3050000}"/>
    <cellStyle name="SAPBEXheaderItem 3" xfId="1315" xr:uid="{00000000-0005-0000-0000-0000F4050000}"/>
    <cellStyle name="SAPBEXheaderItem 4" xfId="1316" xr:uid="{00000000-0005-0000-0000-0000F5050000}"/>
    <cellStyle name="SAPBEXheaderItem 5" xfId="1317" xr:uid="{00000000-0005-0000-0000-0000F6050000}"/>
    <cellStyle name="SAPBEXheaderItem 6" xfId="1318" xr:uid="{00000000-0005-0000-0000-0000F7050000}"/>
    <cellStyle name="SAPBEXheaderItem 7" xfId="1319" xr:uid="{00000000-0005-0000-0000-0000F8050000}"/>
    <cellStyle name="SAPBEXheaderItem 8" xfId="1320" xr:uid="{00000000-0005-0000-0000-0000F9050000}"/>
    <cellStyle name="SAPBEXheaderItem 9" xfId="1321" xr:uid="{00000000-0005-0000-0000-0000FA050000}"/>
    <cellStyle name="SAPBEXheaderText" xfId="1322" xr:uid="{00000000-0005-0000-0000-0000FB050000}"/>
    <cellStyle name="SAPBEXheaderText 10" xfId="1323" xr:uid="{00000000-0005-0000-0000-0000FC050000}"/>
    <cellStyle name="SAPBEXheaderText 11" xfId="1324" xr:uid="{00000000-0005-0000-0000-0000FD050000}"/>
    <cellStyle name="SAPBEXheaderText 12" xfId="1325" xr:uid="{00000000-0005-0000-0000-0000FE050000}"/>
    <cellStyle name="SAPBEXheaderText 13" xfId="1326" xr:uid="{00000000-0005-0000-0000-0000FF050000}"/>
    <cellStyle name="SAPBEXheaderText 14" xfId="1327" xr:uid="{00000000-0005-0000-0000-000000060000}"/>
    <cellStyle name="SAPBEXheaderText 15" xfId="1328" xr:uid="{00000000-0005-0000-0000-000001060000}"/>
    <cellStyle name="SAPBEXheaderText 16" xfId="1329" xr:uid="{00000000-0005-0000-0000-000002060000}"/>
    <cellStyle name="SAPBEXheaderText 17" xfId="1330" xr:uid="{00000000-0005-0000-0000-000003060000}"/>
    <cellStyle name="SAPBEXheaderText 18" xfId="1331" xr:uid="{00000000-0005-0000-0000-000004060000}"/>
    <cellStyle name="SAPBEXheaderText 2" xfId="1332" xr:uid="{00000000-0005-0000-0000-000005060000}"/>
    <cellStyle name="SAPBEXheaderText 3" xfId="1333" xr:uid="{00000000-0005-0000-0000-000006060000}"/>
    <cellStyle name="SAPBEXheaderText 4" xfId="1334" xr:uid="{00000000-0005-0000-0000-000007060000}"/>
    <cellStyle name="SAPBEXheaderText 5" xfId="1335" xr:uid="{00000000-0005-0000-0000-000008060000}"/>
    <cellStyle name="SAPBEXheaderText 6" xfId="1336" xr:uid="{00000000-0005-0000-0000-000009060000}"/>
    <cellStyle name="SAPBEXheaderText 7" xfId="1337" xr:uid="{00000000-0005-0000-0000-00000A060000}"/>
    <cellStyle name="SAPBEXheaderText 8" xfId="1338" xr:uid="{00000000-0005-0000-0000-00000B060000}"/>
    <cellStyle name="SAPBEXheaderText 9" xfId="1339" xr:uid="{00000000-0005-0000-0000-00000C060000}"/>
    <cellStyle name="SAPBEXHLevel0" xfId="1340" xr:uid="{00000000-0005-0000-0000-00000D060000}"/>
    <cellStyle name="SAPBEXHLevel0 10" xfId="1341" xr:uid="{00000000-0005-0000-0000-00000E060000}"/>
    <cellStyle name="SAPBEXHLevel0 11" xfId="1342" xr:uid="{00000000-0005-0000-0000-00000F060000}"/>
    <cellStyle name="SAPBEXHLevel0 12" xfId="1343" xr:uid="{00000000-0005-0000-0000-000010060000}"/>
    <cellStyle name="SAPBEXHLevel0 13" xfId="1344" xr:uid="{00000000-0005-0000-0000-000011060000}"/>
    <cellStyle name="SAPBEXHLevel0 14" xfId="1345" xr:uid="{00000000-0005-0000-0000-000012060000}"/>
    <cellStyle name="SAPBEXHLevel0 15" xfId="1346" xr:uid="{00000000-0005-0000-0000-000013060000}"/>
    <cellStyle name="SAPBEXHLevel0 16" xfId="1347" xr:uid="{00000000-0005-0000-0000-000014060000}"/>
    <cellStyle name="SAPBEXHLevel0 17" xfId="1348" xr:uid="{00000000-0005-0000-0000-000015060000}"/>
    <cellStyle name="SAPBEXHLevel0 18" xfId="1349" xr:uid="{00000000-0005-0000-0000-000016060000}"/>
    <cellStyle name="SAPBEXHLevel0 2" xfId="1350" xr:uid="{00000000-0005-0000-0000-000017060000}"/>
    <cellStyle name="SAPBEXHLevel0 3" xfId="1351" xr:uid="{00000000-0005-0000-0000-000018060000}"/>
    <cellStyle name="SAPBEXHLevel0 4" xfId="1352" xr:uid="{00000000-0005-0000-0000-000019060000}"/>
    <cellStyle name="SAPBEXHLevel0 5" xfId="1353" xr:uid="{00000000-0005-0000-0000-00001A060000}"/>
    <cellStyle name="SAPBEXHLevel0 6" xfId="1354" xr:uid="{00000000-0005-0000-0000-00001B060000}"/>
    <cellStyle name="SAPBEXHLevel0 7" xfId="1355" xr:uid="{00000000-0005-0000-0000-00001C060000}"/>
    <cellStyle name="SAPBEXHLevel0 8" xfId="1356" xr:uid="{00000000-0005-0000-0000-00001D060000}"/>
    <cellStyle name="SAPBEXHLevel0 9" xfId="1357" xr:uid="{00000000-0005-0000-0000-00001E060000}"/>
    <cellStyle name="SAPBEXHLevel0X" xfId="1358" xr:uid="{00000000-0005-0000-0000-00001F060000}"/>
    <cellStyle name="SAPBEXHLevel0X 10" xfId="1359" xr:uid="{00000000-0005-0000-0000-000020060000}"/>
    <cellStyle name="SAPBEXHLevel0X 11" xfId="1360" xr:uid="{00000000-0005-0000-0000-000021060000}"/>
    <cellStyle name="SAPBEXHLevel0X 12" xfId="1361" xr:uid="{00000000-0005-0000-0000-000022060000}"/>
    <cellStyle name="SAPBEXHLevel0X 13" xfId="1362" xr:uid="{00000000-0005-0000-0000-000023060000}"/>
    <cellStyle name="SAPBEXHLevel0X 14" xfId="1363" xr:uid="{00000000-0005-0000-0000-000024060000}"/>
    <cellStyle name="SAPBEXHLevel0X 15" xfId="1364" xr:uid="{00000000-0005-0000-0000-000025060000}"/>
    <cellStyle name="SAPBEXHLevel0X 16" xfId="1365" xr:uid="{00000000-0005-0000-0000-000026060000}"/>
    <cellStyle name="SAPBEXHLevel0X 17" xfId="1366" xr:uid="{00000000-0005-0000-0000-000027060000}"/>
    <cellStyle name="SAPBEXHLevel0X 18" xfId="1367" xr:uid="{00000000-0005-0000-0000-000028060000}"/>
    <cellStyle name="SAPBEXHLevel0X 2" xfId="1368" xr:uid="{00000000-0005-0000-0000-000029060000}"/>
    <cellStyle name="SAPBEXHLevel0X 3" xfId="1369" xr:uid="{00000000-0005-0000-0000-00002A060000}"/>
    <cellStyle name="SAPBEXHLevel0X 4" xfId="1370" xr:uid="{00000000-0005-0000-0000-00002B060000}"/>
    <cellStyle name="SAPBEXHLevel0X 5" xfId="1371" xr:uid="{00000000-0005-0000-0000-00002C060000}"/>
    <cellStyle name="SAPBEXHLevel0X 6" xfId="1372" xr:uid="{00000000-0005-0000-0000-00002D060000}"/>
    <cellStyle name="SAPBEXHLevel0X 7" xfId="1373" xr:uid="{00000000-0005-0000-0000-00002E060000}"/>
    <cellStyle name="SAPBEXHLevel0X 8" xfId="1374" xr:uid="{00000000-0005-0000-0000-00002F060000}"/>
    <cellStyle name="SAPBEXHLevel0X 9" xfId="1375" xr:uid="{00000000-0005-0000-0000-000030060000}"/>
    <cellStyle name="SAPBEXHLevel1" xfId="1376" xr:uid="{00000000-0005-0000-0000-000031060000}"/>
    <cellStyle name="SAPBEXHLevel1 10" xfId="1377" xr:uid="{00000000-0005-0000-0000-000032060000}"/>
    <cellStyle name="SAPBEXHLevel1 11" xfId="1378" xr:uid="{00000000-0005-0000-0000-000033060000}"/>
    <cellStyle name="SAPBEXHLevel1 12" xfId="1379" xr:uid="{00000000-0005-0000-0000-000034060000}"/>
    <cellStyle name="SAPBEXHLevel1 13" xfId="1380" xr:uid="{00000000-0005-0000-0000-000035060000}"/>
    <cellStyle name="SAPBEXHLevel1 14" xfId="1381" xr:uid="{00000000-0005-0000-0000-000036060000}"/>
    <cellStyle name="SAPBEXHLevel1 15" xfId="1382" xr:uid="{00000000-0005-0000-0000-000037060000}"/>
    <cellStyle name="SAPBEXHLevel1 16" xfId="1383" xr:uid="{00000000-0005-0000-0000-000038060000}"/>
    <cellStyle name="SAPBEXHLevel1 17" xfId="1384" xr:uid="{00000000-0005-0000-0000-000039060000}"/>
    <cellStyle name="SAPBEXHLevel1 18" xfId="1385" xr:uid="{00000000-0005-0000-0000-00003A060000}"/>
    <cellStyle name="SAPBEXHLevel1 2" xfId="1386" xr:uid="{00000000-0005-0000-0000-00003B060000}"/>
    <cellStyle name="SAPBEXHLevel1 3" xfId="1387" xr:uid="{00000000-0005-0000-0000-00003C060000}"/>
    <cellStyle name="SAPBEXHLevel1 4" xfId="1388" xr:uid="{00000000-0005-0000-0000-00003D060000}"/>
    <cellStyle name="SAPBEXHLevel1 5" xfId="1389" xr:uid="{00000000-0005-0000-0000-00003E060000}"/>
    <cellStyle name="SAPBEXHLevel1 6" xfId="1390" xr:uid="{00000000-0005-0000-0000-00003F060000}"/>
    <cellStyle name="SAPBEXHLevel1 7" xfId="1391" xr:uid="{00000000-0005-0000-0000-000040060000}"/>
    <cellStyle name="SAPBEXHLevel1 8" xfId="1392" xr:uid="{00000000-0005-0000-0000-000041060000}"/>
    <cellStyle name="SAPBEXHLevel1 9" xfId="1393" xr:uid="{00000000-0005-0000-0000-000042060000}"/>
    <cellStyle name="SAPBEXHLevel1X" xfId="1394" xr:uid="{00000000-0005-0000-0000-000043060000}"/>
    <cellStyle name="SAPBEXHLevel1X 10" xfId="1395" xr:uid="{00000000-0005-0000-0000-000044060000}"/>
    <cellStyle name="SAPBEXHLevel1X 11" xfId="1396" xr:uid="{00000000-0005-0000-0000-000045060000}"/>
    <cellStyle name="SAPBEXHLevel1X 12" xfId="1397" xr:uid="{00000000-0005-0000-0000-000046060000}"/>
    <cellStyle name="SAPBEXHLevel1X 13" xfId="1398" xr:uid="{00000000-0005-0000-0000-000047060000}"/>
    <cellStyle name="SAPBEXHLevel1X 14" xfId="1399" xr:uid="{00000000-0005-0000-0000-000048060000}"/>
    <cellStyle name="SAPBEXHLevel1X 15" xfId="1400" xr:uid="{00000000-0005-0000-0000-000049060000}"/>
    <cellStyle name="SAPBEXHLevel1X 16" xfId="1401" xr:uid="{00000000-0005-0000-0000-00004A060000}"/>
    <cellStyle name="SAPBEXHLevel1X 17" xfId="1402" xr:uid="{00000000-0005-0000-0000-00004B060000}"/>
    <cellStyle name="SAPBEXHLevel1X 18" xfId="1403" xr:uid="{00000000-0005-0000-0000-00004C060000}"/>
    <cellStyle name="SAPBEXHLevel1X 2" xfId="1404" xr:uid="{00000000-0005-0000-0000-00004D060000}"/>
    <cellStyle name="SAPBEXHLevel1X 3" xfId="1405" xr:uid="{00000000-0005-0000-0000-00004E060000}"/>
    <cellStyle name="SAPBEXHLevel1X 4" xfId="1406" xr:uid="{00000000-0005-0000-0000-00004F060000}"/>
    <cellStyle name="SAPBEXHLevel1X 5" xfId="1407" xr:uid="{00000000-0005-0000-0000-000050060000}"/>
    <cellStyle name="SAPBEXHLevel1X 6" xfId="1408" xr:uid="{00000000-0005-0000-0000-000051060000}"/>
    <cellStyle name="SAPBEXHLevel1X 7" xfId="1409" xr:uid="{00000000-0005-0000-0000-000052060000}"/>
    <cellStyle name="SAPBEXHLevel1X 8" xfId="1410" xr:uid="{00000000-0005-0000-0000-000053060000}"/>
    <cellStyle name="SAPBEXHLevel1X 9" xfId="1411" xr:uid="{00000000-0005-0000-0000-000054060000}"/>
    <cellStyle name="SAPBEXHLevel2" xfId="1412" xr:uid="{00000000-0005-0000-0000-000055060000}"/>
    <cellStyle name="SAPBEXHLevel2 10" xfId="1413" xr:uid="{00000000-0005-0000-0000-000056060000}"/>
    <cellStyle name="SAPBEXHLevel2 11" xfId="1414" xr:uid="{00000000-0005-0000-0000-000057060000}"/>
    <cellStyle name="SAPBEXHLevel2 12" xfId="1415" xr:uid="{00000000-0005-0000-0000-000058060000}"/>
    <cellStyle name="SAPBEXHLevel2 13" xfId="1416" xr:uid="{00000000-0005-0000-0000-000059060000}"/>
    <cellStyle name="SAPBEXHLevel2 14" xfId="1417" xr:uid="{00000000-0005-0000-0000-00005A060000}"/>
    <cellStyle name="SAPBEXHLevel2 15" xfId="1418" xr:uid="{00000000-0005-0000-0000-00005B060000}"/>
    <cellStyle name="SAPBEXHLevel2 16" xfId="1419" xr:uid="{00000000-0005-0000-0000-00005C060000}"/>
    <cellStyle name="SAPBEXHLevel2 17" xfId="1420" xr:uid="{00000000-0005-0000-0000-00005D060000}"/>
    <cellStyle name="SAPBEXHLevel2 18" xfId="1421" xr:uid="{00000000-0005-0000-0000-00005E060000}"/>
    <cellStyle name="SAPBEXHLevel2 2" xfId="1422" xr:uid="{00000000-0005-0000-0000-00005F060000}"/>
    <cellStyle name="SAPBEXHLevel2 3" xfId="1423" xr:uid="{00000000-0005-0000-0000-000060060000}"/>
    <cellStyle name="SAPBEXHLevel2 4" xfId="1424" xr:uid="{00000000-0005-0000-0000-000061060000}"/>
    <cellStyle name="SAPBEXHLevel2 5" xfId="1425" xr:uid="{00000000-0005-0000-0000-000062060000}"/>
    <cellStyle name="SAPBEXHLevel2 6" xfId="1426" xr:uid="{00000000-0005-0000-0000-000063060000}"/>
    <cellStyle name="SAPBEXHLevel2 7" xfId="1427" xr:uid="{00000000-0005-0000-0000-000064060000}"/>
    <cellStyle name="SAPBEXHLevel2 8" xfId="1428" xr:uid="{00000000-0005-0000-0000-000065060000}"/>
    <cellStyle name="SAPBEXHLevel2 9" xfId="1429" xr:uid="{00000000-0005-0000-0000-000066060000}"/>
    <cellStyle name="SAPBEXHLevel2X" xfId="1430" xr:uid="{00000000-0005-0000-0000-000067060000}"/>
    <cellStyle name="SAPBEXHLevel2X 10" xfId="1431" xr:uid="{00000000-0005-0000-0000-000068060000}"/>
    <cellStyle name="SAPBEXHLevel2X 11" xfId="1432" xr:uid="{00000000-0005-0000-0000-000069060000}"/>
    <cellStyle name="SAPBEXHLevel2X 12" xfId="1433" xr:uid="{00000000-0005-0000-0000-00006A060000}"/>
    <cellStyle name="SAPBEXHLevel2X 13" xfId="1434" xr:uid="{00000000-0005-0000-0000-00006B060000}"/>
    <cellStyle name="SAPBEXHLevel2X 14" xfId="1435" xr:uid="{00000000-0005-0000-0000-00006C060000}"/>
    <cellStyle name="SAPBEXHLevel2X 15" xfId="1436" xr:uid="{00000000-0005-0000-0000-00006D060000}"/>
    <cellStyle name="SAPBEXHLevel2X 16" xfId="1437" xr:uid="{00000000-0005-0000-0000-00006E060000}"/>
    <cellStyle name="SAPBEXHLevel2X 17" xfId="1438" xr:uid="{00000000-0005-0000-0000-00006F060000}"/>
    <cellStyle name="SAPBEXHLevel2X 18" xfId="1439" xr:uid="{00000000-0005-0000-0000-000070060000}"/>
    <cellStyle name="SAPBEXHLevel2X 2" xfId="1440" xr:uid="{00000000-0005-0000-0000-000071060000}"/>
    <cellStyle name="SAPBEXHLevel2X 3" xfId="1441" xr:uid="{00000000-0005-0000-0000-000072060000}"/>
    <cellStyle name="SAPBEXHLevel2X 4" xfId="1442" xr:uid="{00000000-0005-0000-0000-000073060000}"/>
    <cellStyle name="SAPBEXHLevel2X 5" xfId="1443" xr:uid="{00000000-0005-0000-0000-000074060000}"/>
    <cellStyle name="SAPBEXHLevel2X 6" xfId="1444" xr:uid="{00000000-0005-0000-0000-000075060000}"/>
    <cellStyle name="SAPBEXHLevel2X 7" xfId="1445" xr:uid="{00000000-0005-0000-0000-000076060000}"/>
    <cellStyle name="SAPBEXHLevel2X 8" xfId="1446" xr:uid="{00000000-0005-0000-0000-000077060000}"/>
    <cellStyle name="SAPBEXHLevel2X 9" xfId="1447" xr:uid="{00000000-0005-0000-0000-000078060000}"/>
    <cellStyle name="SAPBEXHLevel3" xfId="1448" xr:uid="{00000000-0005-0000-0000-000079060000}"/>
    <cellStyle name="SAPBEXHLevel3 10" xfId="1449" xr:uid="{00000000-0005-0000-0000-00007A060000}"/>
    <cellStyle name="SAPBEXHLevel3 11" xfId="1450" xr:uid="{00000000-0005-0000-0000-00007B060000}"/>
    <cellStyle name="SAPBEXHLevel3 12" xfId="1451" xr:uid="{00000000-0005-0000-0000-00007C060000}"/>
    <cellStyle name="SAPBEXHLevel3 13" xfId="1452" xr:uid="{00000000-0005-0000-0000-00007D060000}"/>
    <cellStyle name="SAPBEXHLevel3 14" xfId="1453" xr:uid="{00000000-0005-0000-0000-00007E060000}"/>
    <cellStyle name="SAPBEXHLevel3 15" xfId="1454" xr:uid="{00000000-0005-0000-0000-00007F060000}"/>
    <cellStyle name="SAPBEXHLevel3 16" xfId="1455" xr:uid="{00000000-0005-0000-0000-000080060000}"/>
    <cellStyle name="SAPBEXHLevel3 17" xfId="1456" xr:uid="{00000000-0005-0000-0000-000081060000}"/>
    <cellStyle name="SAPBEXHLevel3 18" xfId="1457" xr:uid="{00000000-0005-0000-0000-000082060000}"/>
    <cellStyle name="SAPBEXHLevel3 2" xfId="1458" xr:uid="{00000000-0005-0000-0000-000083060000}"/>
    <cellStyle name="SAPBEXHLevel3 3" xfId="1459" xr:uid="{00000000-0005-0000-0000-000084060000}"/>
    <cellStyle name="SAPBEXHLevel3 4" xfId="1460" xr:uid="{00000000-0005-0000-0000-000085060000}"/>
    <cellStyle name="SAPBEXHLevel3 5" xfId="1461" xr:uid="{00000000-0005-0000-0000-000086060000}"/>
    <cellStyle name="SAPBEXHLevel3 6" xfId="1462" xr:uid="{00000000-0005-0000-0000-000087060000}"/>
    <cellStyle name="SAPBEXHLevel3 7" xfId="1463" xr:uid="{00000000-0005-0000-0000-000088060000}"/>
    <cellStyle name="SAPBEXHLevel3 8" xfId="1464" xr:uid="{00000000-0005-0000-0000-000089060000}"/>
    <cellStyle name="SAPBEXHLevel3 9" xfId="1465" xr:uid="{00000000-0005-0000-0000-00008A060000}"/>
    <cellStyle name="SAPBEXHLevel3X" xfId="1466" xr:uid="{00000000-0005-0000-0000-00008B060000}"/>
    <cellStyle name="SAPBEXHLevel3X 10" xfId="1467" xr:uid="{00000000-0005-0000-0000-00008C060000}"/>
    <cellStyle name="SAPBEXHLevel3X 11" xfId="1468" xr:uid="{00000000-0005-0000-0000-00008D060000}"/>
    <cellStyle name="SAPBEXHLevel3X 12" xfId="1469" xr:uid="{00000000-0005-0000-0000-00008E060000}"/>
    <cellStyle name="SAPBEXHLevel3X 13" xfId="1470" xr:uid="{00000000-0005-0000-0000-00008F060000}"/>
    <cellStyle name="SAPBEXHLevel3X 14" xfId="1471" xr:uid="{00000000-0005-0000-0000-000090060000}"/>
    <cellStyle name="SAPBEXHLevel3X 15" xfId="1472" xr:uid="{00000000-0005-0000-0000-000091060000}"/>
    <cellStyle name="SAPBEXHLevel3X 16" xfId="1473" xr:uid="{00000000-0005-0000-0000-000092060000}"/>
    <cellStyle name="SAPBEXHLevel3X 17" xfId="1474" xr:uid="{00000000-0005-0000-0000-000093060000}"/>
    <cellStyle name="SAPBEXHLevel3X 18" xfId="1475" xr:uid="{00000000-0005-0000-0000-000094060000}"/>
    <cellStyle name="SAPBEXHLevel3X 2" xfId="1476" xr:uid="{00000000-0005-0000-0000-000095060000}"/>
    <cellStyle name="SAPBEXHLevel3X 3" xfId="1477" xr:uid="{00000000-0005-0000-0000-000096060000}"/>
    <cellStyle name="SAPBEXHLevel3X 4" xfId="1478" xr:uid="{00000000-0005-0000-0000-000097060000}"/>
    <cellStyle name="SAPBEXHLevel3X 5" xfId="1479" xr:uid="{00000000-0005-0000-0000-000098060000}"/>
    <cellStyle name="SAPBEXHLevel3X 6" xfId="1480" xr:uid="{00000000-0005-0000-0000-000099060000}"/>
    <cellStyle name="SAPBEXHLevel3X 7" xfId="1481" xr:uid="{00000000-0005-0000-0000-00009A060000}"/>
    <cellStyle name="SAPBEXHLevel3X 8" xfId="1482" xr:uid="{00000000-0005-0000-0000-00009B060000}"/>
    <cellStyle name="SAPBEXHLevel3X 9" xfId="1483" xr:uid="{00000000-0005-0000-0000-00009C060000}"/>
    <cellStyle name="SAPBEXresData" xfId="1484" xr:uid="{00000000-0005-0000-0000-00009D060000}"/>
    <cellStyle name="SAPBEXresData 10" xfId="1485" xr:uid="{00000000-0005-0000-0000-00009E060000}"/>
    <cellStyle name="SAPBEXresData 11" xfId="1486" xr:uid="{00000000-0005-0000-0000-00009F060000}"/>
    <cellStyle name="SAPBEXresData 12" xfId="1487" xr:uid="{00000000-0005-0000-0000-0000A0060000}"/>
    <cellStyle name="SAPBEXresData 13" xfId="1488" xr:uid="{00000000-0005-0000-0000-0000A1060000}"/>
    <cellStyle name="SAPBEXresData 14" xfId="1489" xr:uid="{00000000-0005-0000-0000-0000A2060000}"/>
    <cellStyle name="SAPBEXresData 15" xfId="1490" xr:uid="{00000000-0005-0000-0000-0000A3060000}"/>
    <cellStyle name="SAPBEXresData 16" xfId="1491" xr:uid="{00000000-0005-0000-0000-0000A4060000}"/>
    <cellStyle name="SAPBEXresData 17" xfId="1492" xr:uid="{00000000-0005-0000-0000-0000A5060000}"/>
    <cellStyle name="SAPBEXresData 18" xfId="1493" xr:uid="{00000000-0005-0000-0000-0000A6060000}"/>
    <cellStyle name="SAPBEXresData 2" xfId="1494" xr:uid="{00000000-0005-0000-0000-0000A7060000}"/>
    <cellStyle name="SAPBEXresData 3" xfId="1495" xr:uid="{00000000-0005-0000-0000-0000A8060000}"/>
    <cellStyle name="SAPBEXresData 4" xfId="1496" xr:uid="{00000000-0005-0000-0000-0000A9060000}"/>
    <cellStyle name="SAPBEXresData 5" xfId="1497" xr:uid="{00000000-0005-0000-0000-0000AA060000}"/>
    <cellStyle name="SAPBEXresData 6" xfId="1498" xr:uid="{00000000-0005-0000-0000-0000AB060000}"/>
    <cellStyle name="SAPBEXresData 7" xfId="1499" xr:uid="{00000000-0005-0000-0000-0000AC060000}"/>
    <cellStyle name="SAPBEXresData 8" xfId="1500" xr:uid="{00000000-0005-0000-0000-0000AD060000}"/>
    <cellStyle name="SAPBEXresData 9" xfId="1501" xr:uid="{00000000-0005-0000-0000-0000AE060000}"/>
    <cellStyle name="SAPBEXresDataEmph" xfId="1502" xr:uid="{00000000-0005-0000-0000-0000AF060000}"/>
    <cellStyle name="SAPBEXresDataEmph 10" xfId="1503" xr:uid="{00000000-0005-0000-0000-0000B0060000}"/>
    <cellStyle name="SAPBEXresDataEmph 11" xfId="1504" xr:uid="{00000000-0005-0000-0000-0000B1060000}"/>
    <cellStyle name="SAPBEXresDataEmph 12" xfId="1505" xr:uid="{00000000-0005-0000-0000-0000B2060000}"/>
    <cellStyle name="SAPBEXresDataEmph 13" xfId="1506" xr:uid="{00000000-0005-0000-0000-0000B3060000}"/>
    <cellStyle name="SAPBEXresDataEmph 14" xfId="1507" xr:uid="{00000000-0005-0000-0000-0000B4060000}"/>
    <cellStyle name="SAPBEXresDataEmph 15" xfId="1508" xr:uid="{00000000-0005-0000-0000-0000B5060000}"/>
    <cellStyle name="SAPBEXresDataEmph 16" xfId="1509" xr:uid="{00000000-0005-0000-0000-0000B6060000}"/>
    <cellStyle name="SAPBEXresDataEmph 17" xfId="1510" xr:uid="{00000000-0005-0000-0000-0000B7060000}"/>
    <cellStyle name="SAPBEXresDataEmph 18" xfId="1511" xr:uid="{00000000-0005-0000-0000-0000B8060000}"/>
    <cellStyle name="SAPBEXresDataEmph 2" xfId="1512" xr:uid="{00000000-0005-0000-0000-0000B9060000}"/>
    <cellStyle name="SAPBEXresDataEmph 3" xfId="1513" xr:uid="{00000000-0005-0000-0000-0000BA060000}"/>
    <cellStyle name="SAPBEXresDataEmph 4" xfId="1514" xr:uid="{00000000-0005-0000-0000-0000BB060000}"/>
    <cellStyle name="SAPBEXresDataEmph 5" xfId="1515" xr:uid="{00000000-0005-0000-0000-0000BC060000}"/>
    <cellStyle name="SAPBEXresDataEmph 6" xfId="1516" xr:uid="{00000000-0005-0000-0000-0000BD060000}"/>
    <cellStyle name="SAPBEXresDataEmph 7" xfId="1517" xr:uid="{00000000-0005-0000-0000-0000BE060000}"/>
    <cellStyle name="SAPBEXresDataEmph 8" xfId="1518" xr:uid="{00000000-0005-0000-0000-0000BF060000}"/>
    <cellStyle name="SAPBEXresDataEmph 9" xfId="1519" xr:uid="{00000000-0005-0000-0000-0000C0060000}"/>
    <cellStyle name="SAPBEXresItem" xfId="1520" xr:uid="{00000000-0005-0000-0000-0000C1060000}"/>
    <cellStyle name="SAPBEXresItem 10" xfId="1521" xr:uid="{00000000-0005-0000-0000-0000C2060000}"/>
    <cellStyle name="SAPBEXresItem 11" xfId="1522" xr:uid="{00000000-0005-0000-0000-0000C3060000}"/>
    <cellStyle name="SAPBEXresItem 12" xfId="1523" xr:uid="{00000000-0005-0000-0000-0000C4060000}"/>
    <cellStyle name="SAPBEXresItem 13" xfId="1524" xr:uid="{00000000-0005-0000-0000-0000C5060000}"/>
    <cellStyle name="SAPBEXresItem 14" xfId="1525" xr:uid="{00000000-0005-0000-0000-0000C6060000}"/>
    <cellStyle name="SAPBEXresItem 15" xfId="1526" xr:uid="{00000000-0005-0000-0000-0000C7060000}"/>
    <cellStyle name="SAPBEXresItem 16" xfId="1527" xr:uid="{00000000-0005-0000-0000-0000C8060000}"/>
    <cellStyle name="SAPBEXresItem 17" xfId="1528" xr:uid="{00000000-0005-0000-0000-0000C9060000}"/>
    <cellStyle name="SAPBEXresItem 18" xfId="1529" xr:uid="{00000000-0005-0000-0000-0000CA060000}"/>
    <cellStyle name="SAPBEXresItem 2" xfId="1530" xr:uid="{00000000-0005-0000-0000-0000CB060000}"/>
    <cellStyle name="SAPBEXresItem 3" xfId="1531" xr:uid="{00000000-0005-0000-0000-0000CC060000}"/>
    <cellStyle name="SAPBEXresItem 4" xfId="1532" xr:uid="{00000000-0005-0000-0000-0000CD060000}"/>
    <cellStyle name="SAPBEXresItem 5" xfId="1533" xr:uid="{00000000-0005-0000-0000-0000CE060000}"/>
    <cellStyle name="SAPBEXresItem 6" xfId="1534" xr:uid="{00000000-0005-0000-0000-0000CF060000}"/>
    <cellStyle name="SAPBEXresItem 7" xfId="1535" xr:uid="{00000000-0005-0000-0000-0000D0060000}"/>
    <cellStyle name="SAPBEXresItem 8" xfId="1536" xr:uid="{00000000-0005-0000-0000-0000D1060000}"/>
    <cellStyle name="SAPBEXresItem 9" xfId="1537" xr:uid="{00000000-0005-0000-0000-0000D2060000}"/>
    <cellStyle name="SAPBEXresItemX" xfId="1538" xr:uid="{00000000-0005-0000-0000-0000D3060000}"/>
    <cellStyle name="SAPBEXresItemX 10" xfId="1539" xr:uid="{00000000-0005-0000-0000-0000D4060000}"/>
    <cellStyle name="SAPBEXresItemX 11" xfId="1540" xr:uid="{00000000-0005-0000-0000-0000D5060000}"/>
    <cellStyle name="SAPBEXresItemX 12" xfId="1541" xr:uid="{00000000-0005-0000-0000-0000D6060000}"/>
    <cellStyle name="SAPBEXresItemX 13" xfId="1542" xr:uid="{00000000-0005-0000-0000-0000D7060000}"/>
    <cellStyle name="SAPBEXresItemX 14" xfId="1543" xr:uid="{00000000-0005-0000-0000-0000D8060000}"/>
    <cellStyle name="SAPBEXresItemX 15" xfId="1544" xr:uid="{00000000-0005-0000-0000-0000D9060000}"/>
    <cellStyle name="SAPBEXresItemX 16" xfId="1545" xr:uid="{00000000-0005-0000-0000-0000DA060000}"/>
    <cellStyle name="SAPBEXresItemX 17" xfId="1546" xr:uid="{00000000-0005-0000-0000-0000DB060000}"/>
    <cellStyle name="SAPBEXresItemX 18" xfId="1547" xr:uid="{00000000-0005-0000-0000-0000DC060000}"/>
    <cellStyle name="SAPBEXresItemX 2" xfId="1548" xr:uid="{00000000-0005-0000-0000-0000DD060000}"/>
    <cellStyle name="SAPBEXresItemX 3" xfId="1549" xr:uid="{00000000-0005-0000-0000-0000DE060000}"/>
    <cellStyle name="SAPBEXresItemX 4" xfId="1550" xr:uid="{00000000-0005-0000-0000-0000DF060000}"/>
    <cellStyle name="SAPBEXresItemX 5" xfId="1551" xr:uid="{00000000-0005-0000-0000-0000E0060000}"/>
    <cellStyle name="SAPBEXresItemX 6" xfId="1552" xr:uid="{00000000-0005-0000-0000-0000E1060000}"/>
    <cellStyle name="SAPBEXresItemX 7" xfId="1553" xr:uid="{00000000-0005-0000-0000-0000E2060000}"/>
    <cellStyle name="SAPBEXresItemX 8" xfId="1554" xr:uid="{00000000-0005-0000-0000-0000E3060000}"/>
    <cellStyle name="SAPBEXresItemX 9" xfId="1555" xr:uid="{00000000-0005-0000-0000-0000E4060000}"/>
    <cellStyle name="SAPBEXstdData" xfId="1556" xr:uid="{00000000-0005-0000-0000-0000E5060000}"/>
    <cellStyle name="SAPBEXstdData 10" xfId="1557" xr:uid="{00000000-0005-0000-0000-0000E6060000}"/>
    <cellStyle name="SAPBEXstdData 11" xfId="1558" xr:uid="{00000000-0005-0000-0000-0000E7060000}"/>
    <cellStyle name="SAPBEXstdData 12" xfId="1559" xr:uid="{00000000-0005-0000-0000-0000E8060000}"/>
    <cellStyle name="SAPBEXstdData 13" xfId="1560" xr:uid="{00000000-0005-0000-0000-0000E9060000}"/>
    <cellStyle name="SAPBEXstdData 14" xfId="1561" xr:uid="{00000000-0005-0000-0000-0000EA060000}"/>
    <cellStyle name="SAPBEXstdData 15" xfId="1562" xr:uid="{00000000-0005-0000-0000-0000EB060000}"/>
    <cellStyle name="SAPBEXstdData 16" xfId="1563" xr:uid="{00000000-0005-0000-0000-0000EC060000}"/>
    <cellStyle name="SAPBEXstdData 17" xfId="1564" xr:uid="{00000000-0005-0000-0000-0000ED060000}"/>
    <cellStyle name="SAPBEXstdData 18" xfId="1565" xr:uid="{00000000-0005-0000-0000-0000EE060000}"/>
    <cellStyle name="SAPBEXstdData 19" xfId="1566" xr:uid="{00000000-0005-0000-0000-0000EF060000}"/>
    <cellStyle name="SAPBEXstdData 2" xfId="1567" xr:uid="{00000000-0005-0000-0000-0000F0060000}"/>
    <cellStyle name="SAPBEXstdData 20" xfId="1568" xr:uid="{00000000-0005-0000-0000-0000F1060000}"/>
    <cellStyle name="SAPBEXstdData 21" xfId="1569" xr:uid="{00000000-0005-0000-0000-0000F2060000}"/>
    <cellStyle name="SAPBEXstdData 3" xfId="1570" xr:uid="{00000000-0005-0000-0000-0000F3060000}"/>
    <cellStyle name="SAPBEXstdData 4" xfId="1571" xr:uid="{00000000-0005-0000-0000-0000F4060000}"/>
    <cellStyle name="SAPBEXstdData 5" xfId="1572" xr:uid="{00000000-0005-0000-0000-0000F5060000}"/>
    <cellStyle name="SAPBEXstdData 6" xfId="1573" xr:uid="{00000000-0005-0000-0000-0000F6060000}"/>
    <cellStyle name="SAPBEXstdData 7" xfId="1574" xr:uid="{00000000-0005-0000-0000-0000F7060000}"/>
    <cellStyle name="SAPBEXstdData 8" xfId="1575" xr:uid="{00000000-0005-0000-0000-0000F8060000}"/>
    <cellStyle name="SAPBEXstdData 9" xfId="1576" xr:uid="{00000000-0005-0000-0000-0000F9060000}"/>
    <cellStyle name="SAPBEXstdDataEmph" xfId="1577" xr:uid="{00000000-0005-0000-0000-0000FA060000}"/>
    <cellStyle name="SAPBEXstdDataEmph 10" xfId="1578" xr:uid="{00000000-0005-0000-0000-0000FB060000}"/>
    <cellStyle name="SAPBEXstdDataEmph 11" xfId="1579" xr:uid="{00000000-0005-0000-0000-0000FC060000}"/>
    <cellStyle name="SAPBEXstdDataEmph 12" xfId="1580" xr:uid="{00000000-0005-0000-0000-0000FD060000}"/>
    <cellStyle name="SAPBEXstdDataEmph 13" xfId="1581" xr:uid="{00000000-0005-0000-0000-0000FE060000}"/>
    <cellStyle name="SAPBEXstdDataEmph 14" xfId="1582" xr:uid="{00000000-0005-0000-0000-0000FF060000}"/>
    <cellStyle name="SAPBEXstdDataEmph 15" xfId="1583" xr:uid="{00000000-0005-0000-0000-000000070000}"/>
    <cellStyle name="SAPBEXstdDataEmph 16" xfId="1584" xr:uid="{00000000-0005-0000-0000-000001070000}"/>
    <cellStyle name="SAPBEXstdDataEmph 17" xfId="1585" xr:uid="{00000000-0005-0000-0000-000002070000}"/>
    <cellStyle name="SAPBEXstdDataEmph 18" xfId="1586" xr:uid="{00000000-0005-0000-0000-000003070000}"/>
    <cellStyle name="SAPBEXstdDataEmph 2" xfId="1587" xr:uid="{00000000-0005-0000-0000-000004070000}"/>
    <cellStyle name="SAPBEXstdDataEmph 3" xfId="1588" xr:uid="{00000000-0005-0000-0000-000005070000}"/>
    <cellStyle name="SAPBEXstdDataEmph 4" xfId="1589" xr:uid="{00000000-0005-0000-0000-000006070000}"/>
    <cellStyle name="SAPBEXstdDataEmph 5" xfId="1590" xr:uid="{00000000-0005-0000-0000-000007070000}"/>
    <cellStyle name="SAPBEXstdDataEmph 6" xfId="1591" xr:uid="{00000000-0005-0000-0000-000008070000}"/>
    <cellStyle name="SAPBEXstdDataEmph 7" xfId="1592" xr:uid="{00000000-0005-0000-0000-000009070000}"/>
    <cellStyle name="SAPBEXstdDataEmph 8" xfId="1593" xr:uid="{00000000-0005-0000-0000-00000A070000}"/>
    <cellStyle name="SAPBEXstdDataEmph 9" xfId="1594" xr:uid="{00000000-0005-0000-0000-00000B070000}"/>
    <cellStyle name="SAPBEXstdItem" xfId="1595" xr:uid="{00000000-0005-0000-0000-00000C070000}"/>
    <cellStyle name="SAPBEXstdItem 10" xfId="1596" xr:uid="{00000000-0005-0000-0000-00000D070000}"/>
    <cellStyle name="SAPBEXstdItem 11" xfId="1597" xr:uid="{00000000-0005-0000-0000-00000E070000}"/>
    <cellStyle name="SAPBEXstdItem 12" xfId="1598" xr:uid="{00000000-0005-0000-0000-00000F070000}"/>
    <cellStyle name="SAPBEXstdItem 13" xfId="1599" xr:uid="{00000000-0005-0000-0000-000010070000}"/>
    <cellStyle name="SAPBEXstdItem 14" xfId="1600" xr:uid="{00000000-0005-0000-0000-000011070000}"/>
    <cellStyle name="SAPBEXstdItem 15" xfId="1601" xr:uid="{00000000-0005-0000-0000-000012070000}"/>
    <cellStyle name="SAPBEXstdItem 16" xfId="1602" xr:uid="{00000000-0005-0000-0000-000013070000}"/>
    <cellStyle name="SAPBEXstdItem 17" xfId="1603" xr:uid="{00000000-0005-0000-0000-000014070000}"/>
    <cellStyle name="SAPBEXstdItem 18" xfId="1604" xr:uid="{00000000-0005-0000-0000-000015070000}"/>
    <cellStyle name="SAPBEXstdItem 19" xfId="1605" xr:uid="{00000000-0005-0000-0000-000016070000}"/>
    <cellStyle name="SAPBEXstdItem 2" xfId="1606" xr:uid="{00000000-0005-0000-0000-000017070000}"/>
    <cellStyle name="SAPBEXstdItem 20" xfId="1607" xr:uid="{00000000-0005-0000-0000-000018070000}"/>
    <cellStyle name="SAPBEXstdItem 21" xfId="1608" xr:uid="{00000000-0005-0000-0000-000019070000}"/>
    <cellStyle name="SAPBEXstdItem 3" xfId="1609" xr:uid="{00000000-0005-0000-0000-00001A070000}"/>
    <cellStyle name="SAPBEXstdItem 4" xfId="1610" xr:uid="{00000000-0005-0000-0000-00001B070000}"/>
    <cellStyle name="SAPBEXstdItem 5" xfId="1611" xr:uid="{00000000-0005-0000-0000-00001C070000}"/>
    <cellStyle name="SAPBEXstdItem 6" xfId="1612" xr:uid="{00000000-0005-0000-0000-00001D070000}"/>
    <cellStyle name="SAPBEXstdItem 7" xfId="1613" xr:uid="{00000000-0005-0000-0000-00001E070000}"/>
    <cellStyle name="SAPBEXstdItem 8" xfId="1614" xr:uid="{00000000-0005-0000-0000-00001F070000}"/>
    <cellStyle name="SAPBEXstdItem 9" xfId="1615" xr:uid="{00000000-0005-0000-0000-000020070000}"/>
    <cellStyle name="SAPBEXstdItemX" xfId="1616" xr:uid="{00000000-0005-0000-0000-000021070000}"/>
    <cellStyle name="SAPBEXstdItemX 10" xfId="1617" xr:uid="{00000000-0005-0000-0000-000022070000}"/>
    <cellStyle name="SAPBEXstdItemX 11" xfId="1618" xr:uid="{00000000-0005-0000-0000-000023070000}"/>
    <cellStyle name="SAPBEXstdItemX 12" xfId="1619" xr:uid="{00000000-0005-0000-0000-000024070000}"/>
    <cellStyle name="SAPBEXstdItemX 13" xfId="1620" xr:uid="{00000000-0005-0000-0000-000025070000}"/>
    <cellStyle name="SAPBEXstdItemX 14" xfId="1621" xr:uid="{00000000-0005-0000-0000-000026070000}"/>
    <cellStyle name="SAPBEXstdItemX 15" xfId="1622" xr:uid="{00000000-0005-0000-0000-000027070000}"/>
    <cellStyle name="SAPBEXstdItemX 16" xfId="1623" xr:uid="{00000000-0005-0000-0000-000028070000}"/>
    <cellStyle name="SAPBEXstdItemX 17" xfId="1624" xr:uid="{00000000-0005-0000-0000-000029070000}"/>
    <cellStyle name="SAPBEXstdItemX 18" xfId="1625" xr:uid="{00000000-0005-0000-0000-00002A070000}"/>
    <cellStyle name="SAPBEXstdItemX 2" xfId="1626" xr:uid="{00000000-0005-0000-0000-00002B070000}"/>
    <cellStyle name="SAPBEXstdItemX 3" xfId="1627" xr:uid="{00000000-0005-0000-0000-00002C070000}"/>
    <cellStyle name="SAPBEXstdItemX 4" xfId="1628" xr:uid="{00000000-0005-0000-0000-00002D070000}"/>
    <cellStyle name="SAPBEXstdItemX 5" xfId="1629" xr:uid="{00000000-0005-0000-0000-00002E070000}"/>
    <cellStyle name="SAPBEXstdItemX 6" xfId="1630" xr:uid="{00000000-0005-0000-0000-00002F070000}"/>
    <cellStyle name="SAPBEXstdItemX 7" xfId="1631" xr:uid="{00000000-0005-0000-0000-000030070000}"/>
    <cellStyle name="SAPBEXstdItemX 8" xfId="1632" xr:uid="{00000000-0005-0000-0000-000031070000}"/>
    <cellStyle name="SAPBEXstdItemX 9" xfId="1633" xr:uid="{00000000-0005-0000-0000-000032070000}"/>
    <cellStyle name="SAPBEXtitle" xfId="1634" xr:uid="{00000000-0005-0000-0000-000033070000}"/>
    <cellStyle name="SAPBEXundefined" xfId="1635" xr:uid="{00000000-0005-0000-0000-000034070000}"/>
    <cellStyle name="SAPBEXundefined 10" xfId="1636" xr:uid="{00000000-0005-0000-0000-000035070000}"/>
    <cellStyle name="SAPBEXundefined 11" xfId="1637" xr:uid="{00000000-0005-0000-0000-000036070000}"/>
    <cellStyle name="SAPBEXundefined 12" xfId="1638" xr:uid="{00000000-0005-0000-0000-000037070000}"/>
    <cellStyle name="SAPBEXundefined 13" xfId="1639" xr:uid="{00000000-0005-0000-0000-000038070000}"/>
    <cellStyle name="SAPBEXundefined 14" xfId="1640" xr:uid="{00000000-0005-0000-0000-000039070000}"/>
    <cellStyle name="SAPBEXundefined 15" xfId="1641" xr:uid="{00000000-0005-0000-0000-00003A070000}"/>
    <cellStyle name="SAPBEXundefined 16" xfId="1642" xr:uid="{00000000-0005-0000-0000-00003B070000}"/>
    <cellStyle name="SAPBEXundefined 17" xfId="1643" xr:uid="{00000000-0005-0000-0000-00003C070000}"/>
    <cellStyle name="SAPBEXundefined 18" xfId="1644" xr:uid="{00000000-0005-0000-0000-00003D070000}"/>
    <cellStyle name="SAPBEXundefined 2" xfId="1645" xr:uid="{00000000-0005-0000-0000-00003E070000}"/>
    <cellStyle name="SAPBEXundefined 3" xfId="1646" xr:uid="{00000000-0005-0000-0000-00003F070000}"/>
    <cellStyle name="SAPBEXundefined 4" xfId="1647" xr:uid="{00000000-0005-0000-0000-000040070000}"/>
    <cellStyle name="SAPBEXundefined 5" xfId="1648" xr:uid="{00000000-0005-0000-0000-000041070000}"/>
    <cellStyle name="SAPBEXundefined 6" xfId="1649" xr:uid="{00000000-0005-0000-0000-000042070000}"/>
    <cellStyle name="SAPBEXundefined 7" xfId="1650" xr:uid="{00000000-0005-0000-0000-000043070000}"/>
    <cellStyle name="SAPBEXundefined 8" xfId="1651" xr:uid="{00000000-0005-0000-0000-000044070000}"/>
    <cellStyle name="SAPBEXundefined 9" xfId="1652" xr:uid="{00000000-0005-0000-0000-000045070000}"/>
    <cellStyle name="SAPBorder" xfId="1653" xr:uid="{00000000-0005-0000-0000-000046070000}"/>
    <cellStyle name="SAPBorder 2" xfId="1654" xr:uid="{00000000-0005-0000-0000-000047070000}"/>
    <cellStyle name="SAPBorder 3" xfId="3218" xr:uid="{00000000-0005-0000-0000-000048070000}"/>
    <cellStyle name="SAPDataCell" xfId="1655" xr:uid="{00000000-0005-0000-0000-000049070000}"/>
    <cellStyle name="SAPDataRemoved" xfId="1656" xr:uid="{00000000-0005-0000-0000-00004A070000}"/>
    <cellStyle name="SAPDataTotalCell" xfId="1657" xr:uid="{00000000-0005-0000-0000-00004B070000}"/>
    <cellStyle name="SAPDimensionCell" xfId="1658" xr:uid="{00000000-0005-0000-0000-00004C070000}"/>
    <cellStyle name="SAPEditableDataCell" xfId="1659" xr:uid="{00000000-0005-0000-0000-00004D070000}"/>
    <cellStyle name="SAPEditableDataTotalCell" xfId="1660" xr:uid="{00000000-0005-0000-0000-00004E070000}"/>
    <cellStyle name="SAPEmphasized" xfId="1661" xr:uid="{00000000-0005-0000-0000-00004F070000}"/>
    <cellStyle name="SAPEmphasized 2" xfId="1662" xr:uid="{00000000-0005-0000-0000-000050070000}"/>
    <cellStyle name="SAPEmphasized 3" xfId="3227" xr:uid="{00000000-0005-0000-0000-000051070000}"/>
    <cellStyle name="SAPEmphasizedEditableDataCell" xfId="1663" xr:uid="{00000000-0005-0000-0000-000052070000}"/>
    <cellStyle name="SAPEmphasizedEditableDataTotalCell" xfId="1664" xr:uid="{00000000-0005-0000-0000-000053070000}"/>
    <cellStyle name="SAPEmphasizedLockedDataCell" xfId="1665" xr:uid="{00000000-0005-0000-0000-000054070000}"/>
    <cellStyle name="SAPEmphasizedLockedDataCell 2" xfId="1666" xr:uid="{00000000-0005-0000-0000-000055070000}"/>
    <cellStyle name="SAPEmphasizedLockedDataCell 3" xfId="3229" xr:uid="{00000000-0005-0000-0000-000056070000}"/>
    <cellStyle name="SAPEmphasizedLockedDataTotalCell" xfId="1667" xr:uid="{00000000-0005-0000-0000-000057070000}"/>
    <cellStyle name="SAPEmphasizedLockedDataTotalCell 2" xfId="1668" xr:uid="{00000000-0005-0000-0000-000058070000}"/>
    <cellStyle name="SAPEmphasizedLockedDataTotalCell 3" xfId="3230" xr:uid="{00000000-0005-0000-0000-000059070000}"/>
    <cellStyle name="SAPEmphasizedReadonlyDataCell" xfId="1669" xr:uid="{00000000-0005-0000-0000-00005A070000}"/>
    <cellStyle name="SAPEmphasizedReadonlyDataTotalCell" xfId="1670" xr:uid="{00000000-0005-0000-0000-00005B070000}"/>
    <cellStyle name="SAPEmphasizedTotal" xfId="1671" xr:uid="{00000000-0005-0000-0000-00005C070000}"/>
    <cellStyle name="SAPEmphasizedTotal 2" xfId="1672" xr:uid="{00000000-0005-0000-0000-00005D070000}"/>
    <cellStyle name="SAPEmphasizedTotal 3" xfId="3228" xr:uid="{00000000-0005-0000-0000-00005E070000}"/>
    <cellStyle name="SAPError" xfId="1673" xr:uid="{00000000-0005-0000-0000-00005F070000}"/>
    <cellStyle name="SAPError 2" xfId="1674" xr:uid="{00000000-0005-0000-0000-000060070000}"/>
    <cellStyle name="SAPError 3" xfId="3211" xr:uid="{00000000-0005-0000-0000-000061070000}"/>
    <cellStyle name="SAPExceptionLevel1" xfId="1675" xr:uid="{00000000-0005-0000-0000-000062070000}"/>
    <cellStyle name="SAPExceptionLevel1 2" xfId="1676" xr:uid="{00000000-0005-0000-0000-000063070000}"/>
    <cellStyle name="SAPExceptionLevel1 3" xfId="3201" xr:uid="{00000000-0005-0000-0000-000064070000}"/>
    <cellStyle name="SAPExceptionLevel2" xfId="1677" xr:uid="{00000000-0005-0000-0000-000065070000}"/>
    <cellStyle name="SAPExceptionLevel2 2" xfId="1678" xr:uid="{00000000-0005-0000-0000-000066070000}"/>
    <cellStyle name="SAPExceptionLevel2 3" xfId="3223" xr:uid="{00000000-0005-0000-0000-000067070000}"/>
    <cellStyle name="SAPExceptionLevel3" xfId="1679" xr:uid="{00000000-0005-0000-0000-000068070000}"/>
    <cellStyle name="SAPExceptionLevel3 2" xfId="1680" xr:uid="{00000000-0005-0000-0000-000069070000}"/>
    <cellStyle name="SAPExceptionLevel3 3" xfId="3219" xr:uid="{00000000-0005-0000-0000-00006A070000}"/>
    <cellStyle name="SAPExceptionLevel4" xfId="1681" xr:uid="{00000000-0005-0000-0000-00006B070000}"/>
    <cellStyle name="SAPExceptionLevel4 2" xfId="1682" xr:uid="{00000000-0005-0000-0000-00006C070000}"/>
    <cellStyle name="SAPExceptionLevel4 3" xfId="3215" xr:uid="{00000000-0005-0000-0000-00006D070000}"/>
    <cellStyle name="SAPExceptionLevel5" xfId="1683" xr:uid="{00000000-0005-0000-0000-00006E070000}"/>
    <cellStyle name="SAPExceptionLevel5 2" xfId="1684" xr:uid="{00000000-0005-0000-0000-00006F070000}"/>
    <cellStyle name="SAPExceptionLevel5 3" xfId="3212" xr:uid="{00000000-0005-0000-0000-000070070000}"/>
    <cellStyle name="SAPExceptionLevel6" xfId="1685" xr:uid="{00000000-0005-0000-0000-000071070000}"/>
    <cellStyle name="SAPExceptionLevel6 2" xfId="1686" xr:uid="{00000000-0005-0000-0000-000072070000}"/>
    <cellStyle name="SAPExceptionLevel6 3" xfId="3208" xr:uid="{00000000-0005-0000-0000-000073070000}"/>
    <cellStyle name="SAPExceptionLevel7" xfId="1687" xr:uid="{00000000-0005-0000-0000-000074070000}"/>
    <cellStyle name="SAPExceptionLevel7 2" xfId="1688" xr:uid="{00000000-0005-0000-0000-000075070000}"/>
    <cellStyle name="SAPExceptionLevel7 3" xfId="3204" xr:uid="{00000000-0005-0000-0000-000076070000}"/>
    <cellStyle name="SAPExceptionLevel8" xfId="1689" xr:uid="{00000000-0005-0000-0000-000077070000}"/>
    <cellStyle name="SAPExceptionLevel8 2" xfId="1690" xr:uid="{00000000-0005-0000-0000-000078070000}"/>
    <cellStyle name="SAPExceptionLevel8 3" xfId="3226" xr:uid="{00000000-0005-0000-0000-000079070000}"/>
    <cellStyle name="SAPExceptionLevel9" xfId="1691" xr:uid="{00000000-0005-0000-0000-00007A070000}"/>
    <cellStyle name="SAPExceptionLevel9 2" xfId="1692" xr:uid="{00000000-0005-0000-0000-00007B070000}"/>
    <cellStyle name="SAPExceptionLevel9 3" xfId="3222" xr:uid="{00000000-0005-0000-0000-00007C070000}"/>
    <cellStyle name="SAPFormula" xfId="1693" xr:uid="{00000000-0005-0000-0000-00007D070000}"/>
    <cellStyle name="SAPFormula 2" xfId="1694" xr:uid="{00000000-0005-0000-0000-00007E070000}"/>
    <cellStyle name="SAPFormula 3" xfId="3231" xr:uid="{00000000-0005-0000-0000-00007F070000}"/>
    <cellStyle name="SAPGroupingFillCell" xfId="1695" xr:uid="{00000000-0005-0000-0000-000080070000}"/>
    <cellStyle name="SAPHierarchyCell0" xfId="1696" xr:uid="{00000000-0005-0000-0000-000081070000}"/>
    <cellStyle name="SAPHierarchyCell1" xfId="1697" xr:uid="{00000000-0005-0000-0000-000082070000}"/>
    <cellStyle name="SAPHierarchyCell2" xfId="1698" xr:uid="{00000000-0005-0000-0000-000083070000}"/>
    <cellStyle name="SAPLockedDataCell" xfId="1699" xr:uid="{00000000-0005-0000-0000-000084070000}"/>
    <cellStyle name="SAPLockedDataCell 2" xfId="1700" xr:uid="{00000000-0005-0000-0000-000085070000}"/>
    <cellStyle name="SAPLockedDataCell 3" xfId="3203" xr:uid="{00000000-0005-0000-0000-000086070000}"/>
    <cellStyle name="SAPLockedDataTotalCell" xfId="1701" xr:uid="{00000000-0005-0000-0000-000087070000}"/>
    <cellStyle name="SAPLockedDataTotalCell 2" xfId="1702" xr:uid="{00000000-0005-0000-0000-000088070000}"/>
    <cellStyle name="SAPLockedDataTotalCell 3" xfId="3200" xr:uid="{00000000-0005-0000-0000-000089070000}"/>
    <cellStyle name="SAPMemberCell" xfId="1703" xr:uid="{00000000-0005-0000-0000-00008A070000}"/>
    <cellStyle name="SAPMemberTotalCell" xfId="1704" xr:uid="{00000000-0005-0000-0000-00008B070000}"/>
    <cellStyle name="SAPMessageText" xfId="1705" xr:uid="{00000000-0005-0000-0000-00008C070000}"/>
    <cellStyle name="SAPMessageText 2" xfId="1706" xr:uid="{00000000-0005-0000-0000-00008D070000}"/>
    <cellStyle name="SAPMessageText 3" xfId="3207" xr:uid="{00000000-0005-0000-0000-00008E070000}"/>
    <cellStyle name="SAPReadonlyDataCell" xfId="1707" xr:uid="{00000000-0005-0000-0000-00008F070000}"/>
    <cellStyle name="SAPReadonlyDataTotalCell" xfId="1708" xr:uid="{00000000-0005-0000-0000-000090070000}"/>
    <cellStyle name="강조색1" xfId="1709" builtinId="29" customBuiltin="1"/>
    <cellStyle name="강조색1 10" xfId="1710" xr:uid="{00000000-0005-0000-0000-000092070000}"/>
    <cellStyle name="강조색1 11" xfId="1711" xr:uid="{00000000-0005-0000-0000-000093070000}"/>
    <cellStyle name="강조색1 12" xfId="1712" xr:uid="{00000000-0005-0000-0000-000094070000}"/>
    <cellStyle name="강조색1 13" xfId="1713" xr:uid="{00000000-0005-0000-0000-000095070000}"/>
    <cellStyle name="강조색1 14" xfId="1714" xr:uid="{00000000-0005-0000-0000-000096070000}"/>
    <cellStyle name="강조색1 15" xfId="1715" xr:uid="{00000000-0005-0000-0000-000097070000}"/>
    <cellStyle name="강조색1 16" xfId="1716" xr:uid="{00000000-0005-0000-0000-000098070000}"/>
    <cellStyle name="강조색1 17" xfId="1717" xr:uid="{00000000-0005-0000-0000-000099070000}"/>
    <cellStyle name="강조색1 18" xfId="1718" xr:uid="{00000000-0005-0000-0000-00009A070000}"/>
    <cellStyle name="강조색1 19" xfId="1719" xr:uid="{00000000-0005-0000-0000-00009B070000}"/>
    <cellStyle name="강조색1 2" xfId="1720" xr:uid="{00000000-0005-0000-0000-00009C070000}"/>
    <cellStyle name="강조색1 20" xfId="1721" xr:uid="{00000000-0005-0000-0000-00009D070000}"/>
    <cellStyle name="강조색1 21" xfId="1722" xr:uid="{00000000-0005-0000-0000-00009E070000}"/>
    <cellStyle name="강조색1 22" xfId="1723" xr:uid="{00000000-0005-0000-0000-00009F070000}"/>
    <cellStyle name="강조색1 23" xfId="1724" xr:uid="{00000000-0005-0000-0000-0000A0070000}"/>
    <cellStyle name="강조색1 24" xfId="1725" xr:uid="{00000000-0005-0000-0000-0000A1070000}"/>
    <cellStyle name="강조색1 25" xfId="1726" xr:uid="{00000000-0005-0000-0000-0000A2070000}"/>
    <cellStyle name="강조색1 26" xfId="1727" xr:uid="{00000000-0005-0000-0000-0000A3070000}"/>
    <cellStyle name="강조색1 27" xfId="1728" xr:uid="{00000000-0005-0000-0000-0000A4070000}"/>
    <cellStyle name="강조색1 28" xfId="1729" xr:uid="{00000000-0005-0000-0000-0000A5070000}"/>
    <cellStyle name="강조색1 29" xfId="1730" xr:uid="{00000000-0005-0000-0000-0000A6070000}"/>
    <cellStyle name="강조색1 3" xfId="1731" xr:uid="{00000000-0005-0000-0000-0000A7070000}"/>
    <cellStyle name="강조색1 30" xfId="1732" xr:uid="{00000000-0005-0000-0000-0000A8070000}"/>
    <cellStyle name="강조색1 31" xfId="1733" xr:uid="{00000000-0005-0000-0000-0000A9070000}"/>
    <cellStyle name="강조색1 32" xfId="1734" xr:uid="{00000000-0005-0000-0000-0000AA070000}"/>
    <cellStyle name="강조색1 33" xfId="1735" xr:uid="{00000000-0005-0000-0000-0000AB070000}"/>
    <cellStyle name="강조색1 34" xfId="1736" xr:uid="{00000000-0005-0000-0000-0000AC070000}"/>
    <cellStyle name="강조색1 35" xfId="1737" xr:uid="{00000000-0005-0000-0000-0000AD070000}"/>
    <cellStyle name="강조색1 36" xfId="1738" xr:uid="{00000000-0005-0000-0000-0000AE070000}"/>
    <cellStyle name="강조색1 37" xfId="1739" xr:uid="{00000000-0005-0000-0000-0000AF070000}"/>
    <cellStyle name="강조색1 38" xfId="1740" xr:uid="{00000000-0005-0000-0000-0000B0070000}"/>
    <cellStyle name="강조색1 39" xfId="1741" xr:uid="{00000000-0005-0000-0000-0000B1070000}"/>
    <cellStyle name="강조색1 4" xfId="1742" xr:uid="{00000000-0005-0000-0000-0000B2070000}"/>
    <cellStyle name="강조색1 40" xfId="1743" xr:uid="{00000000-0005-0000-0000-0000B3070000}"/>
    <cellStyle name="강조색1 41" xfId="1744" xr:uid="{00000000-0005-0000-0000-0000B4070000}"/>
    <cellStyle name="강조색1 42" xfId="1745" xr:uid="{00000000-0005-0000-0000-0000B5070000}"/>
    <cellStyle name="강조색1 43" xfId="1746" xr:uid="{00000000-0005-0000-0000-0000B6070000}"/>
    <cellStyle name="강조색1 44" xfId="1747" xr:uid="{00000000-0005-0000-0000-0000B7070000}"/>
    <cellStyle name="강조색1 45" xfId="1748" xr:uid="{00000000-0005-0000-0000-0000B8070000}"/>
    <cellStyle name="강조색1 46" xfId="1749" xr:uid="{00000000-0005-0000-0000-0000B9070000}"/>
    <cellStyle name="강조색1 47" xfId="1750" xr:uid="{00000000-0005-0000-0000-0000BA070000}"/>
    <cellStyle name="강조색1 48" xfId="1751" xr:uid="{00000000-0005-0000-0000-0000BB070000}"/>
    <cellStyle name="강조색1 49" xfId="1752" xr:uid="{00000000-0005-0000-0000-0000BC070000}"/>
    <cellStyle name="강조색1 5" xfId="1753" xr:uid="{00000000-0005-0000-0000-0000BD070000}"/>
    <cellStyle name="강조색1 50" xfId="1754" xr:uid="{00000000-0005-0000-0000-0000BE070000}"/>
    <cellStyle name="강조색1 51" xfId="1755" xr:uid="{00000000-0005-0000-0000-0000BF070000}"/>
    <cellStyle name="강조색1 52" xfId="1756" xr:uid="{00000000-0005-0000-0000-0000C0070000}"/>
    <cellStyle name="강조색1 53" xfId="1757" xr:uid="{00000000-0005-0000-0000-0000C1070000}"/>
    <cellStyle name="강조색1 54" xfId="1758" xr:uid="{00000000-0005-0000-0000-0000C2070000}"/>
    <cellStyle name="강조색1 55" xfId="1759" xr:uid="{00000000-0005-0000-0000-0000C3070000}"/>
    <cellStyle name="강조색1 56" xfId="1760" xr:uid="{00000000-0005-0000-0000-0000C4070000}"/>
    <cellStyle name="강조색1 57" xfId="1761" xr:uid="{00000000-0005-0000-0000-0000C5070000}"/>
    <cellStyle name="강조색1 58" xfId="1762" xr:uid="{00000000-0005-0000-0000-0000C6070000}"/>
    <cellStyle name="강조색1 59" xfId="3095" xr:uid="{00000000-0005-0000-0000-0000C7070000}"/>
    <cellStyle name="강조색1 6" xfId="1763" xr:uid="{00000000-0005-0000-0000-0000C8070000}"/>
    <cellStyle name="강조색1 7" xfId="1764" xr:uid="{00000000-0005-0000-0000-0000C9070000}"/>
    <cellStyle name="강조색1 8" xfId="1765" xr:uid="{00000000-0005-0000-0000-0000CA070000}"/>
    <cellStyle name="강조색1 9" xfId="1766" xr:uid="{00000000-0005-0000-0000-0000CB070000}"/>
    <cellStyle name="강조색2" xfId="1767" builtinId="33" customBuiltin="1"/>
    <cellStyle name="강조색2 10" xfId="1768" xr:uid="{00000000-0005-0000-0000-0000CD070000}"/>
    <cellStyle name="강조색2 11" xfId="1769" xr:uid="{00000000-0005-0000-0000-0000CE070000}"/>
    <cellStyle name="강조색2 12" xfId="1770" xr:uid="{00000000-0005-0000-0000-0000CF070000}"/>
    <cellStyle name="강조색2 13" xfId="1771" xr:uid="{00000000-0005-0000-0000-0000D0070000}"/>
    <cellStyle name="강조색2 14" xfId="1772" xr:uid="{00000000-0005-0000-0000-0000D1070000}"/>
    <cellStyle name="강조색2 15" xfId="1773" xr:uid="{00000000-0005-0000-0000-0000D2070000}"/>
    <cellStyle name="강조색2 16" xfId="1774" xr:uid="{00000000-0005-0000-0000-0000D3070000}"/>
    <cellStyle name="강조색2 17" xfId="1775" xr:uid="{00000000-0005-0000-0000-0000D4070000}"/>
    <cellStyle name="강조색2 18" xfId="1776" xr:uid="{00000000-0005-0000-0000-0000D5070000}"/>
    <cellStyle name="강조색2 19" xfId="1777" xr:uid="{00000000-0005-0000-0000-0000D6070000}"/>
    <cellStyle name="강조색2 2" xfId="1778" xr:uid="{00000000-0005-0000-0000-0000D7070000}"/>
    <cellStyle name="강조색2 20" xfId="1779" xr:uid="{00000000-0005-0000-0000-0000D8070000}"/>
    <cellStyle name="강조색2 21" xfId="1780" xr:uid="{00000000-0005-0000-0000-0000D9070000}"/>
    <cellStyle name="강조색2 22" xfId="1781" xr:uid="{00000000-0005-0000-0000-0000DA070000}"/>
    <cellStyle name="강조색2 23" xfId="1782" xr:uid="{00000000-0005-0000-0000-0000DB070000}"/>
    <cellStyle name="강조색2 24" xfId="1783" xr:uid="{00000000-0005-0000-0000-0000DC070000}"/>
    <cellStyle name="강조색2 25" xfId="1784" xr:uid="{00000000-0005-0000-0000-0000DD070000}"/>
    <cellStyle name="강조색2 26" xfId="1785" xr:uid="{00000000-0005-0000-0000-0000DE070000}"/>
    <cellStyle name="강조색2 27" xfId="1786" xr:uid="{00000000-0005-0000-0000-0000DF070000}"/>
    <cellStyle name="강조색2 28" xfId="1787" xr:uid="{00000000-0005-0000-0000-0000E0070000}"/>
    <cellStyle name="강조색2 29" xfId="1788" xr:uid="{00000000-0005-0000-0000-0000E1070000}"/>
    <cellStyle name="강조색2 3" xfId="1789" xr:uid="{00000000-0005-0000-0000-0000E2070000}"/>
    <cellStyle name="강조색2 30" xfId="1790" xr:uid="{00000000-0005-0000-0000-0000E3070000}"/>
    <cellStyle name="강조색2 31" xfId="1791" xr:uid="{00000000-0005-0000-0000-0000E4070000}"/>
    <cellStyle name="강조색2 32" xfId="1792" xr:uid="{00000000-0005-0000-0000-0000E5070000}"/>
    <cellStyle name="강조색2 33" xfId="1793" xr:uid="{00000000-0005-0000-0000-0000E6070000}"/>
    <cellStyle name="강조색2 34" xfId="1794" xr:uid="{00000000-0005-0000-0000-0000E7070000}"/>
    <cellStyle name="강조색2 35" xfId="1795" xr:uid="{00000000-0005-0000-0000-0000E8070000}"/>
    <cellStyle name="강조색2 36" xfId="1796" xr:uid="{00000000-0005-0000-0000-0000E9070000}"/>
    <cellStyle name="강조색2 37" xfId="1797" xr:uid="{00000000-0005-0000-0000-0000EA070000}"/>
    <cellStyle name="강조색2 38" xfId="1798" xr:uid="{00000000-0005-0000-0000-0000EB070000}"/>
    <cellStyle name="강조색2 39" xfId="1799" xr:uid="{00000000-0005-0000-0000-0000EC070000}"/>
    <cellStyle name="강조색2 4" xfId="1800" xr:uid="{00000000-0005-0000-0000-0000ED070000}"/>
    <cellStyle name="강조색2 40" xfId="1801" xr:uid="{00000000-0005-0000-0000-0000EE070000}"/>
    <cellStyle name="강조색2 41" xfId="1802" xr:uid="{00000000-0005-0000-0000-0000EF070000}"/>
    <cellStyle name="강조색2 42" xfId="1803" xr:uid="{00000000-0005-0000-0000-0000F0070000}"/>
    <cellStyle name="강조색2 43" xfId="1804" xr:uid="{00000000-0005-0000-0000-0000F1070000}"/>
    <cellStyle name="강조색2 44" xfId="1805" xr:uid="{00000000-0005-0000-0000-0000F2070000}"/>
    <cellStyle name="강조색2 45" xfId="1806" xr:uid="{00000000-0005-0000-0000-0000F3070000}"/>
    <cellStyle name="강조색2 46" xfId="1807" xr:uid="{00000000-0005-0000-0000-0000F4070000}"/>
    <cellStyle name="강조색2 47" xfId="1808" xr:uid="{00000000-0005-0000-0000-0000F5070000}"/>
    <cellStyle name="강조색2 48" xfId="1809" xr:uid="{00000000-0005-0000-0000-0000F6070000}"/>
    <cellStyle name="강조색2 49" xfId="1810" xr:uid="{00000000-0005-0000-0000-0000F7070000}"/>
    <cellStyle name="강조색2 5" xfId="1811" xr:uid="{00000000-0005-0000-0000-0000F8070000}"/>
    <cellStyle name="강조색2 50" xfId="1812" xr:uid="{00000000-0005-0000-0000-0000F9070000}"/>
    <cellStyle name="강조색2 51" xfId="1813" xr:uid="{00000000-0005-0000-0000-0000FA070000}"/>
    <cellStyle name="강조색2 52" xfId="1814" xr:uid="{00000000-0005-0000-0000-0000FB070000}"/>
    <cellStyle name="강조색2 53" xfId="1815" xr:uid="{00000000-0005-0000-0000-0000FC070000}"/>
    <cellStyle name="강조색2 54" xfId="1816" xr:uid="{00000000-0005-0000-0000-0000FD070000}"/>
    <cellStyle name="강조색2 55" xfId="1817" xr:uid="{00000000-0005-0000-0000-0000FE070000}"/>
    <cellStyle name="강조색2 56" xfId="1818" xr:uid="{00000000-0005-0000-0000-0000FF070000}"/>
    <cellStyle name="강조색2 57" xfId="1819" xr:uid="{00000000-0005-0000-0000-000000080000}"/>
    <cellStyle name="강조색2 58" xfId="1820" xr:uid="{00000000-0005-0000-0000-000001080000}"/>
    <cellStyle name="강조색2 59" xfId="3099" xr:uid="{00000000-0005-0000-0000-000002080000}"/>
    <cellStyle name="강조색2 6" xfId="1821" xr:uid="{00000000-0005-0000-0000-000003080000}"/>
    <cellStyle name="강조색2 7" xfId="1822" xr:uid="{00000000-0005-0000-0000-000004080000}"/>
    <cellStyle name="강조색2 8" xfId="1823" xr:uid="{00000000-0005-0000-0000-000005080000}"/>
    <cellStyle name="강조색2 9" xfId="1824" xr:uid="{00000000-0005-0000-0000-000006080000}"/>
    <cellStyle name="강조색3" xfId="1825" builtinId="37" customBuiltin="1"/>
    <cellStyle name="강조색3 10" xfId="1826" xr:uid="{00000000-0005-0000-0000-000008080000}"/>
    <cellStyle name="강조색3 11" xfId="1827" xr:uid="{00000000-0005-0000-0000-000009080000}"/>
    <cellStyle name="강조색3 12" xfId="1828" xr:uid="{00000000-0005-0000-0000-00000A080000}"/>
    <cellStyle name="강조색3 13" xfId="1829" xr:uid="{00000000-0005-0000-0000-00000B080000}"/>
    <cellStyle name="강조색3 14" xfId="1830" xr:uid="{00000000-0005-0000-0000-00000C080000}"/>
    <cellStyle name="강조색3 15" xfId="1831" xr:uid="{00000000-0005-0000-0000-00000D080000}"/>
    <cellStyle name="강조색3 16" xfId="1832" xr:uid="{00000000-0005-0000-0000-00000E080000}"/>
    <cellStyle name="강조색3 17" xfId="1833" xr:uid="{00000000-0005-0000-0000-00000F080000}"/>
    <cellStyle name="강조색3 18" xfId="1834" xr:uid="{00000000-0005-0000-0000-000010080000}"/>
    <cellStyle name="강조색3 19" xfId="1835" xr:uid="{00000000-0005-0000-0000-000011080000}"/>
    <cellStyle name="강조색3 2" xfId="1836" xr:uid="{00000000-0005-0000-0000-000012080000}"/>
    <cellStyle name="강조색3 20" xfId="1837" xr:uid="{00000000-0005-0000-0000-000013080000}"/>
    <cellStyle name="강조색3 21" xfId="1838" xr:uid="{00000000-0005-0000-0000-000014080000}"/>
    <cellStyle name="강조색3 22" xfId="1839" xr:uid="{00000000-0005-0000-0000-000015080000}"/>
    <cellStyle name="강조색3 23" xfId="1840" xr:uid="{00000000-0005-0000-0000-000016080000}"/>
    <cellStyle name="강조색3 24" xfId="1841" xr:uid="{00000000-0005-0000-0000-000017080000}"/>
    <cellStyle name="강조색3 25" xfId="1842" xr:uid="{00000000-0005-0000-0000-000018080000}"/>
    <cellStyle name="강조색3 26" xfId="1843" xr:uid="{00000000-0005-0000-0000-000019080000}"/>
    <cellStyle name="강조색3 27" xfId="1844" xr:uid="{00000000-0005-0000-0000-00001A080000}"/>
    <cellStyle name="강조색3 28" xfId="1845" xr:uid="{00000000-0005-0000-0000-00001B080000}"/>
    <cellStyle name="강조색3 29" xfId="1846" xr:uid="{00000000-0005-0000-0000-00001C080000}"/>
    <cellStyle name="강조색3 3" xfId="1847" xr:uid="{00000000-0005-0000-0000-00001D080000}"/>
    <cellStyle name="강조색3 30" xfId="1848" xr:uid="{00000000-0005-0000-0000-00001E080000}"/>
    <cellStyle name="강조색3 31" xfId="1849" xr:uid="{00000000-0005-0000-0000-00001F080000}"/>
    <cellStyle name="강조색3 32" xfId="1850" xr:uid="{00000000-0005-0000-0000-000020080000}"/>
    <cellStyle name="강조색3 33" xfId="1851" xr:uid="{00000000-0005-0000-0000-000021080000}"/>
    <cellStyle name="강조색3 34" xfId="1852" xr:uid="{00000000-0005-0000-0000-000022080000}"/>
    <cellStyle name="강조색3 35" xfId="1853" xr:uid="{00000000-0005-0000-0000-000023080000}"/>
    <cellStyle name="강조색3 36" xfId="1854" xr:uid="{00000000-0005-0000-0000-000024080000}"/>
    <cellStyle name="강조색3 37" xfId="1855" xr:uid="{00000000-0005-0000-0000-000025080000}"/>
    <cellStyle name="강조색3 38" xfId="1856" xr:uid="{00000000-0005-0000-0000-000026080000}"/>
    <cellStyle name="강조색3 39" xfId="1857" xr:uid="{00000000-0005-0000-0000-000027080000}"/>
    <cellStyle name="강조색3 4" xfId="1858" xr:uid="{00000000-0005-0000-0000-000028080000}"/>
    <cellStyle name="강조색3 40" xfId="1859" xr:uid="{00000000-0005-0000-0000-000029080000}"/>
    <cellStyle name="강조색3 41" xfId="1860" xr:uid="{00000000-0005-0000-0000-00002A080000}"/>
    <cellStyle name="강조색3 42" xfId="1861" xr:uid="{00000000-0005-0000-0000-00002B080000}"/>
    <cellStyle name="강조색3 43" xfId="1862" xr:uid="{00000000-0005-0000-0000-00002C080000}"/>
    <cellStyle name="강조색3 44" xfId="1863" xr:uid="{00000000-0005-0000-0000-00002D080000}"/>
    <cellStyle name="강조색3 45" xfId="1864" xr:uid="{00000000-0005-0000-0000-00002E080000}"/>
    <cellStyle name="강조색3 46" xfId="1865" xr:uid="{00000000-0005-0000-0000-00002F080000}"/>
    <cellStyle name="강조색3 47" xfId="1866" xr:uid="{00000000-0005-0000-0000-000030080000}"/>
    <cellStyle name="강조색3 48" xfId="1867" xr:uid="{00000000-0005-0000-0000-000031080000}"/>
    <cellStyle name="강조색3 49" xfId="1868" xr:uid="{00000000-0005-0000-0000-000032080000}"/>
    <cellStyle name="강조색3 5" xfId="1869" xr:uid="{00000000-0005-0000-0000-000033080000}"/>
    <cellStyle name="강조색3 50" xfId="1870" xr:uid="{00000000-0005-0000-0000-000034080000}"/>
    <cellStyle name="강조색3 51" xfId="1871" xr:uid="{00000000-0005-0000-0000-000035080000}"/>
    <cellStyle name="강조색3 52" xfId="1872" xr:uid="{00000000-0005-0000-0000-000036080000}"/>
    <cellStyle name="강조색3 53" xfId="1873" xr:uid="{00000000-0005-0000-0000-000037080000}"/>
    <cellStyle name="강조색3 54" xfId="1874" xr:uid="{00000000-0005-0000-0000-000038080000}"/>
    <cellStyle name="강조색3 55" xfId="1875" xr:uid="{00000000-0005-0000-0000-000039080000}"/>
    <cellStyle name="강조색3 56" xfId="1876" xr:uid="{00000000-0005-0000-0000-00003A080000}"/>
    <cellStyle name="강조색3 57" xfId="1877" xr:uid="{00000000-0005-0000-0000-00003B080000}"/>
    <cellStyle name="강조색3 58" xfId="1878" xr:uid="{00000000-0005-0000-0000-00003C080000}"/>
    <cellStyle name="강조색3 59" xfId="3103" xr:uid="{00000000-0005-0000-0000-00003D080000}"/>
    <cellStyle name="강조색3 6" xfId="1879" xr:uid="{00000000-0005-0000-0000-00003E080000}"/>
    <cellStyle name="강조색3 7" xfId="1880" xr:uid="{00000000-0005-0000-0000-00003F080000}"/>
    <cellStyle name="강조색3 8" xfId="1881" xr:uid="{00000000-0005-0000-0000-000040080000}"/>
    <cellStyle name="강조색3 9" xfId="1882" xr:uid="{00000000-0005-0000-0000-000041080000}"/>
    <cellStyle name="강조색4" xfId="1883" builtinId="41" customBuiltin="1"/>
    <cellStyle name="강조색4 10" xfId="1884" xr:uid="{00000000-0005-0000-0000-000043080000}"/>
    <cellStyle name="강조색4 11" xfId="1885" xr:uid="{00000000-0005-0000-0000-000044080000}"/>
    <cellStyle name="강조색4 12" xfId="1886" xr:uid="{00000000-0005-0000-0000-000045080000}"/>
    <cellStyle name="강조색4 13" xfId="1887" xr:uid="{00000000-0005-0000-0000-000046080000}"/>
    <cellStyle name="강조색4 14" xfId="1888" xr:uid="{00000000-0005-0000-0000-000047080000}"/>
    <cellStyle name="강조색4 15" xfId="1889" xr:uid="{00000000-0005-0000-0000-000048080000}"/>
    <cellStyle name="강조색4 16" xfId="1890" xr:uid="{00000000-0005-0000-0000-000049080000}"/>
    <cellStyle name="강조색4 17" xfId="1891" xr:uid="{00000000-0005-0000-0000-00004A080000}"/>
    <cellStyle name="강조색4 18" xfId="1892" xr:uid="{00000000-0005-0000-0000-00004B080000}"/>
    <cellStyle name="강조색4 19" xfId="1893" xr:uid="{00000000-0005-0000-0000-00004C080000}"/>
    <cellStyle name="강조색4 2" xfId="1894" xr:uid="{00000000-0005-0000-0000-00004D080000}"/>
    <cellStyle name="강조색4 20" xfId="1895" xr:uid="{00000000-0005-0000-0000-00004E080000}"/>
    <cellStyle name="강조색4 21" xfId="1896" xr:uid="{00000000-0005-0000-0000-00004F080000}"/>
    <cellStyle name="강조색4 22" xfId="1897" xr:uid="{00000000-0005-0000-0000-000050080000}"/>
    <cellStyle name="강조색4 23" xfId="1898" xr:uid="{00000000-0005-0000-0000-000051080000}"/>
    <cellStyle name="강조색4 24" xfId="1899" xr:uid="{00000000-0005-0000-0000-000052080000}"/>
    <cellStyle name="강조색4 25" xfId="1900" xr:uid="{00000000-0005-0000-0000-000053080000}"/>
    <cellStyle name="강조색4 26" xfId="1901" xr:uid="{00000000-0005-0000-0000-000054080000}"/>
    <cellStyle name="강조색4 27" xfId="1902" xr:uid="{00000000-0005-0000-0000-000055080000}"/>
    <cellStyle name="강조색4 28" xfId="1903" xr:uid="{00000000-0005-0000-0000-000056080000}"/>
    <cellStyle name="강조색4 29" xfId="1904" xr:uid="{00000000-0005-0000-0000-000057080000}"/>
    <cellStyle name="강조색4 3" xfId="1905" xr:uid="{00000000-0005-0000-0000-000058080000}"/>
    <cellStyle name="강조색4 30" xfId="1906" xr:uid="{00000000-0005-0000-0000-000059080000}"/>
    <cellStyle name="강조색4 31" xfId="1907" xr:uid="{00000000-0005-0000-0000-00005A080000}"/>
    <cellStyle name="강조색4 32" xfId="1908" xr:uid="{00000000-0005-0000-0000-00005B080000}"/>
    <cellStyle name="강조색4 33" xfId="1909" xr:uid="{00000000-0005-0000-0000-00005C080000}"/>
    <cellStyle name="강조색4 34" xfId="1910" xr:uid="{00000000-0005-0000-0000-00005D080000}"/>
    <cellStyle name="강조색4 35" xfId="1911" xr:uid="{00000000-0005-0000-0000-00005E080000}"/>
    <cellStyle name="강조색4 36" xfId="1912" xr:uid="{00000000-0005-0000-0000-00005F080000}"/>
    <cellStyle name="강조색4 37" xfId="1913" xr:uid="{00000000-0005-0000-0000-000060080000}"/>
    <cellStyle name="강조색4 38" xfId="1914" xr:uid="{00000000-0005-0000-0000-000061080000}"/>
    <cellStyle name="강조색4 39" xfId="1915" xr:uid="{00000000-0005-0000-0000-000062080000}"/>
    <cellStyle name="강조색4 4" xfId="1916" xr:uid="{00000000-0005-0000-0000-000063080000}"/>
    <cellStyle name="강조색4 40" xfId="1917" xr:uid="{00000000-0005-0000-0000-000064080000}"/>
    <cellStyle name="강조색4 41" xfId="1918" xr:uid="{00000000-0005-0000-0000-000065080000}"/>
    <cellStyle name="강조색4 42" xfId="1919" xr:uid="{00000000-0005-0000-0000-000066080000}"/>
    <cellStyle name="강조색4 43" xfId="1920" xr:uid="{00000000-0005-0000-0000-000067080000}"/>
    <cellStyle name="강조색4 44" xfId="1921" xr:uid="{00000000-0005-0000-0000-000068080000}"/>
    <cellStyle name="강조색4 45" xfId="1922" xr:uid="{00000000-0005-0000-0000-000069080000}"/>
    <cellStyle name="강조색4 46" xfId="1923" xr:uid="{00000000-0005-0000-0000-00006A080000}"/>
    <cellStyle name="강조색4 47" xfId="1924" xr:uid="{00000000-0005-0000-0000-00006B080000}"/>
    <cellStyle name="강조색4 48" xfId="1925" xr:uid="{00000000-0005-0000-0000-00006C080000}"/>
    <cellStyle name="강조색4 49" xfId="1926" xr:uid="{00000000-0005-0000-0000-00006D080000}"/>
    <cellStyle name="강조색4 5" xfId="1927" xr:uid="{00000000-0005-0000-0000-00006E080000}"/>
    <cellStyle name="강조색4 50" xfId="1928" xr:uid="{00000000-0005-0000-0000-00006F080000}"/>
    <cellStyle name="강조색4 51" xfId="1929" xr:uid="{00000000-0005-0000-0000-000070080000}"/>
    <cellStyle name="강조색4 52" xfId="1930" xr:uid="{00000000-0005-0000-0000-000071080000}"/>
    <cellStyle name="강조색4 53" xfId="1931" xr:uid="{00000000-0005-0000-0000-000072080000}"/>
    <cellStyle name="강조색4 54" xfId="1932" xr:uid="{00000000-0005-0000-0000-000073080000}"/>
    <cellStyle name="강조색4 55" xfId="1933" xr:uid="{00000000-0005-0000-0000-000074080000}"/>
    <cellStyle name="강조색4 56" xfId="1934" xr:uid="{00000000-0005-0000-0000-000075080000}"/>
    <cellStyle name="강조색4 57" xfId="1935" xr:uid="{00000000-0005-0000-0000-000076080000}"/>
    <cellStyle name="강조색4 58" xfId="1936" xr:uid="{00000000-0005-0000-0000-000077080000}"/>
    <cellStyle name="강조색4 59" xfId="3107" xr:uid="{00000000-0005-0000-0000-000078080000}"/>
    <cellStyle name="강조색4 6" xfId="1937" xr:uid="{00000000-0005-0000-0000-000079080000}"/>
    <cellStyle name="강조색4 7" xfId="1938" xr:uid="{00000000-0005-0000-0000-00007A080000}"/>
    <cellStyle name="강조색4 8" xfId="1939" xr:uid="{00000000-0005-0000-0000-00007B080000}"/>
    <cellStyle name="강조색4 9" xfId="1940" xr:uid="{00000000-0005-0000-0000-00007C080000}"/>
    <cellStyle name="강조색5" xfId="1941" builtinId="45" customBuiltin="1"/>
    <cellStyle name="강조색5 10" xfId="1942" xr:uid="{00000000-0005-0000-0000-00007E080000}"/>
    <cellStyle name="강조색5 11" xfId="1943" xr:uid="{00000000-0005-0000-0000-00007F080000}"/>
    <cellStyle name="강조색5 12" xfId="1944" xr:uid="{00000000-0005-0000-0000-000080080000}"/>
    <cellStyle name="강조색5 13" xfId="1945" xr:uid="{00000000-0005-0000-0000-000081080000}"/>
    <cellStyle name="강조색5 14" xfId="1946" xr:uid="{00000000-0005-0000-0000-000082080000}"/>
    <cellStyle name="강조색5 15" xfId="1947" xr:uid="{00000000-0005-0000-0000-000083080000}"/>
    <cellStyle name="강조색5 16" xfId="1948" xr:uid="{00000000-0005-0000-0000-000084080000}"/>
    <cellStyle name="강조색5 17" xfId="1949" xr:uid="{00000000-0005-0000-0000-000085080000}"/>
    <cellStyle name="강조색5 18" xfId="1950" xr:uid="{00000000-0005-0000-0000-000086080000}"/>
    <cellStyle name="강조색5 19" xfId="1951" xr:uid="{00000000-0005-0000-0000-000087080000}"/>
    <cellStyle name="강조색5 2" xfId="1952" xr:uid="{00000000-0005-0000-0000-000088080000}"/>
    <cellStyle name="강조색5 20" xfId="1953" xr:uid="{00000000-0005-0000-0000-000089080000}"/>
    <cellStyle name="강조색5 21" xfId="1954" xr:uid="{00000000-0005-0000-0000-00008A080000}"/>
    <cellStyle name="강조색5 22" xfId="1955" xr:uid="{00000000-0005-0000-0000-00008B080000}"/>
    <cellStyle name="강조색5 23" xfId="1956" xr:uid="{00000000-0005-0000-0000-00008C080000}"/>
    <cellStyle name="강조색5 24" xfId="1957" xr:uid="{00000000-0005-0000-0000-00008D080000}"/>
    <cellStyle name="강조색5 25" xfId="1958" xr:uid="{00000000-0005-0000-0000-00008E080000}"/>
    <cellStyle name="강조색5 26" xfId="1959" xr:uid="{00000000-0005-0000-0000-00008F080000}"/>
    <cellStyle name="강조색5 27" xfId="1960" xr:uid="{00000000-0005-0000-0000-000090080000}"/>
    <cellStyle name="강조색5 28" xfId="1961" xr:uid="{00000000-0005-0000-0000-000091080000}"/>
    <cellStyle name="강조색5 29" xfId="1962" xr:uid="{00000000-0005-0000-0000-000092080000}"/>
    <cellStyle name="강조색5 3" xfId="1963" xr:uid="{00000000-0005-0000-0000-000093080000}"/>
    <cellStyle name="강조색5 30" xfId="1964" xr:uid="{00000000-0005-0000-0000-000094080000}"/>
    <cellStyle name="강조색5 31" xfId="1965" xr:uid="{00000000-0005-0000-0000-000095080000}"/>
    <cellStyle name="강조색5 32" xfId="1966" xr:uid="{00000000-0005-0000-0000-000096080000}"/>
    <cellStyle name="강조색5 33" xfId="1967" xr:uid="{00000000-0005-0000-0000-000097080000}"/>
    <cellStyle name="강조색5 34" xfId="1968" xr:uid="{00000000-0005-0000-0000-000098080000}"/>
    <cellStyle name="강조색5 35" xfId="1969" xr:uid="{00000000-0005-0000-0000-000099080000}"/>
    <cellStyle name="강조색5 36" xfId="1970" xr:uid="{00000000-0005-0000-0000-00009A080000}"/>
    <cellStyle name="강조색5 37" xfId="1971" xr:uid="{00000000-0005-0000-0000-00009B080000}"/>
    <cellStyle name="강조색5 38" xfId="1972" xr:uid="{00000000-0005-0000-0000-00009C080000}"/>
    <cellStyle name="강조색5 39" xfId="1973" xr:uid="{00000000-0005-0000-0000-00009D080000}"/>
    <cellStyle name="강조색5 4" xfId="1974" xr:uid="{00000000-0005-0000-0000-00009E080000}"/>
    <cellStyle name="강조색5 40" xfId="1975" xr:uid="{00000000-0005-0000-0000-00009F080000}"/>
    <cellStyle name="강조색5 41" xfId="1976" xr:uid="{00000000-0005-0000-0000-0000A0080000}"/>
    <cellStyle name="강조색5 42" xfId="1977" xr:uid="{00000000-0005-0000-0000-0000A1080000}"/>
    <cellStyle name="강조색5 43" xfId="1978" xr:uid="{00000000-0005-0000-0000-0000A2080000}"/>
    <cellStyle name="강조색5 44" xfId="1979" xr:uid="{00000000-0005-0000-0000-0000A3080000}"/>
    <cellStyle name="강조색5 45" xfId="1980" xr:uid="{00000000-0005-0000-0000-0000A4080000}"/>
    <cellStyle name="강조색5 46" xfId="1981" xr:uid="{00000000-0005-0000-0000-0000A5080000}"/>
    <cellStyle name="강조색5 47" xfId="1982" xr:uid="{00000000-0005-0000-0000-0000A6080000}"/>
    <cellStyle name="강조색5 48" xfId="1983" xr:uid="{00000000-0005-0000-0000-0000A7080000}"/>
    <cellStyle name="강조색5 49" xfId="1984" xr:uid="{00000000-0005-0000-0000-0000A8080000}"/>
    <cellStyle name="강조색5 5" xfId="1985" xr:uid="{00000000-0005-0000-0000-0000A9080000}"/>
    <cellStyle name="강조색5 50" xfId="1986" xr:uid="{00000000-0005-0000-0000-0000AA080000}"/>
    <cellStyle name="강조색5 51" xfId="1987" xr:uid="{00000000-0005-0000-0000-0000AB080000}"/>
    <cellStyle name="강조색5 52" xfId="1988" xr:uid="{00000000-0005-0000-0000-0000AC080000}"/>
    <cellStyle name="강조색5 53" xfId="1989" xr:uid="{00000000-0005-0000-0000-0000AD080000}"/>
    <cellStyle name="강조색5 54" xfId="1990" xr:uid="{00000000-0005-0000-0000-0000AE080000}"/>
    <cellStyle name="강조색5 55" xfId="1991" xr:uid="{00000000-0005-0000-0000-0000AF080000}"/>
    <cellStyle name="강조색5 56" xfId="1992" xr:uid="{00000000-0005-0000-0000-0000B0080000}"/>
    <cellStyle name="강조색5 57" xfId="1993" xr:uid="{00000000-0005-0000-0000-0000B1080000}"/>
    <cellStyle name="강조색5 58" xfId="1994" xr:uid="{00000000-0005-0000-0000-0000B2080000}"/>
    <cellStyle name="강조색5 59" xfId="3111" xr:uid="{00000000-0005-0000-0000-0000B3080000}"/>
    <cellStyle name="강조색5 6" xfId="1995" xr:uid="{00000000-0005-0000-0000-0000B4080000}"/>
    <cellStyle name="강조색5 7" xfId="1996" xr:uid="{00000000-0005-0000-0000-0000B5080000}"/>
    <cellStyle name="강조색5 8" xfId="1997" xr:uid="{00000000-0005-0000-0000-0000B6080000}"/>
    <cellStyle name="강조색5 9" xfId="1998" xr:uid="{00000000-0005-0000-0000-0000B7080000}"/>
    <cellStyle name="강조색6" xfId="1999" builtinId="49" customBuiltin="1"/>
    <cellStyle name="강조색6 10" xfId="2000" xr:uid="{00000000-0005-0000-0000-0000B9080000}"/>
    <cellStyle name="강조색6 11" xfId="2001" xr:uid="{00000000-0005-0000-0000-0000BA080000}"/>
    <cellStyle name="강조색6 12" xfId="2002" xr:uid="{00000000-0005-0000-0000-0000BB080000}"/>
    <cellStyle name="강조색6 13" xfId="2003" xr:uid="{00000000-0005-0000-0000-0000BC080000}"/>
    <cellStyle name="강조색6 14" xfId="2004" xr:uid="{00000000-0005-0000-0000-0000BD080000}"/>
    <cellStyle name="강조색6 15" xfId="2005" xr:uid="{00000000-0005-0000-0000-0000BE080000}"/>
    <cellStyle name="강조색6 16" xfId="2006" xr:uid="{00000000-0005-0000-0000-0000BF080000}"/>
    <cellStyle name="강조색6 17" xfId="2007" xr:uid="{00000000-0005-0000-0000-0000C0080000}"/>
    <cellStyle name="강조색6 18" xfId="2008" xr:uid="{00000000-0005-0000-0000-0000C1080000}"/>
    <cellStyle name="강조색6 19" xfId="2009" xr:uid="{00000000-0005-0000-0000-0000C2080000}"/>
    <cellStyle name="강조색6 2" xfId="2010" xr:uid="{00000000-0005-0000-0000-0000C3080000}"/>
    <cellStyle name="강조색6 20" xfId="2011" xr:uid="{00000000-0005-0000-0000-0000C4080000}"/>
    <cellStyle name="강조색6 21" xfId="2012" xr:uid="{00000000-0005-0000-0000-0000C5080000}"/>
    <cellStyle name="강조색6 22" xfId="2013" xr:uid="{00000000-0005-0000-0000-0000C6080000}"/>
    <cellStyle name="강조색6 23" xfId="2014" xr:uid="{00000000-0005-0000-0000-0000C7080000}"/>
    <cellStyle name="강조색6 24" xfId="2015" xr:uid="{00000000-0005-0000-0000-0000C8080000}"/>
    <cellStyle name="강조색6 25" xfId="2016" xr:uid="{00000000-0005-0000-0000-0000C9080000}"/>
    <cellStyle name="강조색6 26" xfId="2017" xr:uid="{00000000-0005-0000-0000-0000CA080000}"/>
    <cellStyle name="강조색6 27" xfId="2018" xr:uid="{00000000-0005-0000-0000-0000CB080000}"/>
    <cellStyle name="강조색6 28" xfId="2019" xr:uid="{00000000-0005-0000-0000-0000CC080000}"/>
    <cellStyle name="강조색6 29" xfId="2020" xr:uid="{00000000-0005-0000-0000-0000CD080000}"/>
    <cellStyle name="강조색6 3" xfId="2021" xr:uid="{00000000-0005-0000-0000-0000CE080000}"/>
    <cellStyle name="강조색6 30" xfId="2022" xr:uid="{00000000-0005-0000-0000-0000CF080000}"/>
    <cellStyle name="강조색6 31" xfId="2023" xr:uid="{00000000-0005-0000-0000-0000D0080000}"/>
    <cellStyle name="강조색6 32" xfId="2024" xr:uid="{00000000-0005-0000-0000-0000D1080000}"/>
    <cellStyle name="강조색6 33" xfId="2025" xr:uid="{00000000-0005-0000-0000-0000D2080000}"/>
    <cellStyle name="강조색6 34" xfId="2026" xr:uid="{00000000-0005-0000-0000-0000D3080000}"/>
    <cellStyle name="강조색6 35" xfId="2027" xr:uid="{00000000-0005-0000-0000-0000D4080000}"/>
    <cellStyle name="강조색6 36" xfId="2028" xr:uid="{00000000-0005-0000-0000-0000D5080000}"/>
    <cellStyle name="강조색6 37" xfId="2029" xr:uid="{00000000-0005-0000-0000-0000D6080000}"/>
    <cellStyle name="강조색6 38" xfId="2030" xr:uid="{00000000-0005-0000-0000-0000D7080000}"/>
    <cellStyle name="강조색6 39" xfId="2031" xr:uid="{00000000-0005-0000-0000-0000D8080000}"/>
    <cellStyle name="강조색6 4" xfId="2032" xr:uid="{00000000-0005-0000-0000-0000D9080000}"/>
    <cellStyle name="강조색6 40" xfId="2033" xr:uid="{00000000-0005-0000-0000-0000DA080000}"/>
    <cellStyle name="강조색6 41" xfId="2034" xr:uid="{00000000-0005-0000-0000-0000DB080000}"/>
    <cellStyle name="강조색6 42" xfId="2035" xr:uid="{00000000-0005-0000-0000-0000DC080000}"/>
    <cellStyle name="강조색6 43" xfId="2036" xr:uid="{00000000-0005-0000-0000-0000DD080000}"/>
    <cellStyle name="강조색6 44" xfId="2037" xr:uid="{00000000-0005-0000-0000-0000DE080000}"/>
    <cellStyle name="강조색6 45" xfId="2038" xr:uid="{00000000-0005-0000-0000-0000DF080000}"/>
    <cellStyle name="강조색6 46" xfId="2039" xr:uid="{00000000-0005-0000-0000-0000E0080000}"/>
    <cellStyle name="강조색6 47" xfId="2040" xr:uid="{00000000-0005-0000-0000-0000E1080000}"/>
    <cellStyle name="강조색6 48" xfId="2041" xr:uid="{00000000-0005-0000-0000-0000E2080000}"/>
    <cellStyle name="강조색6 49" xfId="2042" xr:uid="{00000000-0005-0000-0000-0000E3080000}"/>
    <cellStyle name="강조색6 5" xfId="2043" xr:uid="{00000000-0005-0000-0000-0000E4080000}"/>
    <cellStyle name="강조색6 50" xfId="2044" xr:uid="{00000000-0005-0000-0000-0000E5080000}"/>
    <cellStyle name="강조색6 51" xfId="2045" xr:uid="{00000000-0005-0000-0000-0000E6080000}"/>
    <cellStyle name="강조색6 52" xfId="2046" xr:uid="{00000000-0005-0000-0000-0000E7080000}"/>
    <cellStyle name="강조색6 53" xfId="2047" xr:uid="{00000000-0005-0000-0000-0000E8080000}"/>
    <cellStyle name="강조색6 54" xfId="2048" xr:uid="{00000000-0005-0000-0000-0000E9080000}"/>
    <cellStyle name="강조색6 55" xfId="2049" xr:uid="{00000000-0005-0000-0000-0000EA080000}"/>
    <cellStyle name="강조색6 56" xfId="2050" xr:uid="{00000000-0005-0000-0000-0000EB080000}"/>
    <cellStyle name="강조색6 57" xfId="2051" xr:uid="{00000000-0005-0000-0000-0000EC080000}"/>
    <cellStyle name="강조색6 58" xfId="2052" xr:uid="{00000000-0005-0000-0000-0000ED080000}"/>
    <cellStyle name="강조색6 59" xfId="3115" xr:uid="{00000000-0005-0000-0000-0000EE080000}"/>
    <cellStyle name="강조색6 6" xfId="2053" xr:uid="{00000000-0005-0000-0000-0000EF080000}"/>
    <cellStyle name="강조색6 7" xfId="2054" xr:uid="{00000000-0005-0000-0000-0000F0080000}"/>
    <cellStyle name="강조색6 8" xfId="2055" xr:uid="{00000000-0005-0000-0000-0000F1080000}"/>
    <cellStyle name="강조색6 9" xfId="2056" xr:uid="{00000000-0005-0000-0000-0000F2080000}"/>
    <cellStyle name="경고문" xfId="2057" builtinId="11" customBuiltin="1"/>
    <cellStyle name="경고문 10" xfId="2058" xr:uid="{00000000-0005-0000-0000-0000F4080000}"/>
    <cellStyle name="경고문 11" xfId="2059" xr:uid="{00000000-0005-0000-0000-0000F5080000}"/>
    <cellStyle name="경고문 12" xfId="2060" xr:uid="{00000000-0005-0000-0000-0000F6080000}"/>
    <cellStyle name="경고문 13" xfId="2061" xr:uid="{00000000-0005-0000-0000-0000F7080000}"/>
    <cellStyle name="경고문 14" xfId="2062" xr:uid="{00000000-0005-0000-0000-0000F8080000}"/>
    <cellStyle name="경고문 15" xfId="2063" xr:uid="{00000000-0005-0000-0000-0000F9080000}"/>
    <cellStyle name="경고문 16" xfId="2064" xr:uid="{00000000-0005-0000-0000-0000FA080000}"/>
    <cellStyle name="경고문 17" xfId="2065" xr:uid="{00000000-0005-0000-0000-0000FB080000}"/>
    <cellStyle name="경고문 18" xfId="2066" xr:uid="{00000000-0005-0000-0000-0000FC080000}"/>
    <cellStyle name="경고문 19" xfId="2067" xr:uid="{00000000-0005-0000-0000-0000FD080000}"/>
    <cellStyle name="경고문 2" xfId="2068" xr:uid="{00000000-0005-0000-0000-0000FE080000}"/>
    <cellStyle name="경고문 20" xfId="2069" xr:uid="{00000000-0005-0000-0000-0000FF080000}"/>
    <cellStyle name="경고문 21" xfId="2070" xr:uid="{00000000-0005-0000-0000-000000090000}"/>
    <cellStyle name="경고문 22" xfId="2071" xr:uid="{00000000-0005-0000-0000-000001090000}"/>
    <cellStyle name="경고문 23" xfId="2072" xr:uid="{00000000-0005-0000-0000-000002090000}"/>
    <cellStyle name="경고문 24" xfId="2073" xr:uid="{00000000-0005-0000-0000-000003090000}"/>
    <cellStyle name="경고문 25" xfId="2074" xr:uid="{00000000-0005-0000-0000-000004090000}"/>
    <cellStyle name="경고문 26" xfId="2075" xr:uid="{00000000-0005-0000-0000-000005090000}"/>
    <cellStyle name="경고문 27" xfId="2076" xr:uid="{00000000-0005-0000-0000-000006090000}"/>
    <cellStyle name="경고문 28" xfId="2077" xr:uid="{00000000-0005-0000-0000-000007090000}"/>
    <cellStyle name="경고문 29" xfId="2078" xr:uid="{00000000-0005-0000-0000-000008090000}"/>
    <cellStyle name="경고문 3" xfId="2079" xr:uid="{00000000-0005-0000-0000-000009090000}"/>
    <cellStyle name="경고문 30" xfId="2080" xr:uid="{00000000-0005-0000-0000-00000A090000}"/>
    <cellStyle name="경고문 31" xfId="2081" xr:uid="{00000000-0005-0000-0000-00000B090000}"/>
    <cellStyle name="경고문 32" xfId="2082" xr:uid="{00000000-0005-0000-0000-00000C090000}"/>
    <cellStyle name="경고문 33" xfId="2083" xr:uid="{00000000-0005-0000-0000-00000D090000}"/>
    <cellStyle name="경고문 34" xfId="2084" xr:uid="{00000000-0005-0000-0000-00000E090000}"/>
    <cellStyle name="경고문 35" xfId="2085" xr:uid="{00000000-0005-0000-0000-00000F090000}"/>
    <cellStyle name="경고문 36" xfId="2086" xr:uid="{00000000-0005-0000-0000-000010090000}"/>
    <cellStyle name="경고문 37" xfId="2087" xr:uid="{00000000-0005-0000-0000-000011090000}"/>
    <cellStyle name="경고문 38" xfId="2088" xr:uid="{00000000-0005-0000-0000-000012090000}"/>
    <cellStyle name="경고문 39" xfId="2089" xr:uid="{00000000-0005-0000-0000-000013090000}"/>
    <cellStyle name="경고문 4" xfId="2090" xr:uid="{00000000-0005-0000-0000-000014090000}"/>
    <cellStyle name="경고문 40" xfId="2091" xr:uid="{00000000-0005-0000-0000-000015090000}"/>
    <cellStyle name="경고문 41" xfId="2092" xr:uid="{00000000-0005-0000-0000-000016090000}"/>
    <cellStyle name="경고문 42" xfId="2093" xr:uid="{00000000-0005-0000-0000-000017090000}"/>
    <cellStyle name="경고문 43" xfId="2094" xr:uid="{00000000-0005-0000-0000-000018090000}"/>
    <cellStyle name="경고문 44" xfId="2095" xr:uid="{00000000-0005-0000-0000-000019090000}"/>
    <cellStyle name="경고문 45" xfId="2096" xr:uid="{00000000-0005-0000-0000-00001A090000}"/>
    <cellStyle name="경고문 46" xfId="2097" xr:uid="{00000000-0005-0000-0000-00001B090000}"/>
    <cellStyle name="경고문 47" xfId="2098" xr:uid="{00000000-0005-0000-0000-00001C090000}"/>
    <cellStyle name="경고문 48" xfId="2099" xr:uid="{00000000-0005-0000-0000-00001D090000}"/>
    <cellStyle name="경고문 49" xfId="2100" xr:uid="{00000000-0005-0000-0000-00001E090000}"/>
    <cellStyle name="경고문 5" xfId="2101" xr:uid="{00000000-0005-0000-0000-00001F090000}"/>
    <cellStyle name="경고문 50" xfId="2102" xr:uid="{00000000-0005-0000-0000-000020090000}"/>
    <cellStyle name="경고문 51" xfId="2103" xr:uid="{00000000-0005-0000-0000-000021090000}"/>
    <cellStyle name="경고문 52" xfId="2104" xr:uid="{00000000-0005-0000-0000-000022090000}"/>
    <cellStyle name="경고문 53" xfId="2105" xr:uid="{00000000-0005-0000-0000-000023090000}"/>
    <cellStyle name="경고문 54" xfId="2106" xr:uid="{00000000-0005-0000-0000-000024090000}"/>
    <cellStyle name="경고문 55" xfId="2107" xr:uid="{00000000-0005-0000-0000-000025090000}"/>
    <cellStyle name="경고문 56" xfId="2108" xr:uid="{00000000-0005-0000-0000-000026090000}"/>
    <cellStyle name="경고문 57" xfId="2109" xr:uid="{00000000-0005-0000-0000-000027090000}"/>
    <cellStyle name="경고문 58" xfId="2110" xr:uid="{00000000-0005-0000-0000-000028090000}"/>
    <cellStyle name="경고문 59" xfId="3091" xr:uid="{00000000-0005-0000-0000-000029090000}"/>
    <cellStyle name="경고문 6" xfId="2111" xr:uid="{00000000-0005-0000-0000-00002A090000}"/>
    <cellStyle name="경고문 7" xfId="2112" xr:uid="{00000000-0005-0000-0000-00002B090000}"/>
    <cellStyle name="경고문 8" xfId="2113" xr:uid="{00000000-0005-0000-0000-00002C090000}"/>
    <cellStyle name="경고문 9" xfId="2114" xr:uid="{00000000-0005-0000-0000-00002D090000}"/>
    <cellStyle name="계산" xfId="2115" builtinId="22" customBuiltin="1"/>
    <cellStyle name="계산 10" xfId="2116" xr:uid="{00000000-0005-0000-0000-00002F090000}"/>
    <cellStyle name="계산 11" xfId="2117" xr:uid="{00000000-0005-0000-0000-000030090000}"/>
    <cellStyle name="계산 12" xfId="2118" xr:uid="{00000000-0005-0000-0000-000031090000}"/>
    <cellStyle name="계산 13" xfId="2119" xr:uid="{00000000-0005-0000-0000-000032090000}"/>
    <cellStyle name="계산 14" xfId="2120" xr:uid="{00000000-0005-0000-0000-000033090000}"/>
    <cellStyle name="계산 15" xfId="2121" xr:uid="{00000000-0005-0000-0000-000034090000}"/>
    <cellStyle name="계산 16" xfId="2122" xr:uid="{00000000-0005-0000-0000-000035090000}"/>
    <cellStyle name="계산 17" xfId="2123" xr:uid="{00000000-0005-0000-0000-000036090000}"/>
    <cellStyle name="계산 18" xfId="2124" xr:uid="{00000000-0005-0000-0000-000037090000}"/>
    <cellStyle name="계산 19" xfId="2125" xr:uid="{00000000-0005-0000-0000-000038090000}"/>
    <cellStyle name="계산 2" xfId="2126" xr:uid="{00000000-0005-0000-0000-000039090000}"/>
    <cellStyle name="계산 20" xfId="2127" xr:uid="{00000000-0005-0000-0000-00003A090000}"/>
    <cellStyle name="계산 21" xfId="2128" xr:uid="{00000000-0005-0000-0000-00003B090000}"/>
    <cellStyle name="계산 22" xfId="2129" xr:uid="{00000000-0005-0000-0000-00003C090000}"/>
    <cellStyle name="계산 23" xfId="2130" xr:uid="{00000000-0005-0000-0000-00003D090000}"/>
    <cellStyle name="계산 24" xfId="2131" xr:uid="{00000000-0005-0000-0000-00003E090000}"/>
    <cellStyle name="계산 25" xfId="2132" xr:uid="{00000000-0005-0000-0000-00003F090000}"/>
    <cellStyle name="계산 26" xfId="2133" xr:uid="{00000000-0005-0000-0000-000040090000}"/>
    <cellStyle name="계산 27" xfId="2134" xr:uid="{00000000-0005-0000-0000-000041090000}"/>
    <cellStyle name="계산 28" xfId="2135" xr:uid="{00000000-0005-0000-0000-000042090000}"/>
    <cellStyle name="계산 29" xfId="2136" xr:uid="{00000000-0005-0000-0000-000043090000}"/>
    <cellStyle name="계산 3" xfId="2137" xr:uid="{00000000-0005-0000-0000-000044090000}"/>
    <cellStyle name="계산 30" xfId="2138" xr:uid="{00000000-0005-0000-0000-000045090000}"/>
    <cellStyle name="계산 31" xfId="2139" xr:uid="{00000000-0005-0000-0000-000046090000}"/>
    <cellStyle name="계산 32" xfId="2140" xr:uid="{00000000-0005-0000-0000-000047090000}"/>
    <cellStyle name="계산 33" xfId="2141" xr:uid="{00000000-0005-0000-0000-000048090000}"/>
    <cellStyle name="계산 34" xfId="2142" xr:uid="{00000000-0005-0000-0000-000049090000}"/>
    <cellStyle name="계산 35" xfId="2143" xr:uid="{00000000-0005-0000-0000-00004A090000}"/>
    <cellStyle name="계산 36" xfId="2144" xr:uid="{00000000-0005-0000-0000-00004B090000}"/>
    <cellStyle name="계산 37" xfId="2145" xr:uid="{00000000-0005-0000-0000-00004C090000}"/>
    <cellStyle name="계산 38" xfId="2146" xr:uid="{00000000-0005-0000-0000-00004D090000}"/>
    <cellStyle name="계산 39" xfId="2147" xr:uid="{00000000-0005-0000-0000-00004E090000}"/>
    <cellStyle name="계산 4" xfId="2148" xr:uid="{00000000-0005-0000-0000-00004F090000}"/>
    <cellStyle name="계산 40" xfId="2149" xr:uid="{00000000-0005-0000-0000-000050090000}"/>
    <cellStyle name="계산 41" xfId="2150" xr:uid="{00000000-0005-0000-0000-000051090000}"/>
    <cellStyle name="계산 42" xfId="2151" xr:uid="{00000000-0005-0000-0000-000052090000}"/>
    <cellStyle name="계산 43" xfId="2152" xr:uid="{00000000-0005-0000-0000-000053090000}"/>
    <cellStyle name="계산 44" xfId="2153" xr:uid="{00000000-0005-0000-0000-000054090000}"/>
    <cellStyle name="계산 45" xfId="2154" xr:uid="{00000000-0005-0000-0000-000055090000}"/>
    <cellStyle name="계산 46" xfId="2155" xr:uid="{00000000-0005-0000-0000-000056090000}"/>
    <cellStyle name="계산 47" xfId="2156" xr:uid="{00000000-0005-0000-0000-000057090000}"/>
    <cellStyle name="계산 48" xfId="2157" xr:uid="{00000000-0005-0000-0000-000058090000}"/>
    <cellStyle name="계산 49" xfId="2158" xr:uid="{00000000-0005-0000-0000-000059090000}"/>
    <cellStyle name="계산 5" xfId="2159" xr:uid="{00000000-0005-0000-0000-00005A090000}"/>
    <cellStyle name="계산 50" xfId="2160" xr:uid="{00000000-0005-0000-0000-00005B090000}"/>
    <cellStyle name="계산 51" xfId="2161" xr:uid="{00000000-0005-0000-0000-00005C090000}"/>
    <cellStyle name="계산 52" xfId="2162" xr:uid="{00000000-0005-0000-0000-00005D090000}"/>
    <cellStyle name="계산 53" xfId="2163" xr:uid="{00000000-0005-0000-0000-00005E090000}"/>
    <cellStyle name="계산 54" xfId="2164" xr:uid="{00000000-0005-0000-0000-00005F090000}"/>
    <cellStyle name="계산 55" xfId="2165" xr:uid="{00000000-0005-0000-0000-000060090000}"/>
    <cellStyle name="계산 56" xfId="2166" xr:uid="{00000000-0005-0000-0000-000061090000}"/>
    <cellStyle name="계산 57" xfId="2167" xr:uid="{00000000-0005-0000-0000-000062090000}"/>
    <cellStyle name="계산 58" xfId="2168" xr:uid="{00000000-0005-0000-0000-000063090000}"/>
    <cellStyle name="계산 59" xfId="3088" xr:uid="{00000000-0005-0000-0000-000064090000}"/>
    <cellStyle name="계산 6" xfId="2169" xr:uid="{00000000-0005-0000-0000-000065090000}"/>
    <cellStyle name="계산 7" xfId="2170" xr:uid="{00000000-0005-0000-0000-000066090000}"/>
    <cellStyle name="계산 8" xfId="2171" xr:uid="{00000000-0005-0000-0000-000067090000}"/>
    <cellStyle name="계산 9" xfId="2172" xr:uid="{00000000-0005-0000-0000-000068090000}"/>
    <cellStyle name="나쁨" xfId="2173" builtinId="27" customBuiltin="1"/>
    <cellStyle name="나쁨 10" xfId="2174" xr:uid="{00000000-0005-0000-0000-00006A090000}"/>
    <cellStyle name="나쁨 11" xfId="2175" xr:uid="{00000000-0005-0000-0000-00006B090000}"/>
    <cellStyle name="나쁨 12" xfId="2176" xr:uid="{00000000-0005-0000-0000-00006C090000}"/>
    <cellStyle name="나쁨 13" xfId="2177" xr:uid="{00000000-0005-0000-0000-00006D090000}"/>
    <cellStyle name="나쁨 14" xfId="2178" xr:uid="{00000000-0005-0000-0000-00006E090000}"/>
    <cellStyle name="나쁨 15" xfId="2179" xr:uid="{00000000-0005-0000-0000-00006F090000}"/>
    <cellStyle name="나쁨 16" xfId="2180" xr:uid="{00000000-0005-0000-0000-000070090000}"/>
    <cellStyle name="나쁨 17" xfId="2181" xr:uid="{00000000-0005-0000-0000-000071090000}"/>
    <cellStyle name="나쁨 18" xfId="2182" xr:uid="{00000000-0005-0000-0000-000072090000}"/>
    <cellStyle name="나쁨 19" xfId="2183" xr:uid="{00000000-0005-0000-0000-000073090000}"/>
    <cellStyle name="나쁨 2" xfId="2184" xr:uid="{00000000-0005-0000-0000-000074090000}"/>
    <cellStyle name="나쁨 20" xfId="2185" xr:uid="{00000000-0005-0000-0000-000075090000}"/>
    <cellStyle name="나쁨 21" xfId="2186" xr:uid="{00000000-0005-0000-0000-000076090000}"/>
    <cellStyle name="나쁨 22" xfId="2187" xr:uid="{00000000-0005-0000-0000-000077090000}"/>
    <cellStyle name="나쁨 23" xfId="2188" xr:uid="{00000000-0005-0000-0000-000078090000}"/>
    <cellStyle name="나쁨 24" xfId="2189" xr:uid="{00000000-0005-0000-0000-000079090000}"/>
    <cellStyle name="나쁨 25" xfId="2190" xr:uid="{00000000-0005-0000-0000-00007A090000}"/>
    <cellStyle name="나쁨 26" xfId="2191" xr:uid="{00000000-0005-0000-0000-00007B090000}"/>
    <cellStyle name="나쁨 27" xfId="2192" xr:uid="{00000000-0005-0000-0000-00007C090000}"/>
    <cellStyle name="나쁨 28" xfId="2193" xr:uid="{00000000-0005-0000-0000-00007D090000}"/>
    <cellStyle name="나쁨 29" xfId="2194" xr:uid="{00000000-0005-0000-0000-00007E090000}"/>
    <cellStyle name="나쁨 3" xfId="2195" xr:uid="{00000000-0005-0000-0000-00007F090000}"/>
    <cellStyle name="나쁨 30" xfId="2196" xr:uid="{00000000-0005-0000-0000-000080090000}"/>
    <cellStyle name="나쁨 31" xfId="2197" xr:uid="{00000000-0005-0000-0000-000081090000}"/>
    <cellStyle name="나쁨 32" xfId="2198" xr:uid="{00000000-0005-0000-0000-000082090000}"/>
    <cellStyle name="나쁨 33" xfId="2199" xr:uid="{00000000-0005-0000-0000-000083090000}"/>
    <cellStyle name="나쁨 34" xfId="2200" xr:uid="{00000000-0005-0000-0000-000084090000}"/>
    <cellStyle name="나쁨 35" xfId="2201" xr:uid="{00000000-0005-0000-0000-000085090000}"/>
    <cellStyle name="나쁨 36" xfId="2202" xr:uid="{00000000-0005-0000-0000-000086090000}"/>
    <cellStyle name="나쁨 37" xfId="2203" xr:uid="{00000000-0005-0000-0000-000087090000}"/>
    <cellStyle name="나쁨 38" xfId="2204" xr:uid="{00000000-0005-0000-0000-000088090000}"/>
    <cellStyle name="나쁨 39" xfId="2205" xr:uid="{00000000-0005-0000-0000-000089090000}"/>
    <cellStyle name="나쁨 4" xfId="2206" xr:uid="{00000000-0005-0000-0000-00008A090000}"/>
    <cellStyle name="나쁨 40" xfId="2207" xr:uid="{00000000-0005-0000-0000-00008B090000}"/>
    <cellStyle name="나쁨 41" xfId="2208" xr:uid="{00000000-0005-0000-0000-00008C090000}"/>
    <cellStyle name="나쁨 42" xfId="2209" xr:uid="{00000000-0005-0000-0000-00008D090000}"/>
    <cellStyle name="나쁨 43" xfId="2210" xr:uid="{00000000-0005-0000-0000-00008E090000}"/>
    <cellStyle name="나쁨 44" xfId="2211" xr:uid="{00000000-0005-0000-0000-00008F090000}"/>
    <cellStyle name="나쁨 45" xfId="2212" xr:uid="{00000000-0005-0000-0000-000090090000}"/>
    <cellStyle name="나쁨 46" xfId="2213" xr:uid="{00000000-0005-0000-0000-000091090000}"/>
    <cellStyle name="나쁨 47" xfId="2214" xr:uid="{00000000-0005-0000-0000-000092090000}"/>
    <cellStyle name="나쁨 48" xfId="2215" xr:uid="{00000000-0005-0000-0000-000093090000}"/>
    <cellStyle name="나쁨 49" xfId="2216" xr:uid="{00000000-0005-0000-0000-000094090000}"/>
    <cellStyle name="나쁨 5" xfId="2217" xr:uid="{00000000-0005-0000-0000-000095090000}"/>
    <cellStyle name="나쁨 50" xfId="2218" xr:uid="{00000000-0005-0000-0000-000096090000}"/>
    <cellStyle name="나쁨 51" xfId="2219" xr:uid="{00000000-0005-0000-0000-000097090000}"/>
    <cellStyle name="나쁨 52" xfId="2220" xr:uid="{00000000-0005-0000-0000-000098090000}"/>
    <cellStyle name="나쁨 53" xfId="2221" xr:uid="{00000000-0005-0000-0000-000099090000}"/>
    <cellStyle name="나쁨 54" xfId="2222" xr:uid="{00000000-0005-0000-0000-00009A090000}"/>
    <cellStyle name="나쁨 55" xfId="2223" xr:uid="{00000000-0005-0000-0000-00009B090000}"/>
    <cellStyle name="나쁨 56" xfId="2224" xr:uid="{00000000-0005-0000-0000-00009C090000}"/>
    <cellStyle name="나쁨 57" xfId="2225" xr:uid="{00000000-0005-0000-0000-00009D090000}"/>
    <cellStyle name="나쁨 58" xfId="2226" xr:uid="{00000000-0005-0000-0000-00009E090000}"/>
    <cellStyle name="나쁨 59" xfId="3084" xr:uid="{00000000-0005-0000-0000-00009F090000}"/>
    <cellStyle name="나쁨 6" xfId="2227" xr:uid="{00000000-0005-0000-0000-0000A0090000}"/>
    <cellStyle name="나쁨 7" xfId="2228" xr:uid="{00000000-0005-0000-0000-0000A1090000}"/>
    <cellStyle name="나쁨 8" xfId="2229" xr:uid="{00000000-0005-0000-0000-0000A2090000}"/>
    <cellStyle name="나쁨 9" xfId="2230" xr:uid="{00000000-0005-0000-0000-0000A3090000}"/>
    <cellStyle name="메모" xfId="2231" builtinId="10" customBuiltin="1"/>
    <cellStyle name="메모 10" xfId="2232" xr:uid="{00000000-0005-0000-0000-0000A5090000}"/>
    <cellStyle name="메모 11" xfId="2233" xr:uid="{00000000-0005-0000-0000-0000A6090000}"/>
    <cellStyle name="메모 12" xfId="2234" xr:uid="{00000000-0005-0000-0000-0000A7090000}"/>
    <cellStyle name="메모 13" xfId="2235" xr:uid="{00000000-0005-0000-0000-0000A8090000}"/>
    <cellStyle name="메모 14" xfId="2236" xr:uid="{00000000-0005-0000-0000-0000A9090000}"/>
    <cellStyle name="메모 15" xfId="2237" xr:uid="{00000000-0005-0000-0000-0000AA090000}"/>
    <cellStyle name="메모 16" xfId="2238" xr:uid="{00000000-0005-0000-0000-0000AB090000}"/>
    <cellStyle name="메모 17" xfId="2239" xr:uid="{00000000-0005-0000-0000-0000AC090000}"/>
    <cellStyle name="메모 18" xfId="2240" xr:uid="{00000000-0005-0000-0000-0000AD090000}"/>
    <cellStyle name="메모 19" xfId="2241" xr:uid="{00000000-0005-0000-0000-0000AE090000}"/>
    <cellStyle name="메모 2" xfId="2242" xr:uid="{00000000-0005-0000-0000-0000AF090000}"/>
    <cellStyle name="메모 20" xfId="2243" xr:uid="{00000000-0005-0000-0000-0000B0090000}"/>
    <cellStyle name="메모 21" xfId="2244" xr:uid="{00000000-0005-0000-0000-0000B1090000}"/>
    <cellStyle name="메모 22" xfId="2245" xr:uid="{00000000-0005-0000-0000-0000B2090000}"/>
    <cellStyle name="메모 23" xfId="2246" xr:uid="{00000000-0005-0000-0000-0000B3090000}"/>
    <cellStyle name="메모 24" xfId="2247" xr:uid="{00000000-0005-0000-0000-0000B4090000}"/>
    <cellStyle name="메모 25" xfId="2248" xr:uid="{00000000-0005-0000-0000-0000B5090000}"/>
    <cellStyle name="메모 26" xfId="2249" xr:uid="{00000000-0005-0000-0000-0000B6090000}"/>
    <cellStyle name="메모 27" xfId="2250" xr:uid="{00000000-0005-0000-0000-0000B7090000}"/>
    <cellStyle name="메모 28" xfId="2251" xr:uid="{00000000-0005-0000-0000-0000B8090000}"/>
    <cellStyle name="메모 29" xfId="2252" xr:uid="{00000000-0005-0000-0000-0000B9090000}"/>
    <cellStyle name="메모 3" xfId="2253" xr:uid="{00000000-0005-0000-0000-0000BA090000}"/>
    <cellStyle name="메모 30" xfId="2254" xr:uid="{00000000-0005-0000-0000-0000BB090000}"/>
    <cellStyle name="메모 31" xfId="2255" xr:uid="{00000000-0005-0000-0000-0000BC090000}"/>
    <cellStyle name="메모 32" xfId="2256" xr:uid="{00000000-0005-0000-0000-0000BD090000}"/>
    <cellStyle name="메모 33" xfId="2257" xr:uid="{00000000-0005-0000-0000-0000BE090000}"/>
    <cellStyle name="메모 34" xfId="2258" xr:uid="{00000000-0005-0000-0000-0000BF090000}"/>
    <cellStyle name="메모 35" xfId="2259" xr:uid="{00000000-0005-0000-0000-0000C0090000}"/>
    <cellStyle name="메모 36" xfId="2260" xr:uid="{00000000-0005-0000-0000-0000C1090000}"/>
    <cellStyle name="메모 37" xfId="2261" xr:uid="{00000000-0005-0000-0000-0000C2090000}"/>
    <cellStyle name="메모 38" xfId="2262" xr:uid="{00000000-0005-0000-0000-0000C3090000}"/>
    <cellStyle name="메모 39" xfId="2263" xr:uid="{00000000-0005-0000-0000-0000C4090000}"/>
    <cellStyle name="메모 4" xfId="2264" xr:uid="{00000000-0005-0000-0000-0000C5090000}"/>
    <cellStyle name="메모 40" xfId="2265" xr:uid="{00000000-0005-0000-0000-0000C6090000}"/>
    <cellStyle name="메모 41" xfId="2266" xr:uid="{00000000-0005-0000-0000-0000C7090000}"/>
    <cellStyle name="메모 42" xfId="2267" xr:uid="{00000000-0005-0000-0000-0000C8090000}"/>
    <cellStyle name="메모 43" xfId="2268" xr:uid="{00000000-0005-0000-0000-0000C9090000}"/>
    <cellStyle name="메모 44" xfId="2269" xr:uid="{00000000-0005-0000-0000-0000CA090000}"/>
    <cellStyle name="메모 45" xfId="2270" xr:uid="{00000000-0005-0000-0000-0000CB090000}"/>
    <cellStyle name="메모 46" xfId="2271" xr:uid="{00000000-0005-0000-0000-0000CC090000}"/>
    <cellStyle name="메모 47" xfId="2272" xr:uid="{00000000-0005-0000-0000-0000CD090000}"/>
    <cellStyle name="메모 48" xfId="2273" xr:uid="{00000000-0005-0000-0000-0000CE090000}"/>
    <cellStyle name="메모 49" xfId="2274" xr:uid="{00000000-0005-0000-0000-0000CF090000}"/>
    <cellStyle name="메모 5" xfId="2275" xr:uid="{00000000-0005-0000-0000-0000D0090000}"/>
    <cellStyle name="메모 50" xfId="2276" xr:uid="{00000000-0005-0000-0000-0000D1090000}"/>
    <cellStyle name="메모 51" xfId="2277" xr:uid="{00000000-0005-0000-0000-0000D2090000}"/>
    <cellStyle name="메모 52" xfId="2278" xr:uid="{00000000-0005-0000-0000-0000D3090000}"/>
    <cellStyle name="메모 53" xfId="2279" xr:uid="{00000000-0005-0000-0000-0000D4090000}"/>
    <cellStyle name="메모 54" xfId="2280" xr:uid="{00000000-0005-0000-0000-0000D5090000}"/>
    <cellStyle name="메모 55" xfId="2281" xr:uid="{00000000-0005-0000-0000-0000D6090000}"/>
    <cellStyle name="메모 56" xfId="2282" xr:uid="{00000000-0005-0000-0000-0000D7090000}"/>
    <cellStyle name="메모 57" xfId="2283" xr:uid="{00000000-0005-0000-0000-0000D8090000}"/>
    <cellStyle name="메모 58" xfId="2284" xr:uid="{00000000-0005-0000-0000-0000D9090000}"/>
    <cellStyle name="메모 59" xfId="3092" xr:uid="{00000000-0005-0000-0000-0000DA090000}"/>
    <cellStyle name="메모 6" xfId="2285" xr:uid="{00000000-0005-0000-0000-0000DB090000}"/>
    <cellStyle name="메모 60" xfId="3119" xr:uid="{00000000-0005-0000-0000-0000DC090000}"/>
    <cellStyle name="메모 61" xfId="3132" xr:uid="{00000000-0005-0000-0000-0000DD090000}"/>
    <cellStyle name="메모 62" xfId="3146" xr:uid="{00000000-0005-0000-0000-0000DE090000}"/>
    <cellStyle name="메모 63" xfId="3159" xr:uid="{00000000-0005-0000-0000-0000DF090000}"/>
    <cellStyle name="메모 64" xfId="3172" xr:uid="{00000000-0005-0000-0000-0000E0090000}"/>
    <cellStyle name="메모 65" xfId="3185" xr:uid="{00000000-0005-0000-0000-0000E1090000}"/>
    <cellStyle name="메모 66" xfId="3202" xr:uid="{00000000-0005-0000-0000-0000E2090000}"/>
    <cellStyle name="메모 67" xfId="3232" xr:uid="{00000000-0005-0000-0000-0000E3090000}"/>
    <cellStyle name="메모 68" xfId="3245" xr:uid="{00000000-0005-0000-0000-0000E4090000}"/>
    <cellStyle name="메모 69" xfId="3258" xr:uid="{00000000-0005-0000-0000-0000E5090000}"/>
    <cellStyle name="메모 7" xfId="2286" xr:uid="{00000000-0005-0000-0000-0000E6090000}"/>
    <cellStyle name="메모 70" xfId="3271" xr:uid="{00000000-0005-0000-0000-0000E7090000}"/>
    <cellStyle name="메모 71" xfId="3284" xr:uid="{00000000-0005-0000-0000-0000E8090000}"/>
    <cellStyle name="메모 72" xfId="3297" xr:uid="{00000000-0005-0000-0000-0000E9090000}"/>
    <cellStyle name="메모 73" xfId="3310" xr:uid="{00000000-0005-0000-0000-0000EA090000}"/>
    <cellStyle name="메모 74" xfId="3323" xr:uid="{00000000-0005-0000-0000-0000EB090000}"/>
    <cellStyle name="메모 75" xfId="3336" xr:uid="{00000000-0005-0000-0000-0000EC090000}"/>
    <cellStyle name="메모 8" xfId="2287" xr:uid="{00000000-0005-0000-0000-0000ED090000}"/>
    <cellStyle name="메모 9" xfId="2288" xr:uid="{00000000-0005-0000-0000-0000EE090000}"/>
    <cellStyle name="백분율" xfId="2289" builtinId="5"/>
    <cellStyle name="보통" xfId="2290" builtinId="28" customBuiltin="1"/>
    <cellStyle name="보통 10" xfId="2291" xr:uid="{00000000-0005-0000-0000-0000F1090000}"/>
    <cellStyle name="보통 11" xfId="2292" xr:uid="{00000000-0005-0000-0000-0000F2090000}"/>
    <cellStyle name="보통 12" xfId="2293" xr:uid="{00000000-0005-0000-0000-0000F3090000}"/>
    <cellStyle name="보통 13" xfId="2294" xr:uid="{00000000-0005-0000-0000-0000F4090000}"/>
    <cellStyle name="보통 14" xfId="2295" xr:uid="{00000000-0005-0000-0000-0000F5090000}"/>
    <cellStyle name="보통 15" xfId="2296" xr:uid="{00000000-0005-0000-0000-0000F6090000}"/>
    <cellStyle name="보통 16" xfId="2297" xr:uid="{00000000-0005-0000-0000-0000F7090000}"/>
    <cellStyle name="보통 17" xfId="2298" xr:uid="{00000000-0005-0000-0000-0000F8090000}"/>
    <cellStyle name="보통 18" xfId="2299" xr:uid="{00000000-0005-0000-0000-0000F9090000}"/>
    <cellStyle name="보통 19" xfId="2300" xr:uid="{00000000-0005-0000-0000-0000FA090000}"/>
    <cellStyle name="보통 2" xfId="2301" xr:uid="{00000000-0005-0000-0000-0000FB090000}"/>
    <cellStyle name="보통 20" xfId="2302" xr:uid="{00000000-0005-0000-0000-0000FC090000}"/>
    <cellStyle name="보통 21" xfId="2303" xr:uid="{00000000-0005-0000-0000-0000FD090000}"/>
    <cellStyle name="보통 22" xfId="2304" xr:uid="{00000000-0005-0000-0000-0000FE090000}"/>
    <cellStyle name="보통 23" xfId="2305" xr:uid="{00000000-0005-0000-0000-0000FF090000}"/>
    <cellStyle name="보통 24" xfId="2306" xr:uid="{00000000-0005-0000-0000-0000000A0000}"/>
    <cellStyle name="보통 25" xfId="2307" xr:uid="{00000000-0005-0000-0000-0000010A0000}"/>
    <cellStyle name="보통 26" xfId="2308" xr:uid="{00000000-0005-0000-0000-0000020A0000}"/>
    <cellStyle name="보통 27" xfId="2309" xr:uid="{00000000-0005-0000-0000-0000030A0000}"/>
    <cellStyle name="보통 28" xfId="2310" xr:uid="{00000000-0005-0000-0000-0000040A0000}"/>
    <cellStyle name="보통 29" xfId="2311" xr:uid="{00000000-0005-0000-0000-0000050A0000}"/>
    <cellStyle name="보통 3" xfId="2312" xr:uid="{00000000-0005-0000-0000-0000060A0000}"/>
    <cellStyle name="보통 30" xfId="2313" xr:uid="{00000000-0005-0000-0000-0000070A0000}"/>
    <cellStyle name="보통 31" xfId="2314" xr:uid="{00000000-0005-0000-0000-0000080A0000}"/>
    <cellStyle name="보통 32" xfId="2315" xr:uid="{00000000-0005-0000-0000-0000090A0000}"/>
    <cellStyle name="보통 33" xfId="2316" xr:uid="{00000000-0005-0000-0000-00000A0A0000}"/>
    <cellStyle name="보통 34" xfId="2317" xr:uid="{00000000-0005-0000-0000-00000B0A0000}"/>
    <cellStyle name="보통 35" xfId="2318" xr:uid="{00000000-0005-0000-0000-00000C0A0000}"/>
    <cellStyle name="보통 36" xfId="2319" xr:uid="{00000000-0005-0000-0000-00000D0A0000}"/>
    <cellStyle name="보통 37" xfId="2320" xr:uid="{00000000-0005-0000-0000-00000E0A0000}"/>
    <cellStyle name="보통 38" xfId="2321" xr:uid="{00000000-0005-0000-0000-00000F0A0000}"/>
    <cellStyle name="보통 39" xfId="2322" xr:uid="{00000000-0005-0000-0000-0000100A0000}"/>
    <cellStyle name="보통 4" xfId="2323" xr:uid="{00000000-0005-0000-0000-0000110A0000}"/>
    <cellStyle name="보통 40" xfId="2324" xr:uid="{00000000-0005-0000-0000-0000120A0000}"/>
    <cellStyle name="보통 41" xfId="2325" xr:uid="{00000000-0005-0000-0000-0000130A0000}"/>
    <cellStyle name="보통 42" xfId="2326" xr:uid="{00000000-0005-0000-0000-0000140A0000}"/>
    <cellStyle name="보통 43" xfId="2327" xr:uid="{00000000-0005-0000-0000-0000150A0000}"/>
    <cellStyle name="보통 44" xfId="2328" xr:uid="{00000000-0005-0000-0000-0000160A0000}"/>
    <cellStyle name="보통 45" xfId="2329" xr:uid="{00000000-0005-0000-0000-0000170A0000}"/>
    <cellStyle name="보통 46" xfId="2330" xr:uid="{00000000-0005-0000-0000-0000180A0000}"/>
    <cellStyle name="보통 47" xfId="2331" xr:uid="{00000000-0005-0000-0000-0000190A0000}"/>
    <cellStyle name="보통 48" xfId="2332" xr:uid="{00000000-0005-0000-0000-00001A0A0000}"/>
    <cellStyle name="보통 49" xfId="2333" xr:uid="{00000000-0005-0000-0000-00001B0A0000}"/>
    <cellStyle name="보통 5" xfId="2334" xr:uid="{00000000-0005-0000-0000-00001C0A0000}"/>
    <cellStyle name="보통 50" xfId="2335" xr:uid="{00000000-0005-0000-0000-00001D0A0000}"/>
    <cellStyle name="보통 51" xfId="2336" xr:uid="{00000000-0005-0000-0000-00001E0A0000}"/>
    <cellStyle name="보통 52" xfId="2337" xr:uid="{00000000-0005-0000-0000-00001F0A0000}"/>
    <cellStyle name="보통 53" xfId="2338" xr:uid="{00000000-0005-0000-0000-0000200A0000}"/>
    <cellStyle name="보통 54" xfId="2339" xr:uid="{00000000-0005-0000-0000-0000210A0000}"/>
    <cellStyle name="보통 55" xfId="2340" xr:uid="{00000000-0005-0000-0000-0000220A0000}"/>
    <cellStyle name="보통 56" xfId="2341" xr:uid="{00000000-0005-0000-0000-0000230A0000}"/>
    <cellStyle name="보통 57" xfId="2342" xr:uid="{00000000-0005-0000-0000-0000240A0000}"/>
    <cellStyle name="보통 58" xfId="2343" xr:uid="{00000000-0005-0000-0000-0000250A0000}"/>
    <cellStyle name="보통 59" xfId="3085" xr:uid="{00000000-0005-0000-0000-0000260A0000}"/>
    <cellStyle name="보통 6" xfId="2344" xr:uid="{00000000-0005-0000-0000-0000270A0000}"/>
    <cellStyle name="보통 7" xfId="2345" xr:uid="{00000000-0005-0000-0000-0000280A0000}"/>
    <cellStyle name="보통 8" xfId="2346" xr:uid="{00000000-0005-0000-0000-0000290A0000}"/>
    <cellStyle name="보통 9" xfId="2347" xr:uid="{00000000-0005-0000-0000-00002A0A0000}"/>
    <cellStyle name="설명 텍스트" xfId="2348" builtinId="53" customBuiltin="1"/>
    <cellStyle name="설명 텍스트 10" xfId="2349" xr:uid="{00000000-0005-0000-0000-00002C0A0000}"/>
    <cellStyle name="설명 텍스트 11" xfId="2350" xr:uid="{00000000-0005-0000-0000-00002D0A0000}"/>
    <cellStyle name="설명 텍스트 12" xfId="2351" xr:uid="{00000000-0005-0000-0000-00002E0A0000}"/>
    <cellStyle name="설명 텍스트 13" xfId="2352" xr:uid="{00000000-0005-0000-0000-00002F0A0000}"/>
    <cellStyle name="설명 텍스트 14" xfId="2353" xr:uid="{00000000-0005-0000-0000-0000300A0000}"/>
    <cellStyle name="설명 텍스트 15" xfId="2354" xr:uid="{00000000-0005-0000-0000-0000310A0000}"/>
    <cellStyle name="설명 텍스트 16" xfId="2355" xr:uid="{00000000-0005-0000-0000-0000320A0000}"/>
    <cellStyle name="설명 텍스트 17" xfId="2356" xr:uid="{00000000-0005-0000-0000-0000330A0000}"/>
    <cellStyle name="설명 텍스트 18" xfId="2357" xr:uid="{00000000-0005-0000-0000-0000340A0000}"/>
    <cellStyle name="설명 텍스트 19" xfId="2358" xr:uid="{00000000-0005-0000-0000-0000350A0000}"/>
    <cellStyle name="설명 텍스트 2" xfId="2359" xr:uid="{00000000-0005-0000-0000-0000360A0000}"/>
    <cellStyle name="설명 텍스트 20" xfId="2360" xr:uid="{00000000-0005-0000-0000-0000370A0000}"/>
    <cellStyle name="설명 텍스트 21" xfId="2361" xr:uid="{00000000-0005-0000-0000-0000380A0000}"/>
    <cellStyle name="설명 텍스트 22" xfId="2362" xr:uid="{00000000-0005-0000-0000-0000390A0000}"/>
    <cellStyle name="설명 텍스트 23" xfId="2363" xr:uid="{00000000-0005-0000-0000-00003A0A0000}"/>
    <cellStyle name="설명 텍스트 24" xfId="2364" xr:uid="{00000000-0005-0000-0000-00003B0A0000}"/>
    <cellStyle name="설명 텍스트 25" xfId="2365" xr:uid="{00000000-0005-0000-0000-00003C0A0000}"/>
    <cellStyle name="설명 텍스트 26" xfId="2366" xr:uid="{00000000-0005-0000-0000-00003D0A0000}"/>
    <cellStyle name="설명 텍스트 27" xfId="2367" xr:uid="{00000000-0005-0000-0000-00003E0A0000}"/>
    <cellStyle name="설명 텍스트 28" xfId="2368" xr:uid="{00000000-0005-0000-0000-00003F0A0000}"/>
    <cellStyle name="설명 텍스트 29" xfId="2369" xr:uid="{00000000-0005-0000-0000-0000400A0000}"/>
    <cellStyle name="설명 텍스트 3" xfId="2370" xr:uid="{00000000-0005-0000-0000-0000410A0000}"/>
    <cellStyle name="설명 텍스트 30" xfId="2371" xr:uid="{00000000-0005-0000-0000-0000420A0000}"/>
    <cellStyle name="설명 텍스트 31" xfId="2372" xr:uid="{00000000-0005-0000-0000-0000430A0000}"/>
    <cellStyle name="설명 텍스트 32" xfId="2373" xr:uid="{00000000-0005-0000-0000-0000440A0000}"/>
    <cellStyle name="설명 텍스트 33" xfId="2374" xr:uid="{00000000-0005-0000-0000-0000450A0000}"/>
    <cellStyle name="설명 텍스트 34" xfId="2375" xr:uid="{00000000-0005-0000-0000-0000460A0000}"/>
    <cellStyle name="설명 텍스트 35" xfId="2376" xr:uid="{00000000-0005-0000-0000-0000470A0000}"/>
    <cellStyle name="설명 텍스트 36" xfId="2377" xr:uid="{00000000-0005-0000-0000-0000480A0000}"/>
    <cellStyle name="설명 텍스트 37" xfId="2378" xr:uid="{00000000-0005-0000-0000-0000490A0000}"/>
    <cellStyle name="설명 텍스트 38" xfId="2379" xr:uid="{00000000-0005-0000-0000-00004A0A0000}"/>
    <cellStyle name="설명 텍스트 39" xfId="2380" xr:uid="{00000000-0005-0000-0000-00004B0A0000}"/>
    <cellStyle name="설명 텍스트 4" xfId="2381" xr:uid="{00000000-0005-0000-0000-00004C0A0000}"/>
    <cellStyle name="설명 텍스트 40" xfId="2382" xr:uid="{00000000-0005-0000-0000-00004D0A0000}"/>
    <cellStyle name="설명 텍스트 41" xfId="2383" xr:uid="{00000000-0005-0000-0000-00004E0A0000}"/>
    <cellStyle name="설명 텍스트 42" xfId="2384" xr:uid="{00000000-0005-0000-0000-00004F0A0000}"/>
    <cellStyle name="설명 텍스트 43" xfId="2385" xr:uid="{00000000-0005-0000-0000-0000500A0000}"/>
    <cellStyle name="설명 텍스트 44" xfId="2386" xr:uid="{00000000-0005-0000-0000-0000510A0000}"/>
    <cellStyle name="설명 텍스트 45" xfId="2387" xr:uid="{00000000-0005-0000-0000-0000520A0000}"/>
    <cellStyle name="설명 텍스트 46" xfId="2388" xr:uid="{00000000-0005-0000-0000-0000530A0000}"/>
    <cellStyle name="설명 텍스트 47" xfId="2389" xr:uid="{00000000-0005-0000-0000-0000540A0000}"/>
    <cellStyle name="설명 텍스트 48" xfId="2390" xr:uid="{00000000-0005-0000-0000-0000550A0000}"/>
    <cellStyle name="설명 텍스트 49" xfId="2391" xr:uid="{00000000-0005-0000-0000-0000560A0000}"/>
    <cellStyle name="설명 텍스트 5" xfId="2392" xr:uid="{00000000-0005-0000-0000-0000570A0000}"/>
    <cellStyle name="설명 텍스트 50" xfId="2393" xr:uid="{00000000-0005-0000-0000-0000580A0000}"/>
    <cellStyle name="설명 텍스트 51" xfId="2394" xr:uid="{00000000-0005-0000-0000-0000590A0000}"/>
    <cellStyle name="설명 텍스트 52" xfId="2395" xr:uid="{00000000-0005-0000-0000-00005A0A0000}"/>
    <cellStyle name="설명 텍스트 53" xfId="2396" xr:uid="{00000000-0005-0000-0000-00005B0A0000}"/>
    <cellStyle name="설명 텍스트 54" xfId="2397" xr:uid="{00000000-0005-0000-0000-00005C0A0000}"/>
    <cellStyle name="설명 텍스트 55" xfId="2398" xr:uid="{00000000-0005-0000-0000-00005D0A0000}"/>
    <cellStyle name="설명 텍스트 56" xfId="2399" xr:uid="{00000000-0005-0000-0000-00005E0A0000}"/>
    <cellStyle name="설명 텍스트 57" xfId="2400" xr:uid="{00000000-0005-0000-0000-00005F0A0000}"/>
    <cellStyle name="설명 텍스트 58" xfId="2401" xr:uid="{00000000-0005-0000-0000-0000600A0000}"/>
    <cellStyle name="설명 텍스트 59" xfId="3093" xr:uid="{00000000-0005-0000-0000-0000610A0000}"/>
    <cellStyle name="설명 텍스트 6" xfId="2402" xr:uid="{00000000-0005-0000-0000-0000620A0000}"/>
    <cellStyle name="설명 텍스트 7" xfId="2403" xr:uid="{00000000-0005-0000-0000-0000630A0000}"/>
    <cellStyle name="설명 텍스트 8" xfId="2404" xr:uid="{00000000-0005-0000-0000-0000640A0000}"/>
    <cellStyle name="설명 텍스트 9" xfId="2405" xr:uid="{00000000-0005-0000-0000-0000650A0000}"/>
    <cellStyle name="셀 확인" xfId="2406" builtinId="23" customBuiltin="1"/>
    <cellStyle name="셀 확인 10" xfId="2407" xr:uid="{00000000-0005-0000-0000-0000670A0000}"/>
    <cellStyle name="셀 확인 11" xfId="2408" xr:uid="{00000000-0005-0000-0000-0000680A0000}"/>
    <cellStyle name="셀 확인 12" xfId="2409" xr:uid="{00000000-0005-0000-0000-0000690A0000}"/>
    <cellStyle name="셀 확인 13" xfId="2410" xr:uid="{00000000-0005-0000-0000-00006A0A0000}"/>
    <cellStyle name="셀 확인 14" xfId="2411" xr:uid="{00000000-0005-0000-0000-00006B0A0000}"/>
    <cellStyle name="셀 확인 15" xfId="2412" xr:uid="{00000000-0005-0000-0000-00006C0A0000}"/>
    <cellStyle name="셀 확인 16" xfId="2413" xr:uid="{00000000-0005-0000-0000-00006D0A0000}"/>
    <cellStyle name="셀 확인 17" xfId="2414" xr:uid="{00000000-0005-0000-0000-00006E0A0000}"/>
    <cellStyle name="셀 확인 18" xfId="2415" xr:uid="{00000000-0005-0000-0000-00006F0A0000}"/>
    <cellStyle name="셀 확인 19" xfId="2416" xr:uid="{00000000-0005-0000-0000-0000700A0000}"/>
    <cellStyle name="셀 확인 2" xfId="2417" xr:uid="{00000000-0005-0000-0000-0000710A0000}"/>
    <cellStyle name="셀 확인 20" xfId="2418" xr:uid="{00000000-0005-0000-0000-0000720A0000}"/>
    <cellStyle name="셀 확인 21" xfId="2419" xr:uid="{00000000-0005-0000-0000-0000730A0000}"/>
    <cellStyle name="셀 확인 22" xfId="2420" xr:uid="{00000000-0005-0000-0000-0000740A0000}"/>
    <cellStyle name="셀 확인 23" xfId="2421" xr:uid="{00000000-0005-0000-0000-0000750A0000}"/>
    <cellStyle name="셀 확인 24" xfId="2422" xr:uid="{00000000-0005-0000-0000-0000760A0000}"/>
    <cellStyle name="셀 확인 25" xfId="2423" xr:uid="{00000000-0005-0000-0000-0000770A0000}"/>
    <cellStyle name="셀 확인 26" xfId="2424" xr:uid="{00000000-0005-0000-0000-0000780A0000}"/>
    <cellStyle name="셀 확인 27" xfId="2425" xr:uid="{00000000-0005-0000-0000-0000790A0000}"/>
    <cellStyle name="셀 확인 28" xfId="2426" xr:uid="{00000000-0005-0000-0000-00007A0A0000}"/>
    <cellStyle name="셀 확인 29" xfId="2427" xr:uid="{00000000-0005-0000-0000-00007B0A0000}"/>
    <cellStyle name="셀 확인 3" xfId="2428" xr:uid="{00000000-0005-0000-0000-00007C0A0000}"/>
    <cellStyle name="셀 확인 30" xfId="2429" xr:uid="{00000000-0005-0000-0000-00007D0A0000}"/>
    <cellStyle name="셀 확인 31" xfId="2430" xr:uid="{00000000-0005-0000-0000-00007E0A0000}"/>
    <cellStyle name="셀 확인 32" xfId="2431" xr:uid="{00000000-0005-0000-0000-00007F0A0000}"/>
    <cellStyle name="셀 확인 33" xfId="2432" xr:uid="{00000000-0005-0000-0000-0000800A0000}"/>
    <cellStyle name="셀 확인 34" xfId="2433" xr:uid="{00000000-0005-0000-0000-0000810A0000}"/>
    <cellStyle name="셀 확인 35" xfId="2434" xr:uid="{00000000-0005-0000-0000-0000820A0000}"/>
    <cellStyle name="셀 확인 36" xfId="2435" xr:uid="{00000000-0005-0000-0000-0000830A0000}"/>
    <cellStyle name="셀 확인 37" xfId="2436" xr:uid="{00000000-0005-0000-0000-0000840A0000}"/>
    <cellStyle name="셀 확인 38" xfId="2437" xr:uid="{00000000-0005-0000-0000-0000850A0000}"/>
    <cellStyle name="셀 확인 39" xfId="2438" xr:uid="{00000000-0005-0000-0000-0000860A0000}"/>
    <cellStyle name="셀 확인 4" xfId="2439" xr:uid="{00000000-0005-0000-0000-0000870A0000}"/>
    <cellStyle name="셀 확인 40" xfId="2440" xr:uid="{00000000-0005-0000-0000-0000880A0000}"/>
    <cellStyle name="셀 확인 41" xfId="2441" xr:uid="{00000000-0005-0000-0000-0000890A0000}"/>
    <cellStyle name="셀 확인 42" xfId="2442" xr:uid="{00000000-0005-0000-0000-00008A0A0000}"/>
    <cellStyle name="셀 확인 43" xfId="2443" xr:uid="{00000000-0005-0000-0000-00008B0A0000}"/>
    <cellStyle name="셀 확인 44" xfId="2444" xr:uid="{00000000-0005-0000-0000-00008C0A0000}"/>
    <cellStyle name="셀 확인 45" xfId="2445" xr:uid="{00000000-0005-0000-0000-00008D0A0000}"/>
    <cellStyle name="셀 확인 46" xfId="2446" xr:uid="{00000000-0005-0000-0000-00008E0A0000}"/>
    <cellStyle name="셀 확인 47" xfId="2447" xr:uid="{00000000-0005-0000-0000-00008F0A0000}"/>
    <cellStyle name="셀 확인 48" xfId="2448" xr:uid="{00000000-0005-0000-0000-0000900A0000}"/>
    <cellStyle name="셀 확인 49" xfId="2449" xr:uid="{00000000-0005-0000-0000-0000910A0000}"/>
    <cellStyle name="셀 확인 5" xfId="2450" xr:uid="{00000000-0005-0000-0000-0000920A0000}"/>
    <cellStyle name="셀 확인 50" xfId="2451" xr:uid="{00000000-0005-0000-0000-0000930A0000}"/>
    <cellStyle name="셀 확인 51" xfId="2452" xr:uid="{00000000-0005-0000-0000-0000940A0000}"/>
    <cellStyle name="셀 확인 52" xfId="2453" xr:uid="{00000000-0005-0000-0000-0000950A0000}"/>
    <cellStyle name="셀 확인 53" xfId="2454" xr:uid="{00000000-0005-0000-0000-0000960A0000}"/>
    <cellStyle name="셀 확인 54" xfId="2455" xr:uid="{00000000-0005-0000-0000-0000970A0000}"/>
    <cellStyle name="셀 확인 55" xfId="2456" xr:uid="{00000000-0005-0000-0000-0000980A0000}"/>
    <cellStyle name="셀 확인 56" xfId="2457" xr:uid="{00000000-0005-0000-0000-0000990A0000}"/>
    <cellStyle name="셀 확인 57" xfId="2458" xr:uid="{00000000-0005-0000-0000-00009A0A0000}"/>
    <cellStyle name="셀 확인 58" xfId="2459" xr:uid="{00000000-0005-0000-0000-00009B0A0000}"/>
    <cellStyle name="셀 확인 59" xfId="3090" xr:uid="{00000000-0005-0000-0000-00009C0A0000}"/>
    <cellStyle name="셀 확인 6" xfId="2460" xr:uid="{00000000-0005-0000-0000-00009D0A0000}"/>
    <cellStyle name="셀 확인 7" xfId="2461" xr:uid="{00000000-0005-0000-0000-00009E0A0000}"/>
    <cellStyle name="셀 확인 8" xfId="2462" xr:uid="{00000000-0005-0000-0000-00009F0A0000}"/>
    <cellStyle name="셀 확인 9" xfId="2463" xr:uid="{00000000-0005-0000-0000-0000A00A0000}"/>
    <cellStyle name="쉼표 [0] 2" xfId="3351" xr:uid="{00000000-0005-0000-0000-0000A20A0000}"/>
    <cellStyle name="연결된 셀" xfId="2464" builtinId="24" customBuiltin="1"/>
    <cellStyle name="연결된 셀 10" xfId="2465" xr:uid="{00000000-0005-0000-0000-0000A40A0000}"/>
    <cellStyle name="연결된 셀 11" xfId="2466" xr:uid="{00000000-0005-0000-0000-0000A50A0000}"/>
    <cellStyle name="연결된 셀 12" xfId="2467" xr:uid="{00000000-0005-0000-0000-0000A60A0000}"/>
    <cellStyle name="연결된 셀 13" xfId="2468" xr:uid="{00000000-0005-0000-0000-0000A70A0000}"/>
    <cellStyle name="연결된 셀 14" xfId="2469" xr:uid="{00000000-0005-0000-0000-0000A80A0000}"/>
    <cellStyle name="연결된 셀 15" xfId="2470" xr:uid="{00000000-0005-0000-0000-0000A90A0000}"/>
    <cellStyle name="연결된 셀 16" xfId="2471" xr:uid="{00000000-0005-0000-0000-0000AA0A0000}"/>
    <cellStyle name="연결된 셀 17" xfId="2472" xr:uid="{00000000-0005-0000-0000-0000AB0A0000}"/>
    <cellStyle name="연결된 셀 18" xfId="2473" xr:uid="{00000000-0005-0000-0000-0000AC0A0000}"/>
    <cellStyle name="연결된 셀 19" xfId="2474" xr:uid="{00000000-0005-0000-0000-0000AD0A0000}"/>
    <cellStyle name="연결된 셀 2" xfId="2475" xr:uid="{00000000-0005-0000-0000-0000AE0A0000}"/>
    <cellStyle name="연결된 셀 20" xfId="2476" xr:uid="{00000000-0005-0000-0000-0000AF0A0000}"/>
    <cellStyle name="연결된 셀 21" xfId="2477" xr:uid="{00000000-0005-0000-0000-0000B00A0000}"/>
    <cellStyle name="연결된 셀 22" xfId="2478" xr:uid="{00000000-0005-0000-0000-0000B10A0000}"/>
    <cellStyle name="연결된 셀 23" xfId="2479" xr:uid="{00000000-0005-0000-0000-0000B20A0000}"/>
    <cellStyle name="연결된 셀 24" xfId="2480" xr:uid="{00000000-0005-0000-0000-0000B30A0000}"/>
    <cellStyle name="연결된 셀 25" xfId="2481" xr:uid="{00000000-0005-0000-0000-0000B40A0000}"/>
    <cellStyle name="연결된 셀 26" xfId="2482" xr:uid="{00000000-0005-0000-0000-0000B50A0000}"/>
    <cellStyle name="연결된 셀 27" xfId="2483" xr:uid="{00000000-0005-0000-0000-0000B60A0000}"/>
    <cellStyle name="연결된 셀 28" xfId="2484" xr:uid="{00000000-0005-0000-0000-0000B70A0000}"/>
    <cellStyle name="연결된 셀 29" xfId="2485" xr:uid="{00000000-0005-0000-0000-0000B80A0000}"/>
    <cellStyle name="연결된 셀 3" xfId="2486" xr:uid="{00000000-0005-0000-0000-0000B90A0000}"/>
    <cellStyle name="연결된 셀 30" xfId="2487" xr:uid="{00000000-0005-0000-0000-0000BA0A0000}"/>
    <cellStyle name="연결된 셀 31" xfId="2488" xr:uid="{00000000-0005-0000-0000-0000BB0A0000}"/>
    <cellStyle name="연결된 셀 32" xfId="2489" xr:uid="{00000000-0005-0000-0000-0000BC0A0000}"/>
    <cellStyle name="연결된 셀 33" xfId="2490" xr:uid="{00000000-0005-0000-0000-0000BD0A0000}"/>
    <cellStyle name="연결된 셀 34" xfId="2491" xr:uid="{00000000-0005-0000-0000-0000BE0A0000}"/>
    <cellStyle name="연결된 셀 35" xfId="2492" xr:uid="{00000000-0005-0000-0000-0000BF0A0000}"/>
    <cellStyle name="연결된 셀 36" xfId="2493" xr:uid="{00000000-0005-0000-0000-0000C00A0000}"/>
    <cellStyle name="연결된 셀 37" xfId="2494" xr:uid="{00000000-0005-0000-0000-0000C10A0000}"/>
    <cellStyle name="연결된 셀 38" xfId="2495" xr:uid="{00000000-0005-0000-0000-0000C20A0000}"/>
    <cellStyle name="연결된 셀 39" xfId="2496" xr:uid="{00000000-0005-0000-0000-0000C30A0000}"/>
    <cellStyle name="연결된 셀 4" xfId="2497" xr:uid="{00000000-0005-0000-0000-0000C40A0000}"/>
    <cellStyle name="연결된 셀 40" xfId="2498" xr:uid="{00000000-0005-0000-0000-0000C50A0000}"/>
    <cellStyle name="연결된 셀 41" xfId="2499" xr:uid="{00000000-0005-0000-0000-0000C60A0000}"/>
    <cellStyle name="연결된 셀 42" xfId="2500" xr:uid="{00000000-0005-0000-0000-0000C70A0000}"/>
    <cellStyle name="연결된 셀 43" xfId="2501" xr:uid="{00000000-0005-0000-0000-0000C80A0000}"/>
    <cellStyle name="연결된 셀 44" xfId="2502" xr:uid="{00000000-0005-0000-0000-0000C90A0000}"/>
    <cellStyle name="연결된 셀 45" xfId="2503" xr:uid="{00000000-0005-0000-0000-0000CA0A0000}"/>
    <cellStyle name="연결된 셀 46" xfId="2504" xr:uid="{00000000-0005-0000-0000-0000CB0A0000}"/>
    <cellStyle name="연결된 셀 47" xfId="2505" xr:uid="{00000000-0005-0000-0000-0000CC0A0000}"/>
    <cellStyle name="연결된 셀 48" xfId="2506" xr:uid="{00000000-0005-0000-0000-0000CD0A0000}"/>
    <cellStyle name="연결된 셀 49" xfId="2507" xr:uid="{00000000-0005-0000-0000-0000CE0A0000}"/>
    <cellStyle name="연결된 셀 5" xfId="2508" xr:uid="{00000000-0005-0000-0000-0000CF0A0000}"/>
    <cellStyle name="연결된 셀 50" xfId="2509" xr:uid="{00000000-0005-0000-0000-0000D00A0000}"/>
    <cellStyle name="연결된 셀 51" xfId="2510" xr:uid="{00000000-0005-0000-0000-0000D10A0000}"/>
    <cellStyle name="연결된 셀 52" xfId="2511" xr:uid="{00000000-0005-0000-0000-0000D20A0000}"/>
    <cellStyle name="연결된 셀 53" xfId="2512" xr:uid="{00000000-0005-0000-0000-0000D30A0000}"/>
    <cellStyle name="연결된 셀 54" xfId="2513" xr:uid="{00000000-0005-0000-0000-0000D40A0000}"/>
    <cellStyle name="연결된 셀 55" xfId="2514" xr:uid="{00000000-0005-0000-0000-0000D50A0000}"/>
    <cellStyle name="연결된 셀 56" xfId="2515" xr:uid="{00000000-0005-0000-0000-0000D60A0000}"/>
    <cellStyle name="연결된 셀 57" xfId="2516" xr:uid="{00000000-0005-0000-0000-0000D70A0000}"/>
    <cellStyle name="연결된 셀 58" xfId="2517" xr:uid="{00000000-0005-0000-0000-0000D80A0000}"/>
    <cellStyle name="연결된 셀 59" xfId="3089" xr:uid="{00000000-0005-0000-0000-0000D90A0000}"/>
    <cellStyle name="연결된 셀 6" xfId="2518" xr:uid="{00000000-0005-0000-0000-0000DA0A0000}"/>
    <cellStyle name="연결된 셀 7" xfId="2519" xr:uid="{00000000-0005-0000-0000-0000DB0A0000}"/>
    <cellStyle name="연결된 셀 8" xfId="2520" xr:uid="{00000000-0005-0000-0000-0000DC0A0000}"/>
    <cellStyle name="연결된 셀 9" xfId="2521" xr:uid="{00000000-0005-0000-0000-0000DD0A0000}"/>
    <cellStyle name="요약" xfId="2522" builtinId="25" customBuiltin="1"/>
    <cellStyle name="요약 10" xfId="2523" xr:uid="{00000000-0005-0000-0000-0000DF0A0000}"/>
    <cellStyle name="요약 11" xfId="2524" xr:uid="{00000000-0005-0000-0000-0000E00A0000}"/>
    <cellStyle name="요약 12" xfId="2525" xr:uid="{00000000-0005-0000-0000-0000E10A0000}"/>
    <cellStyle name="요약 13" xfId="2526" xr:uid="{00000000-0005-0000-0000-0000E20A0000}"/>
    <cellStyle name="요약 14" xfId="2527" xr:uid="{00000000-0005-0000-0000-0000E30A0000}"/>
    <cellStyle name="요약 15" xfId="2528" xr:uid="{00000000-0005-0000-0000-0000E40A0000}"/>
    <cellStyle name="요약 16" xfId="2529" xr:uid="{00000000-0005-0000-0000-0000E50A0000}"/>
    <cellStyle name="요약 17" xfId="2530" xr:uid="{00000000-0005-0000-0000-0000E60A0000}"/>
    <cellStyle name="요약 18" xfId="2531" xr:uid="{00000000-0005-0000-0000-0000E70A0000}"/>
    <cellStyle name="요약 19" xfId="2532" xr:uid="{00000000-0005-0000-0000-0000E80A0000}"/>
    <cellStyle name="요약 2" xfId="2533" xr:uid="{00000000-0005-0000-0000-0000E90A0000}"/>
    <cellStyle name="요약 20" xfId="2534" xr:uid="{00000000-0005-0000-0000-0000EA0A0000}"/>
    <cellStyle name="요약 21" xfId="2535" xr:uid="{00000000-0005-0000-0000-0000EB0A0000}"/>
    <cellStyle name="요약 22" xfId="2536" xr:uid="{00000000-0005-0000-0000-0000EC0A0000}"/>
    <cellStyle name="요약 23" xfId="2537" xr:uid="{00000000-0005-0000-0000-0000ED0A0000}"/>
    <cellStyle name="요약 24" xfId="2538" xr:uid="{00000000-0005-0000-0000-0000EE0A0000}"/>
    <cellStyle name="요약 25" xfId="2539" xr:uid="{00000000-0005-0000-0000-0000EF0A0000}"/>
    <cellStyle name="요약 26" xfId="2540" xr:uid="{00000000-0005-0000-0000-0000F00A0000}"/>
    <cellStyle name="요약 27" xfId="2541" xr:uid="{00000000-0005-0000-0000-0000F10A0000}"/>
    <cellStyle name="요약 28" xfId="2542" xr:uid="{00000000-0005-0000-0000-0000F20A0000}"/>
    <cellStyle name="요약 29" xfId="2543" xr:uid="{00000000-0005-0000-0000-0000F30A0000}"/>
    <cellStyle name="요약 3" xfId="2544" xr:uid="{00000000-0005-0000-0000-0000F40A0000}"/>
    <cellStyle name="요약 30" xfId="2545" xr:uid="{00000000-0005-0000-0000-0000F50A0000}"/>
    <cellStyle name="요약 31" xfId="2546" xr:uid="{00000000-0005-0000-0000-0000F60A0000}"/>
    <cellStyle name="요약 32" xfId="2547" xr:uid="{00000000-0005-0000-0000-0000F70A0000}"/>
    <cellStyle name="요약 33" xfId="2548" xr:uid="{00000000-0005-0000-0000-0000F80A0000}"/>
    <cellStyle name="요약 34" xfId="2549" xr:uid="{00000000-0005-0000-0000-0000F90A0000}"/>
    <cellStyle name="요약 35" xfId="2550" xr:uid="{00000000-0005-0000-0000-0000FA0A0000}"/>
    <cellStyle name="요약 36" xfId="2551" xr:uid="{00000000-0005-0000-0000-0000FB0A0000}"/>
    <cellStyle name="요약 37" xfId="2552" xr:uid="{00000000-0005-0000-0000-0000FC0A0000}"/>
    <cellStyle name="요약 38" xfId="2553" xr:uid="{00000000-0005-0000-0000-0000FD0A0000}"/>
    <cellStyle name="요약 39" xfId="2554" xr:uid="{00000000-0005-0000-0000-0000FE0A0000}"/>
    <cellStyle name="요약 4" xfId="2555" xr:uid="{00000000-0005-0000-0000-0000FF0A0000}"/>
    <cellStyle name="요약 40" xfId="2556" xr:uid="{00000000-0005-0000-0000-0000000B0000}"/>
    <cellStyle name="요약 41" xfId="2557" xr:uid="{00000000-0005-0000-0000-0000010B0000}"/>
    <cellStyle name="요약 42" xfId="2558" xr:uid="{00000000-0005-0000-0000-0000020B0000}"/>
    <cellStyle name="요약 43" xfId="2559" xr:uid="{00000000-0005-0000-0000-0000030B0000}"/>
    <cellStyle name="요약 44" xfId="2560" xr:uid="{00000000-0005-0000-0000-0000040B0000}"/>
    <cellStyle name="요약 45" xfId="2561" xr:uid="{00000000-0005-0000-0000-0000050B0000}"/>
    <cellStyle name="요약 46" xfId="2562" xr:uid="{00000000-0005-0000-0000-0000060B0000}"/>
    <cellStyle name="요약 47" xfId="2563" xr:uid="{00000000-0005-0000-0000-0000070B0000}"/>
    <cellStyle name="요약 48" xfId="2564" xr:uid="{00000000-0005-0000-0000-0000080B0000}"/>
    <cellStyle name="요약 49" xfId="2565" xr:uid="{00000000-0005-0000-0000-0000090B0000}"/>
    <cellStyle name="요약 5" xfId="2566" xr:uid="{00000000-0005-0000-0000-00000A0B0000}"/>
    <cellStyle name="요약 50" xfId="2567" xr:uid="{00000000-0005-0000-0000-00000B0B0000}"/>
    <cellStyle name="요약 51" xfId="2568" xr:uid="{00000000-0005-0000-0000-00000C0B0000}"/>
    <cellStyle name="요약 52" xfId="2569" xr:uid="{00000000-0005-0000-0000-00000D0B0000}"/>
    <cellStyle name="요약 53" xfId="2570" xr:uid="{00000000-0005-0000-0000-00000E0B0000}"/>
    <cellStyle name="요약 54" xfId="2571" xr:uid="{00000000-0005-0000-0000-00000F0B0000}"/>
    <cellStyle name="요약 55" xfId="2572" xr:uid="{00000000-0005-0000-0000-0000100B0000}"/>
    <cellStyle name="요약 56" xfId="2573" xr:uid="{00000000-0005-0000-0000-0000110B0000}"/>
    <cellStyle name="요약 57" xfId="2574" xr:uid="{00000000-0005-0000-0000-0000120B0000}"/>
    <cellStyle name="요약 58" xfId="2575" xr:uid="{00000000-0005-0000-0000-0000130B0000}"/>
    <cellStyle name="요약 59" xfId="3094" xr:uid="{00000000-0005-0000-0000-0000140B0000}"/>
    <cellStyle name="요약 6" xfId="2576" xr:uid="{00000000-0005-0000-0000-0000150B0000}"/>
    <cellStyle name="요약 7" xfId="2577" xr:uid="{00000000-0005-0000-0000-0000160B0000}"/>
    <cellStyle name="요약 8" xfId="2578" xr:uid="{00000000-0005-0000-0000-0000170B0000}"/>
    <cellStyle name="요약 9" xfId="2579" xr:uid="{00000000-0005-0000-0000-0000180B0000}"/>
    <cellStyle name="입력" xfId="2580" builtinId="20" customBuiltin="1"/>
    <cellStyle name="입력 10" xfId="2581" xr:uid="{00000000-0005-0000-0000-00001A0B0000}"/>
    <cellStyle name="입력 11" xfId="2582" xr:uid="{00000000-0005-0000-0000-00001B0B0000}"/>
    <cellStyle name="입력 12" xfId="2583" xr:uid="{00000000-0005-0000-0000-00001C0B0000}"/>
    <cellStyle name="입력 13" xfId="2584" xr:uid="{00000000-0005-0000-0000-00001D0B0000}"/>
    <cellStyle name="입력 14" xfId="2585" xr:uid="{00000000-0005-0000-0000-00001E0B0000}"/>
    <cellStyle name="입력 15" xfId="2586" xr:uid="{00000000-0005-0000-0000-00001F0B0000}"/>
    <cellStyle name="입력 16" xfId="2587" xr:uid="{00000000-0005-0000-0000-0000200B0000}"/>
    <cellStyle name="입력 17" xfId="2588" xr:uid="{00000000-0005-0000-0000-0000210B0000}"/>
    <cellStyle name="입력 18" xfId="2589" xr:uid="{00000000-0005-0000-0000-0000220B0000}"/>
    <cellStyle name="입력 19" xfId="2590" xr:uid="{00000000-0005-0000-0000-0000230B0000}"/>
    <cellStyle name="입력 2" xfId="2591" xr:uid="{00000000-0005-0000-0000-0000240B0000}"/>
    <cellStyle name="입력 20" xfId="2592" xr:uid="{00000000-0005-0000-0000-0000250B0000}"/>
    <cellStyle name="입력 21" xfId="2593" xr:uid="{00000000-0005-0000-0000-0000260B0000}"/>
    <cellStyle name="입력 22" xfId="2594" xr:uid="{00000000-0005-0000-0000-0000270B0000}"/>
    <cellStyle name="입력 23" xfId="2595" xr:uid="{00000000-0005-0000-0000-0000280B0000}"/>
    <cellStyle name="입력 24" xfId="2596" xr:uid="{00000000-0005-0000-0000-0000290B0000}"/>
    <cellStyle name="입력 25" xfId="2597" xr:uid="{00000000-0005-0000-0000-00002A0B0000}"/>
    <cellStyle name="입력 26" xfId="2598" xr:uid="{00000000-0005-0000-0000-00002B0B0000}"/>
    <cellStyle name="입력 27" xfId="2599" xr:uid="{00000000-0005-0000-0000-00002C0B0000}"/>
    <cellStyle name="입력 28" xfId="2600" xr:uid="{00000000-0005-0000-0000-00002D0B0000}"/>
    <cellStyle name="입력 29" xfId="2601" xr:uid="{00000000-0005-0000-0000-00002E0B0000}"/>
    <cellStyle name="입력 3" xfId="2602" xr:uid="{00000000-0005-0000-0000-00002F0B0000}"/>
    <cellStyle name="입력 30" xfId="2603" xr:uid="{00000000-0005-0000-0000-0000300B0000}"/>
    <cellStyle name="입력 31" xfId="2604" xr:uid="{00000000-0005-0000-0000-0000310B0000}"/>
    <cellStyle name="입력 32" xfId="2605" xr:uid="{00000000-0005-0000-0000-0000320B0000}"/>
    <cellStyle name="입력 33" xfId="2606" xr:uid="{00000000-0005-0000-0000-0000330B0000}"/>
    <cellStyle name="입력 34" xfId="2607" xr:uid="{00000000-0005-0000-0000-0000340B0000}"/>
    <cellStyle name="입력 35" xfId="2608" xr:uid="{00000000-0005-0000-0000-0000350B0000}"/>
    <cellStyle name="입력 36" xfId="2609" xr:uid="{00000000-0005-0000-0000-0000360B0000}"/>
    <cellStyle name="입력 37" xfId="2610" xr:uid="{00000000-0005-0000-0000-0000370B0000}"/>
    <cellStyle name="입력 38" xfId="2611" xr:uid="{00000000-0005-0000-0000-0000380B0000}"/>
    <cellStyle name="입력 39" xfId="2612" xr:uid="{00000000-0005-0000-0000-0000390B0000}"/>
    <cellStyle name="입력 4" xfId="2613" xr:uid="{00000000-0005-0000-0000-00003A0B0000}"/>
    <cellStyle name="입력 40" xfId="2614" xr:uid="{00000000-0005-0000-0000-00003B0B0000}"/>
    <cellStyle name="입력 41" xfId="2615" xr:uid="{00000000-0005-0000-0000-00003C0B0000}"/>
    <cellStyle name="입력 42" xfId="2616" xr:uid="{00000000-0005-0000-0000-00003D0B0000}"/>
    <cellStyle name="입력 43" xfId="2617" xr:uid="{00000000-0005-0000-0000-00003E0B0000}"/>
    <cellStyle name="입력 44" xfId="2618" xr:uid="{00000000-0005-0000-0000-00003F0B0000}"/>
    <cellStyle name="입력 45" xfId="2619" xr:uid="{00000000-0005-0000-0000-0000400B0000}"/>
    <cellStyle name="입력 46" xfId="2620" xr:uid="{00000000-0005-0000-0000-0000410B0000}"/>
    <cellStyle name="입력 47" xfId="2621" xr:uid="{00000000-0005-0000-0000-0000420B0000}"/>
    <cellStyle name="입력 48" xfId="2622" xr:uid="{00000000-0005-0000-0000-0000430B0000}"/>
    <cellStyle name="입력 49" xfId="2623" xr:uid="{00000000-0005-0000-0000-0000440B0000}"/>
    <cellStyle name="입력 5" xfId="2624" xr:uid="{00000000-0005-0000-0000-0000450B0000}"/>
    <cellStyle name="입력 50" xfId="2625" xr:uid="{00000000-0005-0000-0000-0000460B0000}"/>
    <cellStyle name="입력 51" xfId="2626" xr:uid="{00000000-0005-0000-0000-0000470B0000}"/>
    <cellStyle name="입력 52" xfId="2627" xr:uid="{00000000-0005-0000-0000-0000480B0000}"/>
    <cellStyle name="입력 53" xfId="2628" xr:uid="{00000000-0005-0000-0000-0000490B0000}"/>
    <cellStyle name="입력 54" xfId="2629" xr:uid="{00000000-0005-0000-0000-00004A0B0000}"/>
    <cellStyle name="입력 55" xfId="2630" xr:uid="{00000000-0005-0000-0000-00004B0B0000}"/>
    <cellStyle name="입력 56" xfId="2631" xr:uid="{00000000-0005-0000-0000-00004C0B0000}"/>
    <cellStyle name="입력 57" xfId="2632" xr:uid="{00000000-0005-0000-0000-00004D0B0000}"/>
    <cellStyle name="입력 58" xfId="2633" xr:uid="{00000000-0005-0000-0000-00004E0B0000}"/>
    <cellStyle name="입력 59" xfId="3086" xr:uid="{00000000-0005-0000-0000-00004F0B0000}"/>
    <cellStyle name="입력 6" xfId="2634" xr:uid="{00000000-0005-0000-0000-0000500B0000}"/>
    <cellStyle name="입력 7" xfId="2635" xr:uid="{00000000-0005-0000-0000-0000510B0000}"/>
    <cellStyle name="입력 8" xfId="2636" xr:uid="{00000000-0005-0000-0000-0000520B0000}"/>
    <cellStyle name="입력 9" xfId="2637" xr:uid="{00000000-0005-0000-0000-0000530B0000}"/>
    <cellStyle name="제목" xfId="2638" builtinId="15" customBuiltin="1"/>
    <cellStyle name="제목 1" xfId="2639" builtinId="16" customBuiltin="1"/>
    <cellStyle name="제목 1 10" xfId="2640" xr:uid="{00000000-0005-0000-0000-0000560B0000}"/>
    <cellStyle name="제목 1 11" xfId="2641" xr:uid="{00000000-0005-0000-0000-0000570B0000}"/>
    <cellStyle name="제목 1 12" xfId="2642" xr:uid="{00000000-0005-0000-0000-0000580B0000}"/>
    <cellStyle name="제목 1 13" xfId="2643" xr:uid="{00000000-0005-0000-0000-0000590B0000}"/>
    <cellStyle name="제목 1 14" xfId="2644" xr:uid="{00000000-0005-0000-0000-00005A0B0000}"/>
    <cellStyle name="제목 1 15" xfId="2645" xr:uid="{00000000-0005-0000-0000-00005B0B0000}"/>
    <cellStyle name="제목 1 16" xfId="2646" xr:uid="{00000000-0005-0000-0000-00005C0B0000}"/>
    <cellStyle name="제목 1 17" xfId="2647" xr:uid="{00000000-0005-0000-0000-00005D0B0000}"/>
    <cellStyle name="제목 1 18" xfId="2648" xr:uid="{00000000-0005-0000-0000-00005E0B0000}"/>
    <cellStyle name="제목 1 19" xfId="2649" xr:uid="{00000000-0005-0000-0000-00005F0B0000}"/>
    <cellStyle name="제목 1 2" xfId="2650" xr:uid="{00000000-0005-0000-0000-0000600B0000}"/>
    <cellStyle name="제목 1 20" xfId="2651" xr:uid="{00000000-0005-0000-0000-0000610B0000}"/>
    <cellStyle name="제목 1 21" xfId="2652" xr:uid="{00000000-0005-0000-0000-0000620B0000}"/>
    <cellStyle name="제목 1 22" xfId="2653" xr:uid="{00000000-0005-0000-0000-0000630B0000}"/>
    <cellStyle name="제목 1 23" xfId="2654" xr:uid="{00000000-0005-0000-0000-0000640B0000}"/>
    <cellStyle name="제목 1 24" xfId="2655" xr:uid="{00000000-0005-0000-0000-0000650B0000}"/>
    <cellStyle name="제목 1 25" xfId="2656" xr:uid="{00000000-0005-0000-0000-0000660B0000}"/>
    <cellStyle name="제목 1 26" xfId="2657" xr:uid="{00000000-0005-0000-0000-0000670B0000}"/>
    <cellStyle name="제목 1 27" xfId="2658" xr:uid="{00000000-0005-0000-0000-0000680B0000}"/>
    <cellStyle name="제목 1 28" xfId="2659" xr:uid="{00000000-0005-0000-0000-0000690B0000}"/>
    <cellStyle name="제목 1 29" xfId="2660" xr:uid="{00000000-0005-0000-0000-00006A0B0000}"/>
    <cellStyle name="제목 1 3" xfId="2661" xr:uid="{00000000-0005-0000-0000-00006B0B0000}"/>
    <cellStyle name="제목 1 30" xfId="2662" xr:uid="{00000000-0005-0000-0000-00006C0B0000}"/>
    <cellStyle name="제목 1 31" xfId="2663" xr:uid="{00000000-0005-0000-0000-00006D0B0000}"/>
    <cellStyle name="제목 1 32" xfId="2664" xr:uid="{00000000-0005-0000-0000-00006E0B0000}"/>
    <cellStyle name="제목 1 33" xfId="2665" xr:uid="{00000000-0005-0000-0000-00006F0B0000}"/>
    <cellStyle name="제목 1 34" xfId="2666" xr:uid="{00000000-0005-0000-0000-0000700B0000}"/>
    <cellStyle name="제목 1 35" xfId="2667" xr:uid="{00000000-0005-0000-0000-0000710B0000}"/>
    <cellStyle name="제목 1 36" xfId="2668" xr:uid="{00000000-0005-0000-0000-0000720B0000}"/>
    <cellStyle name="제목 1 37" xfId="2669" xr:uid="{00000000-0005-0000-0000-0000730B0000}"/>
    <cellStyle name="제목 1 38" xfId="2670" xr:uid="{00000000-0005-0000-0000-0000740B0000}"/>
    <cellStyle name="제목 1 39" xfId="2671" xr:uid="{00000000-0005-0000-0000-0000750B0000}"/>
    <cellStyle name="제목 1 4" xfId="2672" xr:uid="{00000000-0005-0000-0000-0000760B0000}"/>
    <cellStyle name="제목 1 40" xfId="2673" xr:uid="{00000000-0005-0000-0000-0000770B0000}"/>
    <cellStyle name="제목 1 41" xfId="2674" xr:uid="{00000000-0005-0000-0000-0000780B0000}"/>
    <cellStyle name="제목 1 42" xfId="2675" xr:uid="{00000000-0005-0000-0000-0000790B0000}"/>
    <cellStyle name="제목 1 43" xfId="2676" xr:uid="{00000000-0005-0000-0000-00007A0B0000}"/>
    <cellStyle name="제목 1 44" xfId="2677" xr:uid="{00000000-0005-0000-0000-00007B0B0000}"/>
    <cellStyle name="제목 1 45" xfId="2678" xr:uid="{00000000-0005-0000-0000-00007C0B0000}"/>
    <cellStyle name="제목 1 46" xfId="2679" xr:uid="{00000000-0005-0000-0000-00007D0B0000}"/>
    <cellStyle name="제목 1 47" xfId="2680" xr:uid="{00000000-0005-0000-0000-00007E0B0000}"/>
    <cellStyle name="제목 1 48" xfId="2681" xr:uid="{00000000-0005-0000-0000-00007F0B0000}"/>
    <cellStyle name="제목 1 49" xfId="2682" xr:uid="{00000000-0005-0000-0000-0000800B0000}"/>
    <cellStyle name="제목 1 5" xfId="2683" xr:uid="{00000000-0005-0000-0000-0000810B0000}"/>
    <cellStyle name="제목 1 50" xfId="2684" xr:uid="{00000000-0005-0000-0000-0000820B0000}"/>
    <cellStyle name="제목 1 51" xfId="2685" xr:uid="{00000000-0005-0000-0000-0000830B0000}"/>
    <cellStyle name="제목 1 52" xfId="2686" xr:uid="{00000000-0005-0000-0000-0000840B0000}"/>
    <cellStyle name="제목 1 53" xfId="2687" xr:uid="{00000000-0005-0000-0000-0000850B0000}"/>
    <cellStyle name="제목 1 54" xfId="2688" xr:uid="{00000000-0005-0000-0000-0000860B0000}"/>
    <cellStyle name="제목 1 55" xfId="2689" xr:uid="{00000000-0005-0000-0000-0000870B0000}"/>
    <cellStyle name="제목 1 56" xfId="2690" xr:uid="{00000000-0005-0000-0000-0000880B0000}"/>
    <cellStyle name="제목 1 57" xfId="2691" xr:uid="{00000000-0005-0000-0000-0000890B0000}"/>
    <cellStyle name="제목 1 58" xfId="2692" xr:uid="{00000000-0005-0000-0000-00008A0B0000}"/>
    <cellStyle name="제목 1 59" xfId="3079" xr:uid="{00000000-0005-0000-0000-00008B0B0000}"/>
    <cellStyle name="제목 1 6" xfId="2693" xr:uid="{00000000-0005-0000-0000-00008C0B0000}"/>
    <cellStyle name="제목 1 7" xfId="2694" xr:uid="{00000000-0005-0000-0000-00008D0B0000}"/>
    <cellStyle name="제목 1 8" xfId="2695" xr:uid="{00000000-0005-0000-0000-00008E0B0000}"/>
    <cellStyle name="제목 1 9" xfId="2696" xr:uid="{00000000-0005-0000-0000-00008F0B0000}"/>
    <cellStyle name="제목 10" xfId="2697" xr:uid="{00000000-0005-0000-0000-0000900B0000}"/>
    <cellStyle name="제목 11" xfId="2698" xr:uid="{00000000-0005-0000-0000-0000910B0000}"/>
    <cellStyle name="제목 12" xfId="2699" xr:uid="{00000000-0005-0000-0000-0000920B0000}"/>
    <cellStyle name="제목 13" xfId="2700" xr:uid="{00000000-0005-0000-0000-0000930B0000}"/>
    <cellStyle name="제목 14" xfId="2701" xr:uid="{00000000-0005-0000-0000-0000940B0000}"/>
    <cellStyle name="제목 15" xfId="2702" xr:uid="{00000000-0005-0000-0000-0000950B0000}"/>
    <cellStyle name="제목 16" xfId="2703" xr:uid="{00000000-0005-0000-0000-0000960B0000}"/>
    <cellStyle name="제목 17" xfId="2704" xr:uid="{00000000-0005-0000-0000-0000970B0000}"/>
    <cellStyle name="제목 18" xfId="2705" xr:uid="{00000000-0005-0000-0000-0000980B0000}"/>
    <cellStyle name="제목 19" xfId="2706" xr:uid="{00000000-0005-0000-0000-0000990B0000}"/>
    <cellStyle name="제목 2" xfId="2707" builtinId="17" customBuiltin="1"/>
    <cellStyle name="제목 2 10" xfId="2708" xr:uid="{00000000-0005-0000-0000-00009B0B0000}"/>
    <cellStyle name="제목 2 11" xfId="2709" xr:uid="{00000000-0005-0000-0000-00009C0B0000}"/>
    <cellStyle name="제목 2 12" xfId="2710" xr:uid="{00000000-0005-0000-0000-00009D0B0000}"/>
    <cellStyle name="제목 2 13" xfId="2711" xr:uid="{00000000-0005-0000-0000-00009E0B0000}"/>
    <cellStyle name="제목 2 14" xfId="2712" xr:uid="{00000000-0005-0000-0000-00009F0B0000}"/>
    <cellStyle name="제목 2 15" xfId="2713" xr:uid="{00000000-0005-0000-0000-0000A00B0000}"/>
    <cellStyle name="제목 2 16" xfId="2714" xr:uid="{00000000-0005-0000-0000-0000A10B0000}"/>
    <cellStyle name="제목 2 17" xfId="2715" xr:uid="{00000000-0005-0000-0000-0000A20B0000}"/>
    <cellStyle name="제목 2 18" xfId="2716" xr:uid="{00000000-0005-0000-0000-0000A30B0000}"/>
    <cellStyle name="제목 2 19" xfId="2717" xr:uid="{00000000-0005-0000-0000-0000A40B0000}"/>
    <cellStyle name="제목 2 2" xfId="2718" xr:uid="{00000000-0005-0000-0000-0000A50B0000}"/>
    <cellStyle name="제목 2 20" xfId="2719" xr:uid="{00000000-0005-0000-0000-0000A60B0000}"/>
    <cellStyle name="제목 2 21" xfId="2720" xr:uid="{00000000-0005-0000-0000-0000A70B0000}"/>
    <cellStyle name="제목 2 22" xfId="2721" xr:uid="{00000000-0005-0000-0000-0000A80B0000}"/>
    <cellStyle name="제목 2 23" xfId="2722" xr:uid="{00000000-0005-0000-0000-0000A90B0000}"/>
    <cellStyle name="제목 2 24" xfId="2723" xr:uid="{00000000-0005-0000-0000-0000AA0B0000}"/>
    <cellStyle name="제목 2 25" xfId="2724" xr:uid="{00000000-0005-0000-0000-0000AB0B0000}"/>
    <cellStyle name="제목 2 26" xfId="2725" xr:uid="{00000000-0005-0000-0000-0000AC0B0000}"/>
    <cellStyle name="제목 2 27" xfId="2726" xr:uid="{00000000-0005-0000-0000-0000AD0B0000}"/>
    <cellStyle name="제목 2 28" xfId="2727" xr:uid="{00000000-0005-0000-0000-0000AE0B0000}"/>
    <cellStyle name="제목 2 29" xfId="2728" xr:uid="{00000000-0005-0000-0000-0000AF0B0000}"/>
    <cellStyle name="제목 2 3" xfId="2729" xr:uid="{00000000-0005-0000-0000-0000B00B0000}"/>
    <cellStyle name="제목 2 30" xfId="2730" xr:uid="{00000000-0005-0000-0000-0000B10B0000}"/>
    <cellStyle name="제목 2 31" xfId="2731" xr:uid="{00000000-0005-0000-0000-0000B20B0000}"/>
    <cellStyle name="제목 2 32" xfId="2732" xr:uid="{00000000-0005-0000-0000-0000B30B0000}"/>
    <cellStyle name="제목 2 33" xfId="2733" xr:uid="{00000000-0005-0000-0000-0000B40B0000}"/>
    <cellStyle name="제목 2 34" xfId="2734" xr:uid="{00000000-0005-0000-0000-0000B50B0000}"/>
    <cellStyle name="제목 2 35" xfId="2735" xr:uid="{00000000-0005-0000-0000-0000B60B0000}"/>
    <cellStyle name="제목 2 36" xfId="2736" xr:uid="{00000000-0005-0000-0000-0000B70B0000}"/>
    <cellStyle name="제목 2 37" xfId="2737" xr:uid="{00000000-0005-0000-0000-0000B80B0000}"/>
    <cellStyle name="제목 2 38" xfId="2738" xr:uid="{00000000-0005-0000-0000-0000B90B0000}"/>
    <cellStyle name="제목 2 39" xfId="2739" xr:uid="{00000000-0005-0000-0000-0000BA0B0000}"/>
    <cellStyle name="제목 2 4" xfId="2740" xr:uid="{00000000-0005-0000-0000-0000BB0B0000}"/>
    <cellStyle name="제목 2 40" xfId="2741" xr:uid="{00000000-0005-0000-0000-0000BC0B0000}"/>
    <cellStyle name="제목 2 41" xfId="2742" xr:uid="{00000000-0005-0000-0000-0000BD0B0000}"/>
    <cellStyle name="제목 2 42" xfId="2743" xr:uid="{00000000-0005-0000-0000-0000BE0B0000}"/>
    <cellStyle name="제목 2 43" xfId="2744" xr:uid="{00000000-0005-0000-0000-0000BF0B0000}"/>
    <cellStyle name="제목 2 44" xfId="2745" xr:uid="{00000000-0005-0000-0000-0000C00B0000}"/>
    <cellStyle name="제목 2 45" xfId="2746" xr:uid="{00000000-0005-0000-0000-0000C10B0000}"/>
    <cellStyle name="제목 2 46" xfId="2747" xr:uid="{00000000-0005-0000-0000-0000C20B0000}"/>
    <cellStyle name="제목 2 47" xfId="2748" xr:uid="{00000000-0005-0000-0000-0000C30B0000}"/>
    <cellStyle name="제목 2 48" xfId="2749" xr:uid="{00000000-0005-0000-0000-0000C40B0000}"/>
    <cellStyle name="제목 2 49" xfId="2750" xr:uid="{00000000-0005-0000-0000-0000C50B0000}"/>
    <cellStyle name="제목 2 5" xfId="2751" xr:uid="{00000000-0005-0000-0000-0000C60B0000}"/>
    <cellStyle name="제목 2 50" xfId="2752" xr:uid="{00000000-0005-0000-0000-0000C70B0000}"/>
    <cellStyle name="제목 2 51" xfId="2753" xr:uid="{00000000-0005-0000-0000-0000C80B0000}"/>
    <cellStyle name="제목 2 52" xfId="2754" xr:uid="{00000000-0005-0000-0000-0000C90B0000}"/>
    <cellStyle name="제목 2 53" xfId="2755" xr:uid="{00000000-0005-0000-0000-0000CA0B0000}"/>
    <cellStyle name="제목 2 54" xfId="2756" xr:uid="{00000000-0005-0000-0000-0000CB0B0000}"/>
    <cellStyle name="제목 2 55" xfId="2757" xr:uid="{00000000-0005-0000-0000-0000CC0B0000}"/>
    <cellStyle name="제목 2 56" xfId="2758" xr:uid="{00000000-0005-0000-0000-0000CD0B0000}"/>
    <cellStyle name="제목 2 57" xfId="2759" xr:uid="{00000000-0005-0000-0000-0000CE0B0000}"/>
    <cellStyle name="제목 2 58" xfId="2760" xr:uid="{00000000-0005-0000-0000-0000CF0B0000}"/>
    <cellStyle name="제목 2 59" xfId="3080" xr:uid="{00000000-0005-0000-0000-0000D00B0000}"/>
    <cellStyle name="제목 2 6" xfId="2761" xr:uid="{00000000-0005-0000-0000-0000D10B0000}"/>
    <cellStyle name="제목 2 7" xfId="2762" xr:uid="{00000000-0005-0000-0000-0000D20B0000}"/>
    <cellStyle name="제목 2 8" xfId="2763" xr:uid="{00000000-0005-0000-0000-0000D30B0000}"/>
    <cellStyle name="제목 2 9" xfId="2764" xr:uid="{00000000-0005-0000-0000-0000D40B0000}"/>
    <cellStyle name="제목 20" xfId="2765" xr:uid="{00000000-0005-0000-0000-0000D50B0000}"/>
    <cellStyle name="제목 21" xfId="2766" xr:uid="{00000000-0005-0000-0000-0000D60B0000}"/>
    <cellStyle name="제목 22" xfId="2767" xr:uid="{00000000-0005-0000-0000-0000D70B0000}"/>
    <cellStyle name="제목 23" xfId="2768" xr:uid="{00000000-0005-0000-0000-0000D80B0000}"/>
    <cellStyle name="제목 24" xfId="2769" xr:uid="{00000000-0005-0000-0000-0000D90B0000}"/>
    <cellStyle name="제목 25" xfId="2770" xr:uid="{00000000-0005-0000-0000-0000DA0B0000}"/>
    <cellStyle name="제목 26" xfId="2771" xr:uid="{00000000-0005-0000-0000-0000DB0B0000}"/>
    <cellStyle name="제목 27" xfId="2772" xr:uid="{00000000-0005-0000-0000-0000DC0B0000}"/>
    <cellStyle name="제목 28" xfId="2773" xr:uid="{00000000-0005-0000-0000-0000DD0B0000}"/>
    <cellStyle name="제목 29" xfId="2774" xr:uid="{00000000-0005-0000-0000-0000DE0B0000}"/>
    <cellStyle name="제목 3" xfId="2775" builtinId="18" customBuiltin="1"/>
    <cellStyle name="제목 3 10" xfId="2776" xr:uid="{00000000-0005-0000-0000-0000E00B0000}"/>
    <cellStyle name="제목 3 11" xfId="2777" xr:uid="{00000000-0005-0000-0000-0000E10B0000}"/>
    <cellStyle name="제목 3 12" xfId="2778" xr:uid="{00000000-0005-0000-0000-0000E20B0000}"/>
    <cellStyle name="제목 3 13" xfId="2779" xr:uid="{00000000-0005-0000-0000-0000E30B0000}"/>
    <cellStyle name="제목 3 14" xfId="2780" xr:uid="{00000000-0005-0000-0000-0000E40B0000}"/>
    <cellStyle name="제목 3 15" xfId="2781" xr:uid="{00000000-0005-0000-0000-0000E50B0000}"/>
    <cellStyle name="제목 3 16" xfId="2782" xr:uid="{00000000-0005-0000-0000-0000E60B0000}"/>
    <cellStyle name="제목 3 17" xfId="2783" xr:uid="{00000000-0005-0000-0000-0000E70B0000}"/>
    <cellStyle name="제목 3 18" xfId="2784" xr:uid="{00000000-0005-0000-0000-0000E80B0000}"/>
    <cellStyle name="제목 3 19" xfId="2785" xr:uid="{00000000-0005-0000-0000-0000E90B0000}"/>
    <cellStyle name="제목 3 2" xfId="2786" xr:uid="{00000000-0005-0000-0000-0000EA0B0000}"/>
    <cellStyle name="제목 3 20" xfId="2787" xr:uid="{00000000-0005-0000-0000-0000EB0B0000}"/>
    <cellStyle name="제목 3 21" xfId="2788" xr:uid="{00000000-0005-0000-0000-0000EC0B0000}"/>
    <cellStyle name="제목 3 22" xfId="2789" xr:uid="{00000000-0005-0000-0000-0000ED0B0000}"/>
    <cellStyle name="제목 3 23" xfId="2790" xr:uid="{00000000-0005-0000-0000-0000EE0B0000}"/>
    <cellStyle name="제목 3 24" xfId="2791" xr:uid="{00000000-0005-0000-0000-0000EF0B0000}"/>
    <cellStyle name="제목 3 25" xfId="2792" xr:uid="{00000000-0005-0000-0000-0000F00B0000}"/>
    <cellStyle name="제목 3 26" xfId="2793" xr:uid="{00000000-0005-0000-0000-0000F10B0000}"/>
    <cellStyle name="제목 3 27" xfId="2794" xr:uid="{00000000-0005-0000-0000-0000F20B0000}"/>
    <cellStyle name="제목 3 28" xfId="2795" xr:uid="{00000000-0005-0000-0000-0000F30B0000}"/>
    <cellStyle name="제목 3 29" xfId="2796" xr:uid="{00000000-0005-0000-0000-0000F40B0000}"/>
    <cellStyle name="제목 3 3" xfId="2797" xr:uid="{00000000-0005-0000-0000-0000F50B0000}"/>
    <cellStyle name="제목 3 30" xfId="2798" xr:uid="{00000000-0005-0000-0000-0000F60B0000}"/>
    <cellStyle name="제목 3 31" xfId="2799" xr:uid="{00000000-0005-0000-0000-0000F70B0000}"/>
    <cellStyle name="제목 3 32" xfId="2800" xr:uid="{00000000-0005-0000-0000-0000F80B0000}"/>
    <cellStyle name="제목 3 33" xfId="2801" xr:uid="{00000000-0005-0000-0000-0000F90B0000}"/>
    <cellStyle name="제목 3 34" xfId="2802" xr:uid="{00000000-0005-0000-0000-0000FA0B0000}"/>
    <cellStyle name="제목 3 35" xfId="2803" xr:uid="{00000000-0005-0000-0000-0000FB0B0000}"/>
    <cellStyle name="제목 3 36" xfId="2804" xr:uid="{00000000-0005-0000-0000-0000FC0B0000}"/>
    <cellStyle name="제목 3 37" xfId="2805" xr:uid="{00000000-0005-0000-0000-0000FD0B0000}"/>
    <cellStyle name="제목 3 38" xfId="2806" xr:uid="{00000000-0005-0000-0000-0000FE0B0000}"/>
    <cellStyle name="제목 3 39" xfId="2807" xr:uid="{00000000-0005-0000-0000-0000FF0B0000}"/>
    <cellStyle name="제목 3 4" xfId="2808" xr:uid="{00000000-0005-0000-0000-0000000C0000}"/>
    <cellStyle name="제목 3 40" xfId="2809" xr:uid="{00000000-0005-0000-0000-0000010C0000}"/>
    <cellStyle name="제목 3 41" xfId="2810" xr:uid="{00000000-0005-0000-0000-0000020C0000}"/>
    <cellStyle name="제목 3 42" xfId="2811" xr:uid="{00000000-0005-0000-0000-0000030C0000}"/>
    <cellStyle name="제목 3 43" xfId="2812" xr:uid="{00000000-0005-0000-0000-0000040C0000}"/>
    <cellStyle name="제목 3 44" xfId="2813" xr:uid="{00000000-0005-0000-0000-0000050C0000}"/>
    <cellStyle name="제목 3 45" xfId="2814" xr:uid="{00000000-0005-0000-0000-0000060C0000}"/>
    <cellStyle name="제목 3 46" xfId="2815" xr:uid="{00000000-0005-0000-0000-0000070C0000}"/>
    <cellStyle name="제목 3 47" xfId="2816" xr:uid="{00000000-0005-0000-0000-0000080C0000}"/>
    <cellStyle name="제목 3 48" xfId="2817" xr:uid="{00000000-0005-0000-0000-0000090C0000}"/>
    <cellStyle name="제목 3 49" xfId="2818" xr:uid="{00000000-0005-0000-0000-00000A0C0000}"/>
    <cellStyle name="제목 3 5" xfId="2819" xr:uid="{00000000-0005-0000-0000-00000B0C0000}"/>
    <cellStyle name="제목 3 50" xfId="2820" xr:uid="{00000000-0005-0000-0000-00000C0C0000}"/>
    <cellStyle name="제목 3 51" xfId="2821" xr:uid="{00000000-0005-0000-0000-00000D0C0000}"/>
    <cellStyle name="제목 3 52" xfId="2822" xr:uid="{00000000-0005-0000-0000-00000E0C0000}"/>
    <cellStyle name="제목 3 53" xfId="2823" xr:uid="{00000000-0005-0000-0000-00000F0C0000}"/>
    <cellStyle name="제목 3 54" xfId="2824" xr:uid="{00000000-0005-0000-0000-0000100C0000}"/>
    <cellStyle name="제목 3 55" xfId="2825" xr:uid="{00000000-0005-0000-0000-0000110C0000}"/>
    <cellStyle name="제목 3 56" xfId="2826" xr:uid="{00000000-0005-0000-0000-0000120C0000}"/>
    <cellStyle name="제목 3 57" xfId="2827" xr:uid="{00000000-0005-0000-0000-0000130C0000}"/>
    <cellStyle name="제목 3 58" xfId="2828" xr:uid="{00000000-0005-0000-0000-0000140C0000}"/>
    <cellStyle name="제목 3 59" xfId="3081" xr:uid="{00000000-0005-0000-0000-0000150C0000}"/>
    <cellStyle name="제목 3 6" xfId="2829" xr:uid="{00000000-0005-0000-0000-0000160C0000}"/>
    <cellStyle name="제목 3 7" xfId="2830" xr:uid="{00000000-0005-0000-0000-0000170C0000}"/>
    <cellStyle name="제목 3 8" xfId="2831" xr:uid="{00000000-0005-0000-0000-0000180C0000}"/>
    <cellStyle name="제목 3 9" xfId="2832" xr:uid="{00000000-0005-0000-0000-0000190C0000}"/>
    <cellStyle name="제목 30" xfId="2833" xr:uid="{00000000-0005-0000-0000-00001A0C0000}"/>
    <cellStyle name="제목 31" xfId="2834" xr:uid="{00000000-0005-0000-0000-00001B0C0000}"/>
    <cellStyle name="제목 32" xfId="2835" xr:uid="{00000000-0005-0000-0000-00001C0C0000}"/>
    <cellStyle name="제목 33" xfId="2836" xr:uid="{00000000-0005-0000-0000-00001D0C0000}"/>
    <cellStyle name="제목 34" xfId="2837" xr:uid="{00000000-0005-0000-0000-00001E0C0000}"/>
    <cellStyle name="제목 35" xfId="2838" xr:uid="{00000000-0005-0000-0000-00001F0C0000}"/>
    <cellStyle name="제목 36" xfId="2839" xr:uid="{00000000-0005-0000-0000-0000200C0000}"/>
    <cellStyle name="제목 37" xfId="2840" xr:uid="{00000000-0005-0000-0000-0000210C0000}"/>
    <cellStyle name="제목 38" xfId="2841" xr:uid="{00000000-0005-0000-0000-0000220C0000}"/>
    <cellStyle name="제목 39" xfId="2842" xr:uid="{00000000-0005-0000-0000-0000230C0000}"/>
    <cellStyle name="제목 4" xfId="2843" builtinId="19" customBuiltin="1"/>
    <cellStyle name="제목 4 10" xfId="2844" xr:uid="{00000000-0005-0000-0000-0000250C0000}"/>
    <cellStyle name="제목 4 11" xfId="2845" xr:uid="{00000000-0005-0000-0000-0000260C0000}"/>
    <cellStyle name="제목 4 12" xfId="2846" xr:uid="{00000000-0005-0000-0000-0000270C0000}"/>
    <cellStyle name="제목 4 13" xfId="2847" xr:uid="{00000000-0005-0000-0000-0000280C0000}"/>
    <cellStyle name="제목 4 14" xfId="2848" xr:uid="{00000000-0005-0000-0000-0000290C0000}"/>
    <cellStyle name="제목 4 15" xfId="2849" xr:uid="{00000000-0005-0000-0000-00002A0C0000}"/>
    <cellStyle name="제목 4 16" xfId="2850" xr:uid="{00000000-0005-0000-0000-00002B0C0000}"/>
    <cellStyle name="제목 4 17" xfId="2851" xr:uid="{00000000-0005-0000-0000-00002C0C0000}"/>
    <cellStyle name="제목 4 18" xfId="2852" xr:uid="{00000000-0005-0000-0000-00002D0C0000}"/>
    <cellStyle name="제목 4 19" xfId="2853" xr:uid="{00000000-0005-0000-0000-00002E0C0000}"/>
    <cellStyle name="제목 4 2" xfId="2854" xr:uid="{00000000-0005-0000-0000-00002F0C0000}"/>
    <cellStyle name="제목 4 20" xfId="2855" xr:uid="{00000000-0005-0000-0000-0000300C0000}"/>
    <cellStyle name="제목 4 21" xfId="2856" xr:uid="{00000000-0005-0000-0000-0000310C0000}"/>
    <cellStyle name="제목 4 22" xfId="2857" xr:uid="{00000000-0005-0000-0000-0000320C0000}"/>
    <cellStyle name="제목 4 23" xfId="2858" xr:uid="{00000000-0005-0000-0000-0000330C0000}"/>
    <cellStyle name="제목 4 24" xfId="2859" xr:uid="{00000000-0005-0000-0000-0000340C0000}"/>
    <cellStyle name="제목 4 25" xfId="2860" xr:uid="{00000000-0005-0000-0000-0000350C0000}"/>
    <cellStyle name="제목 4 26" xfId="2861" xr:uid="{00000000-0005-0000-0000-0000360C0000}"/>
    <cellStyle name="제목 4 27" xfId="2862" xr:uid="{00000000-0005-0000-0000-0000370C0000}"/>
    <cellStyle name="제목 4 28" xfId="2863" xr:uid="{00000000-0005-0000-0000-0000380C0000}"/>
    <cellStyle name="제목 4 29" xfId="2864" xr:uid="{00000000-0005-0000-0000-0000390C0000}"/>
    <cellStyle name="제목 4 3" xfId="2865" xr:uid="{00000000-0005-0000-0000-00003A0C0000}"/>
    <cellStyle name="제목 4 30" xfId="2866" xr:uid="{00000000-0005-0000-0000-00003B0C0000}"/>
    <cellStyle name="제목 4 31" xfId="2867" xr:uid="{00000000-0005-0000-0000-00003C0C0000}"/>
    <cellStyle name="제목 4 32" xfId="2868" xr:uid="{00000000-0005-0000-0000-00003D0C0000}"/>
    <cellStyle name="제목 4 33" xfId="2869" xr:uid="{00000000-0005-0000-0000-00003E0C0000}"/>
    <cellStyle name="제목 4 34" xfId="2870" xr:uid="{00000000-0005-0000-0000-00003F0C0000}"/>
    <cellStyle name="제목 4 35" xfId="2871" xr:uid="{00000000-0005-0000-0000-0000400C0000}"/>
    <cellStyle name="제목 4 36" xfId="2872" xr:uid="{00000000-0005-0000-0000-0000410C0000}"/>
    <cellStyle name="제목 4 37" xfId="2873" xr:uid="{00000000-0005-0000-0000-0000420C0000}"/>
    <cellStyle name="제목 4 38" xfId="2874" xr:uid="{00000000-0005-0000-0000-0000430C0000}"/>
    <cellStyle name="제목 4 39" xfId="2875" xr:uid="{00000000-0005-0000-0000-0000440C0000}"/>
    <cellStyle name="제목 4 4" xfId="2876" xr:uid="{00000000-0005-0000-0000-0000450C0000}"/>
    <cellStyle name="제목 4 40" xfId="2877" xr:uid="{00000000-0005-0000-0000-0000460C0000}"/>
    <cellStyle name="제목 4 41" xfId="2878" xr:uid="{00000000-0005-0000-0000-0000470C0000}"/>
    <cellStyle name="제목 4 42" xfId="2879" xr:uid="{00000000-0005-0000-0000-0000480C0000}"/>
    <cellStyle name="제목 4 43" xfId="2880" xr:uid="{00000000-0005-0000-0000-0000490C0000}"/>
    <cellStyle name="제목 4 44" xfId="2881" xr:uid="{00000000-0005-0000-0000-00004A0C0000}"/>
    <cellStyle name="제목 4 45" xfId="2882" xr:uid="{00000000-0005-0000-0000-00004B0C0000}"/>
    <cellStyle name="제목 4 46" xfId="2883" xr:uid="{00000000-0005-0000-0000-00004C0C0000}"/>
    <cellStyle name="제목 4 47" xfId="2884" xr:uid="{00000000-0005-0000-0000-00004D0C0000}"/>
    <cellStyle name="제목 4 48" xfId="2885" xr:uid="{00000000-0005-0000-0000-00004E0C0000}"/>
    <cellStyle name="제목 4 49" xfId="2886" xr:uid="{00000000-0005-0000-0000-00004F0C0000}"/>
    <cellStyle name="제목 4 5" xfId="2887" xr:uid="{00000000-0005-0000-0000-0000500C0000}"/>
    <cellStyle name="제목 4 50" xfId="2888" xr:uid="{00000000-0005-0000-0000-0000510C0000}"/>
    <cellStyle name="제목 4 51" xfId="2889" xr:uid="{00000000-0005-0000-0000-0000520C0000}"/>
    <cellStyle name="제목 4 52" xfId="2890" xr:uid="{00000000-0005-0000-0000-0000530C0000}"/>
    <cellStyle name="제목 4 53" xfId="2891" xr:uid="{00000000-0005-0000-0000-0000540C0000}"/>
    <cellStyle name="제목 4 54" xfId="2892" xr:uid="{00000000-0005-0000-0000-0000550C0000}"/>
    <cellStyle name="제목 4 55" xfId="2893" xr:uid="{00000000-0005-0000-0000-0000560C0000}"/>
    <cellStyle name="제목 4 56" xfId="2894" xr:uid="{00000000-0005-0000-0000-0000570C0000}"/>
    <cellStyle name="제목 4 57" xfId="2895" xr:uid="{00000000-0005-0000-0000-0000580C0000}"/>
    <cellStyle name="제목 4 58" xfId="2896" xr:uid="{00000000-0005-0000-0000-0000590C0000}"/>
    <cellStyle name="제목 4 59" xfId="3082" xr:uid="{00000000-0005-0000-0000-00005A0C0000}"/>
    <cellStyle name="제목 4 6" xfId="2897" xr:uid="{00000000-0005-0000-0000-00005B0C0000}"/>
    <cellStyle name="제목 4 7" xfId="2898" xr:uid="{00000000-0005-0000-0000-00005C0C0000}"/>
    <cellStyle name="제목 4 8" xfId="2899" xr:uid="{00000000-0005-0000-0000-00005D0C0000}"/>
    <cellStyle name="제목 4 9" xfId="2900" xr:uid="{00000000-0005-0000-0000-00005E0C0000}"/>
    <cellStyle name="제목 40" xfId="2901" xr:uid="{00000000-0005-0000-0000-00005F0C0000}"/>
    <cellStyle name="제목 41" xfId="2902" xr:uid="{00000000-0005-0000-0000-0000600C0000}"/>
    <cellStyle name="제목 42" xfId="2903" xr:uid="{00000000-0005-0000-0000-0000610C0000}"/>
    <cellStyle name="제목 43" xfId="2904" xr:uid="{00000000-0005-0000-0000-0000620C0000}"/>
    <cellStyle name="제목 44" xfId="2905" xr:uid="{00000000-0005-0000-0000-0000630C0000}"/>
    <cellStyle name="제목 45" xfId="2906" xr:uid="{00000000-0005-0000-0000-0000640C0000}"/>
    <cellStyle name="제목 46" xfId="2907" xr:uid="{00000000-0005-0000-0000-0000650C0000}"/>
    <cellStyle name="제목 47" xfId="2908" xr:uid="{00000000-0005-0000-0000-0000660C0000}"/>
    <cellStyle name="제목 48" xfId="2909" xr:uid="{00000000-0005-0000-0000-0000670C0000}"/>
    <cellStyle name="제목 49" xfId="2910" xr:uid="{00000000-0005-0000-0000-0000680C0000}"/>
    <cellStyle name="제목 5" xfId="2911" xr:uid="{00000000-0005-0000-0000-0000690C0000}"/>
    <cellStyle name="제목 50" xfId="2912" xr:uid="{00000000-0005-0000-0000-00006A0C0000}"/>
    <cellStyle name="제목 51" xfId="2913" xr:uid="{00000000-0005-0000-0000-00006B0C0000}"/>
    <cellStyle name="제목 52" xfId="2914" xr:uid="{00000000-0005-0000-0000-00006C0C0000}"/>
    <cellStyle name="제목 53" xfId="2915" xr:uid="{00000000-0005-0000-0000-00006D0C0000}"/>
    <cellStyle name="제목 54" xfId="2916" xr:uid="{00000000-0005-0000-0000-00006E0C0000}"/>
    <cellStyle name="제목 55" xfId="2917" xr:uid="{00000000-0005-0000-0000-00006F0C0000}"/>
    <cellStyle name="제목 56" xfId="2918" xr:uid="{00000000-0005-0000-0000-0000700C0000}"/>
    <cellStyle name="제목 57" xfId="2919" xr:uid="{00000000-0005-0000-0000-0000710C0000}"/>
    <cellStyle name="제목 58" xfId="2920" xr:uid="{00000000-0005-0000-0000-0000720C0000}"/>
    <cellStyle name="제목 59" xfId="2921" xr:uid="{00000000-0005-0000-0000-0000730C0000}"/>
    <cellStyle name="제목 6" xfId="2922" xr:uid="{00000000-0005-0000-0000-0000740C0000}"/>
    <cellStyle name="제목 60" xfId="2923" xr:uid="{00000000-0005-0000-0000-0000750C0000}"/>
    <cellStyle name="제목 61" xfId="2924" xr:uid="{00000000-0005-0000-0000-0000760C0000}"/>
    <cellStyle name="제목 62" xfId="3078" xr:uid="{00000000-0005-0000-0000-0000770C0000}"/>
    <cellStyle name="제목 7" xfId="2925" xr:uid="{00000000-0005-0000-0000-0000780C0000}"/>
    <cellStyle name="제목 8" xfId="2926" xr:uid="{00000000-0005-0000-0000-0000790C0000}"/>
    <cellStyle name="제목 9" xfId="2927" xr:uid="{00000000-0005-0000-0000-00007A0C0000}"/>
    <cellStyle name="좋음" xfId="2928" builtinId="26" customBuiltin="1"/>
    <cellStyle name="좋음 10" xfId="2929" xr:uid="{00000000-0005-0000-0000-00007C0C0000}"/>
    <cellStyle name="좋음 11" xfId="2930" xr:uid="{00000000-0005-0000-0000-00007D0C0000}"/>
    <cellStyle name="좋음 12" xfId="2931" xr:uid="{00000000-0005-0000-0000-00007E0C0000}"/>
    <cellStyle name="좋음 13" xfId="2932" xr:uid="{00000000-0005-0000-0000-00007F0C0000}"/>
    <cellStyle name="좋음 14" xfId="2933" xr:uid="{00000000-0005-0000-0000-0000800C0000}"/>
    <cellStyle name="좋음 15" xfId="2934" xr:uid="{00000000-0005-0000-0000-0000810C0000}"/>
    <cellStyle name="좋음 16" xfId="2935" xr:uid="{00000000-0005-0000-0000-0000820C0000}"/>
    <cellStyle name="좋음 17" xfId="2936" xr:uid="{00000000-0005-0000-0000-0000830C0000}"/>
    <cellStyle name="좋음 18" xfId="2937" xr:uid="{00000000-0005-0000-0000-0000840C0000}"/>
    <cellStyle name="좋음 19" xfId="2938" xr:uid="{00000000-0005-0000-0000-0000850C0000}"/>
    <cellStyle name="좋음 2" xfId="2939" xr:uid="{00000000-0005-0000-0000-0000860C0000}"/>
    <cellStyle name="좋음 20" xfId="2940" xr:uid="{00000000-0005-0000-0000-0000870C0000}"/>
    <cellStyle name="좋음 21" xfId="2941" xr:uid="{00000000-0005-0000-0000-0000880C0000}"/>
    <cellStyle name="좋음 22" xfId="2942" xr:uid="{00000000-0005-0000-0000-0000890C0000}"/>
    <cellStyle name="좋음 23" xfId="2943" xr:uid="{00000000-0005-0000-0000-00008A0C0000}"/>
    <cellStyle name="좋음 24" xfId="2944" xr:uid="{00000000-0005-0000-0000-00008B0C0000}"/>
    <cellStyle name="좋음 25" xfId="2945" xr:uid="{00000000-0005-0000-0000-00008C0C0000}"/>
    <cellStyle name="좋음 26" xfId="2946" xr:uid="{00000000-0005-0000-0000-00008D0C0000}"/>
    <cellStyle name="좋음 27" xfId="2947" xr:uid="{00000000-0005-0000-0000-00008E0C0000}"/>
    <cellStyle name="좋음 28" xfId="2948" xr:uid="{00000000-0005-0000-0000-00008F0C0000}"/>
    <cellStyle name="좋음 29" xfId="2949" xr:uid="{00000000-0005-0000-0000-0000900C0000}"/>
    <cellStyle name="좋음 3" xfId="2950" xr:uid="{00000000-0005-0000-0000-0000910C0000}"/>
    <cellStyle name="좋음 30" xfId="2951" xr:uid="{00000000-0005-0000-0000-0000920C0000}"/>
    <cellStyle name="좋음 31" xfId="2952" xr:uid="{00000000-0005-0000-0000-0000930C0000}"/>
    <cellStyle name="좋음 32" xfId="2953" xr:uid="{00000000-0005-0000-0000-0000940C0000}"/>
    <cellStyle name="좋음 33" xfId="2954" xr:uid="{00000000-0005-0000-0000-0000950C0000}"/>
    <cellStyle name="좋음 34" xfId="2955" xr:uid="{00000000-0005-0000-0000-0000960C0000}"/>
    <cellStyle name="좋음 35" xfId="2956" xr:uid="{00000000-0005-0000-0000-0000970C0000}"/>
    <cellStyle name="좋음 36" xfId="2957" xr:uid="{00000000-0005-0000-0000-0000980C0000}"/>
    <cellStyle name="좋음 37" xfId="2958" xr:uid="{00000000-0005-0000-0000-0000990C0000}"/>
    <cellStyle name="좋음 38" xfId="2959" xr:uid="{00000000-0005-0000-0000-00009A0C0000}"/>
    <cellStyle name="좋음 39" xfId="2960" xr:uid="{00000000-0005-0000-0000-00009B0C0000}"/>
    <cellStyle name="좋음 4" xfId="2961" xr:uid="{00000000-0005-0000-0000-00009C0C0000}"/>
    <cellStyle name="좋음 40" xfId="2962" xr:uid="{00000000-0005-0000-0000-00009D0C0000}"/>
    <cellStyle name="좋음 41" xfId="2963" xr:uid="{00000000-0005-0000-0000-00009E0C0000}"/>
    <cellStyle name="좋음 42" xfId="2964" xr:uid="{00000000-0005-0000-0000-00009F0C0000}"/>
    <cellStyle name="좋음 43" xfId="2965" xr:uid="{00000000-0005-0000-0000-0000A00C0000}"/>
    <cellStyle name="좋음 44" xfId="2966" xr:uid="{00000000-0005-0000-0000-0000A10C0000}"/>
    <cellStyle name="좋음 45" xfId="2967" xr:uid="{00000000-0005-0000-0000-0000A20C0000}"/>
    <cellStyle name="좋음 46" xfId="2968" xr:uid="{00000000-0005-0000-0000-0000A30C0000}"/>
    <cellStyle name="좋음 47" xfId="2969" xr:uid="{00000000-0005-0000-0000-0000A40C0000}"/>
    <cellStyle name="좋음 48" xfId="2970" xr:uid="{00000000-0005-0000-0000-0000A50C0000}"/>
    <cellStyle name="좋음 49" xfId="2971" xr:uid="{00000000-0005-0000-0000-0000A60C0000}"/>
    <cellStyle name="좋음 5" xfId="2972" xr:uid="{00000000-0005-0000-0000-0000A70C0000}"/>
    <cellStyle name="좋음 50" xfId="2973" xr:uid="{00000000-0005-0000-0000-0000A80C0000}"/>
    <cellStyle name="좋음 51" xfId="2974" xr:uid="{00000000-0005-0000-0000-0000A90C0000}"/>
    <cellStyle name="좋음 52" xfId="2975" xr:uid="{00000000-0005-0000-0000-0000AA0C0000}"/>
    <cellStyle name="좋음 53" xfId="2976" xr:uid="{00000000-0005-0000-0000-0000AB0C0000}"/>
    <cellStyle name="좋음 54" xfId="2977" xr:uid="{00000000-0005-0000-0000-0000AC0C0000}"/>
    <cellStyle name="좋음 55" xfId="2978" xr:uid="{00000000-0005-0000-0000-0000AD0C0000}"/>
    <cellStyle name="좋음 56" xfId="2979" xr:uid="{00000000-0005-0000-0000-0000AE0C0000}"/>
    <cellStyle name="좋음 57" xfId="2980" xr:uid="{00000000-0005-0000-0000-0000AF0C0000}"/>
    <cellStyle name="좋음 58" xfId="2981" xr:uid="{00000000-0005-0000-0000-0000B00C0000}"/>
    <cellStyle name="좋음 59" xfId="3083" xr:uid="{00000000-0005-0000-0000-0000B10C0000}"/>
    <cellStyle name="좋음 6" xfId="2982" xr:uid="{00000000-0005-0000-0000-0000B20C0000}"/>
    <cellStyle name="좋음 7" xfId="2983" xr:uid="{00000000-0005-0000-0000-0000B30C0000}"/>
    <cellStyle name="좋음 8" xfId="2984" xr:uid="{00000000-0005-0000-0000-0000B40C0000}"/>
    <cellStyle name="좋음 9" xfId="2985" xr:uid="{00000000-0005-0000-0000-0000B50C0000}"/>
    <cellStyle name="출력" xfId="2986" builtinId="21" customBuiltin="1"/>
    <cellStyle name="출력 10" xfId="2987" xr:uid="{00000000-0005-0000-0000-0000B70C0000}"/>
    <cellStyle name="출력 11" xfId="2988" xr:uid="{00000000-0005-0000-0000-0000B80C0000}"/>
    <cellStyle name="출력 12" xfId="2989" xr:uid="{00000000-0005-0000-0000-0000B90C0000}"/>
    <cellStyle name="출력 13" xfId="2990" xr:uid="{00000000-0005-0000-0000-0000BA0C0000}"/>
    <cellStyle name="출력 14" xfId="2991" xr:uid="{00000000-0005-0000-0000-0000BB0C0000}"/>
    <cellStyle name="출력 15" xfId="2992" xr:uid="{00000000-0005-0000-0000-0000BC0C0000}"/>
    <cellStyle name="출력 16" xfId="2993" xr:uid="{00000000-0005-0000-0000-0000BD0C0000}"/>
    <cellStyle name="출력 17" xfId="2994" xr:uid="{00000000-0005-0000-0000-0000BE0C0000}"/>
    <cellStyle name="출력 18" xfId="2995" xr:uid="{00000000-0005-0000-0000-0000BF0C0000}"/>
    <cellStyle name="출력 19" xfId="2996" xr:uid="{00000000-0005-0000-0000-0000C00C0000}"/>
    <cellStyle name="출력 2" xfId="2997" xr:uid="{00000000-0005-0000-0000-0000C10C0000}"/>
    <cellStyle name="출력 20" xfId="2998" xr:uid="{00000000-0005-0000-0000-0000C20C0000}"/>
    <cellStyle name="출력 21" xfId="2999" xr:uid="{00000000-0005-0000-0000-0000C30C0000}"/>
    <cellStyle name="출력 22" xfId="3000" xr:uid="{00000000-0005-0000-0000-0000C40C0000}"/>
    <cellStyle name="출력 23" xfId="3001" xr:uid="{00000000-0005-0000-0000-0000C50C0000}"/>
    <cellStyle name="출력 24" xfId="3002" xr:uid="{00000000-0005-0000-0000-0000C60C0000}"/>
    <cellStyle name="출력 25" xfId="3003" xr:uid="{00000000-0005-0000-0000-0000C70C0000}"/>
    <cellStyle name="출력 26" xfId="3004" xr:uid="{00000000-0005-0000-0000-0000C80C0000}"/>
    <cellStyle name="출력 27" xfId="3005" xr:uid="{00000000-0005-0000-0000-0000C90C0000}"/>
    <cellStyle name="출력 28" xfId="3006" xr:uid="{00000000-0005-0000-0000-0000CA0C0000}"/>
    <cellStyle name="출력 29" xfId="3007" xr:uid="{00000000-0005-0000-0000-0000CB0C0000}"/>
    <cellStyle name="출력 3" xfId="3008" xr:uid="{00000000-0005-0000-0000-0000CC0C0000}"/>
    <cellStyle name="출력 30" xfId="3009" xr:uid="{00000000-0005-0000-0000-0000CD0C0000}"/>
    <cellStyle name="출력 31" xfId="3010" xr:uid="{00000000-0005-0000-0000-0000CE0C0000}"/>
    <cellStyle name="출력 32" xfId="3011" xr:uid="{00000000-0005-0000-0000-0000CF0C0000}"/>
    <cellStyle name="출력 33" xfId="3012" xr:uid="{00000000-0005-0000-0000-0000D00C0000}"/>
    <cellStyle name="출력 34" xfId="3013" xr:uid="{00000000-0005-0000-0000-0000D10C0000}"/>
    <cellStyle name="출력 35" xfId="3014" xr:uid="{00000000-0005-0000-0000-0000D20C0000}"/>
    <cellStyle name="출력 36" xfId="3015" xr:uid="{00000000-0005-0000-0000-0000D30C0000}"/>
    <cellStyle name="출력 37" xfId="3016" xr:uid="{00000000-0005-0000-0000-0000D40C0000}"/>
    <cellStyle name="출력 38" xfId="3017" xr:uid="{00000000-0005-0000-0000-0000D50C0000}"/>
    <cellStyle name="출력 39" xfId="3018" xr:uid="{00000000-0005-0000-0000-0000D60C0000}"/>
    <cellStyle name="출력 4" xfId="3019" xr:uid="{00000000-0005-0000-0000-0000D70C0000}"/>
    <cellStyle name="출력 40" xfId="3020" xr:uid="{00000000-0005-0000-0000-0000D80C0000}"/>
    <cellStyle name="출력 41" xfId="3021" xr:uid="{00000000-0005-0000-0000-0000D90C0000}"/>
    <cellStyle name="출력 42" xfId="3022" xr:uid="{00000000-0005-0000-0000-0000DA0C0000}"/>
    <cellStyle name="출력 43" xfId="3023" xr:uid="{00000000-0005-0000-0000-0000DB0C0000}"/>
    <cellStyle name="출력 44" xfId="3024" xr:uid="{00000000-0005-0000-0000-0000DC0C0000}"/>
    <cellStyle name="출력 45" xfId="3025" xr:uid="{00000000-0005-0000-0000-0000DD0C0000}"/>
    <cellStyle name="출력 46" xfId="3026" xr:uid="{00000000-0005-0000-0000-0000DE0C0000}"/>
    <cellStyle name="출력 47" xfId="3027" xr:uid="{00000000-0005-0000-0000-0000DF0C0000}"/>
    <cellStyle name="출력 48" xfId="3028" xr:uid="{00000000-0005-0000-0000-0000E00C0000}"/>
    <cellStyle name="출력 49" xfId="3029" xr:uid="{00000000-0005-0000-0000-0000E10C0000}"/>
    <cellStyle name="출력 5" xfId="3030" xr:uid="{00000000-0005-0000-0000-0000E20C0000}"/>
    <cellStyle name="출력 50" xfId="3031" xr:uid="{00000000-0005-0000-0000-0000E30C0000}"/>
    <cellStyle name="출력 51" xfId="3032" xr:uid="{00000000-0005-0000-0000-0000E40C0000}"/>
    <cellStyle name="출력 52" xfId="3033" xr:uid="{00000000-0005-0000-0000-0000E50C0000}"/>
    <cellStyle name="출력 53" xfId="3034" xr:uid="{00000000-0005-0000-0000-0000E60C0000}"/>
    <cellStyle name="출력 54" xfId="3035" xr:uid="{00000000-0005-0000-0000-0000E70C0000}"/>
    <cellStyle name="출력 55" xfId="3036" xr:uid="{00000000-0005-0000-0000-0000E80C0000}"/>
    <cellStyle name="출력 56" xfId="3037" xr:uid="{00000000-0005-0000-0000-0000E90C0000}"/>
    <cellStyle name="출력 57" xfId="3038" xr:uid="{00000000-0005-0000-0000-0000EA0C0000}"/>
    <cellStyle name="출력 58" xfId="3039" xr:uid="{00000000-0005-0000-0000-0000EB0C0000}"/>
    <cellStyle name="출력 59" xfId="3087" xr:uid="{00000000-0005-0000-0000-0000EC0C0000}"/>
    <cellStyle name="출력 6" xfId="3040" xr:uid="{00000000-0005-0000-0000-0000ED0C0000}"/>
    <cellStyle name="출력 7" xfId="3041" xr:uid="{00000000-0005-0000-0000-0000EE0C0000}"/>
    <cellStyle name="출력 8" xfId="3042" xr:uid="{00000000-0005-0000-0000-0000EF0C0000}"/>
    <cellStyle name="출력 9" xfId="3043" xr:uid="{00000000-0005-0000-0000-0000F00C0000}"/>
    <cellStyle name="표준" xfId="0" builtinId="0"/>
    <cellStyle name="표준 10" xfId="3044" xr:uid="{00000000-0005-0000-0000-0000F20C0000}"/>
    <cellStyle name="표준 10 5" xfId="3045" xr:uid="{00000000-0005-0000-0000-0000F30C0000}"/>
    <cellStyle name="표준 11" xfId="3046" xr:uid="{00000000-0005-0000-0000-0000F40C0000}"/>
    <cellStyle name="표준 12" xfId="3047" xr:uid="{00000000-0005-0000-0000-0000F50C0000}"/>
    <cellStyle name="표준 13" xfId="3048" xr:uid="{00000000-0005-0000-0000-0000F60C0000}"/>
    <cellStyle name="표준 14" xfId="3049" xr:uid="{00000000-0005-0000-0000-0000F70C0000}"/>
    <cellStyle name="표준 15" xfId="3050" xr:uid="{00000000-0005-0000-0000-0000F80C0000}"/>
    <cellStyle name="표준 16" xfId="3051" xr:uid="{00000000-0005-0000-0000-0000F90C0000}"/>
    <cellStyle name="표준 17" xfId="3052" xr:uid="{00000000-0005-0000-0000-0000FA0C0000}"/>
    <cellStyle name="표준 18" xfId="3053" xr:uid="{00000000-0005-0000-0000-0000FB0C0000}"/>
    <cellStyle name="표준 19" xfId="3054" xr:uid="{00000000-0005-0000-0000-0000FC0C0000}"/>
    <cellStyle name="표준 2" xfId="3055" xr:uid="{00000000-0005-0000-0000-0000FD0C0000}"/>
    <cellStyle name="표준 2 2" xfId="3056" xr:uid="{00000000-0005-0000-0000-0000FE0C0000}"/>
    <cellStyle name="표준 2 3" xfId="3057" xr:uid="{00000000-0005-0000-0000-0000FF0C0000}"/>
    <cellStyle name="표준 2 4" xfId="3058" xr:uid="{00000000-0005-0000-0000-0000000D0000}"/>
    <cellStyle name="표준 20" xfId="3059" xr:uid="{00000000-0005-0000-0000-0000010D0000}"/>
    <cellStyle name="표준 21" xfId="3060" xr:uid="{00000000-0005-0000-0000-0000020D0000}"/>
    <cellStyle name="표준 22" xfId="3061" xr:uid="{00000000-0005-0000-0000-0000030D0000}"/>
    <cellStyle name="표준 23" xfId="3062" xr:uid="{00000000-0005-0000-0000-0000040D0000}"/>
    <cellStyle name="표준 24" xfId="3063" xr:uid="{00000000-0005-0000-0000-0000050D0000}"/>
    <cellStyle name="표준 25" xfId="3064" xr:uid="{00000000-0005-0000-0000-0000060D0000}"/>
    <cellStyle name="표준 26" xfId="3065" xr:uid="{00000000-0005-0000-0000-0000070D0000}"/>
    <cellStyle name="표준 27" xfId="3066" xr:uid="{00000000-0005-0000-0000-0000080D0000}"/>
    <cellStyle name="표준 28" xfId="3067" xr:uid="{00000000-0005-0000-0000-0000090D0000}"/>
    <cellStyle name="표준 29" xfId="3145" xr:uid="{00000000-0005-0000-0000-00000A0D0000}"/>
    <cellStyle name="표준 3" xfId="3068" xr:uid="{00000000-0005-0000-0000-00000B0D0000}"/>
    <cellStyle name="표준 3 2" xfId="3069" xr:uid="{00000000-0005-0000-0000-00000C0D0000}"/>
    <cellStyle name="표준 3 3" xfId="3070" xr:uid="{00000000-0005-0000-0000-00000D0D0000}"/>
    <cellStyle name="표준 30" xfId="3198" xr:uid="{00000000-0005-0000-0000-00000E0D0000}"/>
    <cellStyle name="표준 31" xfId="3199" xr:uid="{00000000-0005-0000-0000-00000F0D0000}"/>
    <cellStyle name="표준 32" xfId="3349" xr:uid="{00000000-0005-0000-0000-0000100D0000}"/>
    <cellStyle name="표준 33" xfId="3350" xr:uid="{00000000-0005-0000-0000-0000110D0000}"/>
    <cellStyle name="표준 34" xfId="3352" xr:uid="{00000000-0005-0000-0000-00001E0D0000}"/>
    <cellStyle name="표준 4" xfId="3071" xr:uid="{00000000-0005-0000-0000-0000120D0000}"/>
    <cellStyle name="표준 5" xfId="3072" xr:uid="{00000000-0005-0000-0000-0000130D0000}"/>
    <cellStyle name="표준 6" xfId="3073" xr:uid="{00000000-0005-0000-0000-0000140D0000}"/>
    <cellStyle name="표준 7" xfId="3074" xr:uid="{00000000-0005-0000-0000-0000150D0000}"/>
    <cellStyle name="표준 7 2" xfId="3075" xr:uid="{00000000-0005-0000-0000-0000160D0000}"/>
    <cellStyle name="표준 8" xfId="3076" xr:uid="{00000000-0005-0000-0000-0000170D0000}"/>
    <cellStyle name="표준 9" xfId="3077" xr:uid="{00000000-0005-0000-0000-0000180D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0</xdr:rowOff>
    </xdr:from>
    <xdr:to>
      <xdr:col>11</xdr:col>
      <xdr:colOff>476250</xdr:colOff>
      <xdr:row>10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76675" y="838200"/>
          <a:ext cx="4267200" cy="1295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700"/>
            </a:lnSpc>
          </a:pPr>
          <a:r>
            <a:rPr lang="en-US" altLang="ko-KR" sz="1200" b="1" u="sng">
              <a:solidFill>
                <a:sysClr val="windowText" lastClr="000000"/>
              </a:solidFill>
            </a:rPr>
            <a:t>**</a:t>
          </a:r>
          <a:r>
            <a:rPr lang="ko-KR" altLang="en-US" sz="1200" b="1" u="sng">
              <a:solidFill>
                <a:sysClr val="windowText" lastClr="000000"/>
              </a:solidFill>
            </a:rPr>
            <a:t>알림</a:t>
          </a:r>
          <a:r>
            <a:rPr lang="en-US" altLang="ko-KR" sz="1200" b="1" u="sng">
              <a:solidFill>
                <a:sysClr val="windowText" lastClr="000000"/>
              </a:solidFill>
            </a:rPr>
            <a:t>**</a:t>
          </a:r>
        </a:p>
        <a:p>
          <a:pPr algn="l">
            <a:lnSpc>
              <a:spcPts val="1700"/>
            </a:lnSpc>
          </a:pPr>
          <a:r>
            <a:rPr lang="ko-KR" altLang="en-US" sz="1200" b="0" i="0" u="none" baseline="0">
              <a:solidFill>
                <a:sysClr val="windowText" lastClr="000000"/>
              </a:solidFill>
            </a:rPr>
            <a:t>혜미매니저님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!</a:t>
          </a:r>
        </a:p>
        <a:p>
          <a:pPr algn="l">
            <a:lnSpc>
              <a:spcPts val="1800"/>
            </a:lnSpc>
          </a:pPr>
          <a:r>
            <a:rPr lang="ko-KR" altLang="en-US" sz="1200" b="0" i="0" u="none" baseline="0">
              <a:solidFill>
                <a:sysClr val="windowText" lastClr="000000"/>
              </a:solidFill>
            </a:rPr>
            <a:t> 모델 촬영한 리스트 기재해주시면 됩니다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.</a:t>
          </a:r>
        </a:p>
        <a:p>
          <a:pPr algn="l">
            <a:lnSpc>
              <a:spcPts val="1700"/>
            </a:lnSpc>
          </a:pPr>
          <a:r>
            <a:rPr lang="ko-KR" altLang="en-US" sz="1200" b="0" i="0" u="none" baseline="0">
              <a:solidFill>
                <a:sysClr val="windowText" lastClr="000000"/>
              </a:solidFill>
            </a:rPr>
            <a:t>스타일코드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, </a:t>
          </a:r>
          <a:r>
            <a:rPr lang="ko-KR" altLang="en-US" sz="1200" b="0" i="0" u="none" baseline="0">
              <a:solidFill>
                <a:sysClr val="windowText" lastClr="000000"/>
              </a:solidFill>
            </a:rPr>
            <a:t>촬영 일자만 기재해주세요</a:t>
          </a:r>
          <a:r>
            <a:rPr lang="en-US" altLang="ko-KR" sz="1200" b="0" i="0" u="none" baseline="0">
              <a:solidFill>
                <a:sysClr val="windowText" lastClr="000000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workbookViewId="0">
      <selection activeCell="C6" sqref="C6"/>
    </sheetView>
  </sheetViews>
  <sheetFormatPr defaultColWidth="9" defaultRowHeight="17"/>
  <cols>
    <col min="1" max="1" width="3.58203125" style="1" customWidth="1"/>
    <col min="2" max="2" width="6.25" style="1" customWidth="1"/>
    <col min="3" max="3" width="15.75" style="1" bestFit="1" customWidth="1"/>
    <col min="4" max="4" width="11" style="1" bestFit="1" customWidth="1"/>
    <col min="5" max="5" width="9.75" style="1" bestFit="1" customWidth="1"/>
    <col min="6" max="16384" width="9" style="1"/>
  </cols>
  <sheetData>
    <row r="2" spans="2:5">
      <c r="B2" s="15" t="s">
        <v>395</v>
      </c>
    </row>
    <row r="3" spans="2:5">
      <c r="B3" s="15" t="s">
        <v>394</v>
      </c>
    </row>
    <row r="4" spans="2:5">
      <c r="B4" s="14" t="s">
        <v>366</v>
      </c>
      <c r="C4" s="14" t="s">
        <v>385</v>
      </c>
      <c r="D4" s="5"/>
      <c r="E4" s="5"/>
    </row>
    <row r="5" spans="2:5">
      <c r="B5" s="39" t="s">
        <v>386</v>
      </c>
      <c r="C5" s="39" t="s">
        <v>367</v>
      </c>
      <c r="D5" s="39" t="s">
        <v>390</v>
      </c>
      <c r="E5" s="39" t="s">
        <v>387</v>
      </c>
    </row>
    <row r="6" spans="2:5">
      <c r="B6" s="2">
        <v>1</v>
      </c>
      <c r="C6" s="2"/>
      <c r="D6" s="16">
        <v>42999</v>
      </c>
      <c r="E6" s="2" t="s">
        <v>396</v>
      </c>
    </row>
    <row r="7" spans="2:5">
      <c r="B7" s="2">
        <v>2</v>
      </c>
      <c r="C7" s="2"/>
      <c r="D7" s="16">
        <v>42999</v>
      </c>
      <c r="E7" s="2" t="s">
        <v>396</v>
      </c>
    </row>
    <row r="8" spans="2:5">
      <c r="B8" s="2">
        <v>3</v>
      </c>
      <c r="C8" s="2"/>
      <c r="D8" s="16">
        <v>42999</v>
      </c>
      <c r="E8" s="2" t="s">
        <v>396</v>
      </c>
    </row>
    <row r="9" spans="2:5">
      <c r="B9" s="2">
        <v>4</v>
      </c>
      <c r="C9" s="2"/>
      <c r="D9" s="16">
        <v>42999</v>
      </c>
      <c r="E9" s="2" t="s">
        <v>396</v>
      </c>
    </row>
    <row r="10" spans="2:5">
      <c r="B10" s="2">
        <v>5</v>
      </c>
      <c r="C10" s="2"/>
      <c r="D10" s="16">
        <v>42999</v>
      </c>
      <c r="E10" s="2" t="s">
        <v>396</v>
      </c>
    </row>
    <row r="11" spans="2:5">
      <c r="B11" s="2">
        <v>6</v>
      </c>
      <c r="C11" s="2"/>
      <c r="D11" s="16">
        <v>42999</v>
      </c>
      <c r="E11" s="2" t="s">
        <v>396</v>
      </c>
    </row>
    <row r="12" spans="2:5">
      <c r="B12" s="2">
        <v>7</v>
      </c>
      <c r="C12" s="2"/>
      <c r="D12" s="16">
        <v>42999</v>
      </c>
      <c r="E12" s="2" t="s">
        <v>396</v>
      </c>
    </row>
    <row r="13" spans="2:5">
      <c r="B13" s="2">
        <v>8</v>
      </c>
      <c r="C13" s="2"/>
      <c r="D13" s="16">
        <v>42999</v>
      </c>
      <c r="E13" s="2" t="s">
        <v>396</v>
      </c>
    </row>
    <row r="14" spans="2:5">
      <c r="B14" s="2">
        <v>9</v>
      </c>
      <c r="C14" s="2"/>
      <c r="D14" s="16">
        <v>42999</v>
      </c>
      <c r="E14" s="2" t="s">
        <v>396</v>
      </c>
    </row>
    <row r="15" spans="2:5">
      <c r="B15" s="2">
        <v>10</v>
      </c>
      <c r="C15" s="2"/>
      <c r="D15" s="16">
        <v>42999</v>
      </c>
      <c r="E15" s="2" t="s">
        <v>396</v>
      </c>
    </row>
    <row r="16" spans="2:5">
      <c r="B16" s="2">
        <v>11</v>
      </c>
      <c r="C16" s="2"/>
      <c r="D16" s="16">
        <v>42999</v>
      </c>
      <c r="E16" s="2" t="s">
        <v>396</v>
      </c>
    </row>
    <row r="17" spans="2:5">
      <c r="B17" s="2">
        <v>12</v>
      </c>
      <c r="C17" s="2"/>
      <c r="D17" s="16">
        <v>42999</v>
      </c>
      <c r="E17" s="2" t="s">
        <v>396</v>
      </c>
    </row>
    <row r="18" spans="2:5">
      <c r="B18" s="2">
        <v>13</v>
      </c>
      <c r="C18" s="2"/>
      <c r="D18" s="16">
        <v>42999</v>
      </c>
      <c r="E18" s="2" t="s">
        <v>396</v>
      </c>
    </row>
    <row r="19" spans="2:5">
      <c r="B19" s="2">
        <v>14</v>
      </c>
      <c r="C19" s="2"/>
      <c r="D19" s="16">
        <v>42999</v>
      </c>
      <c r="E19" s="2" t="s">
        <v>396</v>
      </c>
    </row>
    <row r="20" spans="2:5">
      <c r="B20" s="2">
        <v>15</v>
      </c>
      <c r="C20" s="2"/>
      <c r="D20" s="16">
        <v>42999</v>
      </c>
      <c r="E20" s="2" t="s">
        <v>396</v>
      </c>
    </row>
    <row r="21" spans="2:5">
      <c r="B21" s="2">
        <v>16</v>
      </c>
      <c r="C21" s="2"/>
      <c r="D21" s="16">
        <v>42999</v>
      </c>
      <c r="E21" s="2" t="s">
        <v>396</v>
      </c>
    </row>
    <row r="22" spans="2:5">
      <c r="B22" s="2">
        <v>17</v>
      </c>
      <c r="C22" s="2"/>
      <c r="D22" s="16">
        <v>42999</v>
      </c>
      <c r="E22" s="2" t="s">
        <v>396</v>
      </c>
    </row>
    <row r="23" spans="2:5">
      <c r="B23" s="2">
        <v>18</v>
      </c>
      <c r="C23" s="2"/>
      <c r="D23" s="16">
        <v>42999</v>
      </c>
      <c r="E23" s="2" t="s">
        <v>396</v>
      </c>
    </row>
    <row r="24" spans="2:5">
      <c r="B24" s="2">
        <v>19</v>
      </c>
      <c r="C24" s="2"/>
      <c r="D24" s="16">
        <v>42999</v>
      </c>
      <c r="E24" s="2" t="s">
        <v>396</v>
      </c>
    </row>
    <row r="25" spans="2:5">
      <c r="B25" s="2">
        <v>20</v>
      </c>
      <c r="C25" s="2"/>
      <c r="D25" s="16">
        <v>42999</v>
      </c>
      <c r="E25" s="2" t="s">
        <v>396</v>
      </c>
    </row>
    <row r="26" spans="2:5">
      <c r="B26" s="2">
        <v>21</v>
      </c>
      <c r="C26" s="2"/>
      <c r="D26" s="16">
        <v>42999</v>
      </c>
      <c r="E26" s="2" t="s">
        <v>396</v>
      </c>
    </row>
    <row r="27" spans="2:5">
      <c r="B27" s="2">
        <v>22</v>
      </c>
      <c r="C27" s="2"/>
      <c r="D27" s="16">
        <v>42999</v>
      </c>
      <c r="E27" s="2" t="s">
        <v>396</v>
      </c>
    </row>
    <row r="28" spans="2:5">
      <c r="B28" s="2">
        <v>23</v>
      </c>
      <c r="C28" s="2"/>
      <c r="D28" s="16">
        <v>42999</v>
      </c>
      <c r="E28" s="2" t="s">
        <v>396</v>
      </c>
    </row>
    <row r="29" spans="2:5">
      <c r="B29" s="2">
        <v>24</v>
      </c>
      <c r="C29" s="2"/>
      <c r="D29" s="16">
        <v>42999</v>
      </c>
      <c r="E29" s="2" t="s">
        <v>396</v>
      </c>
    </row>
    <row r="30" spans="2:5">
      <c r="B30" s="2">
        <v>25</v>
      </c>
      <c r="C30" s="2"/>
      <c r="D30" s="16">
        <v>42999</v>
      </c>
      <c r="E30" s="2" t="s">
        <v>396</v>
      </c>
    </row>
    <row r="31" spans="2:5">
      <c r="B31" s="2">
        <v>26</v>
      </c>
      <c r="C31" s="2"/>
      <c r="D31" s="16">
        <v>42999</v>
      </c>
      <c r="E31" s="2" t="s">
        <v>396</v>
      </c>
    </row>
    <row r="32" spans="2:5">
      <c r="B32" s="2">
        <v>27</v>
      </c>
      <c r="C32" s="2"/>
      <c r="D32" s="16">
        <v>42999</v>
      </c>
      <c r="E32" s="2" t="s">
        <v>396</v>
      </c>
    </row>
    <row r="33" spans="2:5">
      <c r="B33" s="2">
        <v>28</v>
      </c>
      <c r="C33" s="2"/>
      <c r="D33" s="16">
        <v>42999</v>
      </c>
      <c r="E33" s="2" t="s">
        <v>396</v>
      </c>
    </row>
    <row r="34" spans="2:5">
      <c r="B34" s="2">
        <v>29</v>
      </c>
      <c r="C34" s="2"/>
      <c r="D34" s="16">
        <v>42999</v>
      </c>
      <c r="E34" s="2" t="s">
        <v>396</v>
      </c>
    </row>
    <row r="35" spans="2:5">
      <c r="B35" s="2">
        <v>30</v>
      </c>
      <c r="C35" s="2"/>
      <c r="D35" s="16">
        <v>42999</v>
      </c>
      <c r="E35" s="2" t="s">
        <v>396</v>
      </c>
    </row>
    <row r="36" spans="2:5">
      <c r="B36" s="2">
        <v>31</v>
      </c>
      <c r="C36" s="2"/>
      <c r="D36" s="16">
        <v>42999</v>
      </c>
      <c r="E36" s="2" t="s">
        <v>396</v>
      </c>
    </row>
    <row r="37" spans="2:5">
      <c r="B37" s="2">
        <v>32</v>
      </c>
      <c r="C37" s="2"/>
      <c r="D37" s="16">
        <v>42999</v>
      </c>
      <c r="E37" s="2" t="s">
        <v>396</v>
      </c>
    </row>
    <row r="38" spans="2:5">
      <c r="B38" s="2">
        <v>33</v>
      </c>
      <c r="C38" s="2"/>
      <c r="D38" s="16">
        <v>42999</v>
      </c>
      <c r="E38" s="2" t="s">
        <v>396</v>
      </c>
    </row>
    <row r="39" spans="2:5">
      <c r="B39" s="2">
        <v>34</v>
      </c>
      <c r="C39" s="2"/>
      <c r="D39" s="16">
        <v>42999</v>
      </c>
      <c r="E39" s="2" t="s">
        <v>396</v>
      </c>
    </row>
  </sheetData>
  <phoneticPr fontId="21" type="noConversion"/>
  <conditionalFormatting sqref="C6:C39">
    <cfRule type="duplicateValues" dxfId="7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6"/>
  <sheetViews>
    <sheetView workbookViewId="0">
      <selection activeCell="C6" sqref="C6:C13"/>
    </sheetView>
  </sheetViews>
  <sheetFormatPr defaultColWidth="9" defaultRowHeight="17"/>
  <cols>
    <col min="1" max="1" width="3.58203125" style="1" customWidth="1"/>
    <col min="2" max="2" width="6.25" style="1" customWidth="1"/>
    <col min="3" max="3" width="15.75" style="1" bestFit="1" customWidth="1"/>
    <col min="4" max="4" width="11" style="1" bestFit="1" customWidth="1"/>
    <col min="5" max="5" width="9.75" style="1" bestFit="1" customWidth="1"/>
    <col min="6" max="16384" width="9" style="1"/>
  </cols>
  <sheetData>
    <row r="2" spans="2:5">
      <c r="B2" s="15" t="s">
        <v>389</v>
      </c>
    </row>
    <row r="3" spans="2:5">
      <c r="B3" s="15" t="s">
        <v>394</v>
      </c>
    </row>
    <row r="4" spans="2:5">
      <c r="B4" s="14" t="s">
        <v>366</v>
      </c>
      <c r="C4" s="14" t="s">
        <v>385</v>
      </c>
      <c r="D4" s="5"/>
      <c r="E4" s="5"/>
    </row>
    <row r="5" spans="2:5">
      <c r="B5" s="2" t="s">
        <v>386</v>
      </c>
      <c r="C5" s="2" t="s">
        <v>367</v>
      </c>
      <c r="D5" s="2" t="s">
        <v>390</v>
      </c>
      <c r="E5" s="2" t="s">
        <v>387</v>
      </c>
    </row>
    <row r="6" spans="2:5">
      <c r="B6" s="2">
        <v>1</v>
      </c>
      <c r="C6" s="2"/>
      <c r="D6" s="16">
        <v>43024</v>
      </c>
      <c r="E6" s="2" t="s">
        <v>388</v>
      </c>
    </row>
    <row r="7" spans="2:5">
      <c r="B7" s="2">
        <v>2</v>
      </c>
      <c r="C7" s="2"/>
      <c r="D7" s="16">
        <v>43024</v>
      </c>
      <c r="E7" s="2" t="s">
        <v>388</v>
      </c>
    </row>
    <row r="8" spans="2:5">
      <c r="B8" s="2">
        <v>3</v>
      </c>
      <c r="C8" s="2"/>
      <c r="D8" s="16">
        <v>43024</v>
      </c>
      <c r="E8" s="2" t="s">
        <v>388</v>
      </c>
    </row>
    <row r="9" spans="2:5">
      <c r="B9" s="2">
        <v>4</v>
      </c>
      <c r="C9" s="2"/>
      <c r="D9" s="16">
        <v>43024</v>
      </c>
      <c r="E9" s="2" t="s">
        <v>388</v>
      </c>
    </row>
    <row r="10" spans="2:5">
      <c r="B10" s="2">
        <v>5</v>
      </c>
      <c r="C10" s="2"/>
      <c r="D10" s="16">
        <v>43024</v>
      </c>
      <c r="E10" s="2" t="s">
        <v>388</v>
      </c>
    </row>
    <row r="11" spans="2:5">
      <c r="B11" s="2">
        <v>6</v>
      </c>
      <c r="C11" s="2"/>
      <c r="D11" s="16">
        <v>43024</v>
      </c>
      <c r="E11" s="2" t="s">
        <v>388</v>
      </c>
    </row>
    <row r="12" spans="2:5">
      <c r="B12" s="2">
        <v>7</v>
      </c>
      <c r="C12" s="2"/>
      <c r="D12" s="16">
        <v>43024</v>
      </c>
      <c r="E12" s="2" t="s">
        <v>388</v>
      </c>
    </row>
    <row r="13" spans="2:5">
      <c r="B13" s="2">
        <v>8</v>
      </c>
      <c r="C13" s="2"/>
      <c r="D13" s="16">
        <v>43024</v>
      </c>
      <c r="E13" s="2" t="s">
        <v>388</v>
      </c>
    </row>
    <row r="14" spans="2:5">
      <c r="B14" s="2">
        <v>9</v>
      </c>
      <c r="C14" s="2"/>
      <c r="D14" s="16">
        <v>43024</v>
      </c>
      <c r="E14" s="2" t="s">
        <v>388</v>
      </c>
    </row>
    <row r="15" spans="2:5">
      <c r="B15" s="2">
        <v>10</v>
      </c>
      <c r="C15" s="2"/>
      <c r="D15" s="16">
        <v>43024</v>
      </c>
      <c r="E15" s="2" t="s">
        <v>388</v>
      </c>
    </row>
    <row r="16" spans="2:5">
      <c r="B16" s="2">
        <v>11</v>
      </c>
      <c r="C16" s="2"/>
      <c r="D16" s="16">
        <v>43024</v>
      </c>
      <c r="E16" s="2" t="s">
        <v>388</v>
      </c>
    </row>
    <row r="17" spans="2:5">
      <c r="B17" s="2">
        <v>12</v>
      </c>
      <c r="C17" s="2"/>
      <c r="D17" s="16">
        <v>43024</v>
      </c>
      <c r="E17" s="2" t="s">
        <v>388</v>
      </c>
    </row>
    <row r="18" spans="2:5">
      <c r="B18" s="2">
        <v>13</v>
      </c>
      <c r="C18" s="2"/>
      <c r="D18" s="16">
        <v>43024</v>
      </c>
      <c r="E18" s="2" t="s">
        <v>388</v>
      </c>
    </row>
    <row r="19" spans="2:5">
      <c r="B19" s="2">
        <v>14</v>
      </c>
      <c r="C19" s="2"/>
      <c r="D19" s="16">
        <v>43024</v>
      </c>
      <c r="E19" s="2" t="s">
        <v>388</v>
      </c>
    </row>
    <row r="20" spans="2:5">
      <c r="B20" s="2">
        <v>15</v>
      </c>
      <c r="C20" s="2"/>
      <c r="D20" s="16">
        <v>43024</v>
      </c>
      <c r="E20" s="2" t="s">
        <v>388</v>
      </c>
    </row>
    <row r="21" spans="2:5">
      <c r="B21" s="2">
        <v>16</v>
      </c>
      <c r="C21" s="2"/>
      <c r="D21" s="16">
        <v>43024</v>
      </c>
      <c r="E21" s="2" t="s">
        <v>388</v>
      </c>
    </row>
    <row r="22" spans="2:5">
      <c r="B22" s="2">
        <v>17</v>
      </c>
      <c r="C22" s="2"/>
      <c r="D22" s="16">
        <v>43024</v>
      </c>
      <c r="E22" s="2" t="s">
        <v>388</v>
      </c>
    </row>
    <row r="23" spans="2:5">
      <c r="B23" s="2">
        <v>18</v>
      </c>
      <c r="C23" s="2"/>
      <c r="D23" s="16">
        <v>43024</v>
      </c>
      <c r="E23" s="2" t="s">
        <v>388</v>
      </c>
    </row>
    <row r="24" spans="2:5">
      <c r="B24" s="2">
        <v>19</v>
      </c>
      <c r="C24" s="2"/>
      <c r="D24" s="16">
        <v>43024</v>
      </c>
      <c r="E24" s="2" t="s">
        <v>388</v>
      </c>
    </row>
    <row r="25" spans="2:5">
      <c r="B25" s="2">
        <v>20</v>
      </c>
      <c r="C25" s="2"/>
      <c r="D25" s="16">
        <v>43024</v>
      </c>
      <c r="E25" s="2" t="s">
        <v>388</v>
      </c>
    </row>
    <row r="26" spans="2:5">
      <c r="B26" s="2">
        <v>21</v>
      </c>
      <c r="C26" s="2"/>
      <c r="D26" s="16">
        <v>43024</v>
      </c>
      <c r="E26" s="2" t="s">
        <v>388</v>
      </c>
    </row>
    <row r="27" spans="2:5">
      <c r="B27" s="2">
        <v>22</v>
      </c>
      <c r="C27" s="2"/>
      <c r="D27" s="16">
        <v>43024</v>
      </c>
      <c r="E27" s="2" t="s">
        <v>388</v>
      </c>
    </row>
    <row r="28" spans="2:5">
      <c r="B28" s="2">
        <v>23</v>
      </c>
      <c r="C28" s="2"/>
      <c r="D28" s="16">
        <v>43024</v>
      </c>
      <c r="E28" s="2" t="s">
        <v>388</v>
      </c>
    </row>
    <row r="29" spans="2:5">
      <c r="B29" s="2">
        <v>24</v>
      </c>
      <c r="C29" s="2"/>
      <c r="D29" s="16">
        <v>43024</v>
      </c>
      <c r="E29" s="2" t="s">
        <v>388</v>
      </c>
    </row>
    <row r="30" spans="2:5">
      <c r="B30" s="2">
        <v>25</v>
      </c>
      <c r="C30" s="2"/>
      <c r="D30" s="16">
        <v>43024</v>
      </c>
      <c r="E30" s="2" t="s">
        <v>388</v>
      </c>
    </row>
    <row r="31" spans="2:5">
      <c r="B31" s="2">
        <v>26</v>
      </c>
      <c r="C31" s="2"/>
      <c r="D31" s="16">
        <v>43024</v>
      </c>
      <c r="E31" s="2" t="s">
        <v>388</v>
      </c>
    </row>
    <row r="32" spans="2:5">
      <c r="B32" s="2">
        <v>27</v>
      </c>
      <c r="C32" s="2"/>
      <c r="D32" s="16">
        <v>43024</v>
      </c>
      <c r="E32" s="2" t="s">
        <v>388</v>
      </c>
    </row>
    <row r="33" spans="2:5">
      <c r="B33" s="2">
        <v>28</v>
      </c>
      <c r="C33" s="2"/>
      <c r="D33" s="16">
        <v>43024</v>
      </c>
      <c r="E33" s="2" t="s">
        <v>388</v>
      </c>
    </row>
    <row r="34" spans="2:5">
      <c r="B34" s="2">
        <v>29</v>
      </c>
      <c r="C34" s="2"/>
      <c r="D34" s="16">
        <v>43024</v>
      </c>
      <c r="E34" s="2" t="s">
        <v>388</v>
      </c>
    </row>
    <row r="35" spans="2:5">
      <c r="B35" s="2">
        <v>30</v>
      </c>
      <c r="C35" s="2"/>
      <c r="D35" s="16">
        <v>43024</v>
      </c>
      <c r="E35" s="2" t="s">
        <v>388</v>
      </c>
    </row>
    <row r="36" spans="2:5">
      <c r="B36" s="2">
        <v>31</v>
      </c>
      <c r="C36" s="2"/>
      <c r="D36" s="16">
        <v>43024</v>
      </c>
      <c r="E36" s="2" t="s">
        <v>388</v>
      </c>
    </row>
    <row r="37" spans="2:5">
      <c r="B37" s="2">
        <v>32</v>
      </c>
      <c r="C37" s="2"/>
      <c r="D37" s="16">
        <v>43024</v>
      </c>
      <c r="E37" s="2" t="s">
        <v>388</v>
      </c>
    </row>
    <row r="38" spans="2:5">
      <c r="B38" s="2">
        <v>33</v>
      </c>
      <c r="C38" s="2"/>
      <c r="D38" s="16">
        <v>43024</v>
      </c>
      <c r="E38" s="2" t="s">
        <v>388</v>
      </c>
    </row>
    <row r="39" spans="2:5">
      <c r="B39" s="2">
        <v>34</v>
      </c>
      <c r="C39" s="2"/>
      <c r="D39" s="16">
        <v>43024</v>
      </c>
      <c r="E39" s="2" t="s">
        <v>388</v>
      </c>
    </row>
    <row r="40" spans="2:5">
      <c r="B40" s="2">
        <v>35</v>
      </c>
      <c r="C40" s="2"/>
      <c r="D40" s="16">
        <v>43024</v>
      </c>
      <c r="E40" s="2" t="s">
        <v>388</v>
      </c>
    </row>
    <row r="41" spans="2:5">
      <c r="B41" s="2">
        <v>36</v>
      </c>
      <c r="C41" s="2"/>
      <c r="D41" s="16">
        <v>43024</v>
      </c>
      <c r="E41" s="2" t="s">
        <v>388</v>
      </c>
    </row>
    <row r="42" spans="2:5">
      <c r="B42" s="2">
        <v>37</v>
      </c>
      <c r="C42" s="2"/>
      <c r="D42" s="16">
        <v>43024</v>
      </c>
      <c r="E42" s="2" t="s">
        <v>388</v>
      </c>
    </row>
    <row r="43" spans="2:5">
      <c r="B43" s="2">
        <v>38</v>
      </c>
      <c r="C43" s="2"/>
      <c r="D43" s="16">
        <v>43024</v>
      </c>
      <c r="E43" s="2" t="s">
        <v>388</v>
      </c>
    </row>
    <row r="44" spans="2:5">
      <c r="B44" s="2">
        <v>39</v>
      </c>
      <c r="C44" s="2"/>
      <c r="D44" s="16">
        <v>43024</v>
      </c>
      <c r="E44" s="2" t="s">
        <v>388</v>
      </c>
    </row>
    <row r="45" spans="2:5">
      <c r="B45" s="2">
        <v>40</v>
      </c>
      <c r="C45" s="2"/>
      <c r="D45" s="16">
        <v>43024</v>
      </c>
      <c r="E45" s="2" t="s">
        <v>388</v>
      </c>
    </row>
    <row r="46" spans="2:5">
      <c r="B46" s="2">
        <v>41</v>
      </c>
      <c r="C46" s="2"/>
      <c r="D46" s="16">
        <v>43024</v>
      </c>
      <c r="E46" s="2" t="s">
        <v>388</v>
      </c>
    </row>
    <row r="47" spans="2:5">
      <c r="B47" s="2">
        <v>42</v>
      </c>
      <c r="C47" s="2"/>
      <c r="D47" s="16">
        <v>43024</v>
      </c>
      <c r="E47" s="2" t="s">
        <v>388</v>
      </c>
    </row>
    <row r="48" spans="2:5">
      <c r="B48" s="2">
        <v>43</v>
      </c>
      <c r="C48" s="2"/>
      <c r="D48" s="16">
        <v>43024</v>
      </c>
      <c r="E48" s="2" t="s">
        <v>388</v>
      </c>
    </row>
    <row r="49" spans="2:5">
      <c r="B49" s="2">
        <v>44</v>
      </c>
      <c r="C49" s="2"/>
      <c r="D49" s="16">
        <v>43024</v>
      </c>
      <c r="E49" s="2" t="s">
        <v>388</v>
      </c>
    </row>
    <row r="50" spans="2:5">
      <c r="B50" s="2">
        <v>45</v>
      </c>
      <c r="C50" s="2"/>
      <c r="D50" s="16">
        <v>43024</v>
      </c>
      <c r="E50" s="2" t="s">
        <v>388</v>
      </c>
    </row>
    <row r="51" spans="2:5">
      <c r="B51" s="2">
        <v>46</v>
      </c>
      <c r="C51" s="2"/>
      <c r="D51" s="16">
        <v>43024</v>
      </c>
      <c r="E51" s="2" t="s">
        <v>388</v>
      </c>
    </row>
    <row r="52" spans="2:5">
      <c r="B52" s="2">
        <v>47</v>
      </c>
      <c r="C52" s="2"/>
      <c r="D52" s="16">
        <v>43024</v>
      </c>
      <c r="E52" s="2" t="s">
        <v>388</v>
      </c>
    </row>
    <row r="53" spans="2:5">
      <c r="B53" s="2">
        <v>48</v>
      </c>
      <c r="C53" s="2"/>
      <c r="D53" s="16">
        <v>43024</v>
      </c>
      <c r="E53" s="2" t="s">
        <v>388</v>
      </c>
    </row>
    <row r="54" spans="2:5">
      <c r="B54" s="2">
        <v>49</v>
      </c>
      <c r="C54" s="2"/>
      <c r="D54" s="16">
        <v>43024</v>
      </c>
      <c r="E54" s="2" t="s">
        <v>388</v>
      </c>
    </row>
    <row r="55" spans="2:5">
      <c r="B55" s="2">
        <v>50</v>
      </c>
      <c r="C55" s="2"/>
      <c r="D55" s="16">
        <v>43024</v>
      </c>
      <c r="E55" s="2" t="s">
        <v>388</v>
      </c>
    </row>
    <row r="56" spans="2:5">
      <c r="B56" s="2">
        <v>51</v>
      </c>
      <c r="C56" s="2"/>
      <c r="D56" s="16">
        <v>43024</v>
      </c>
      <c r="E56" s="2" t="s">
        <v>388</v>
      </c>
    </row>
    <row r="57" spans="2:5">
      <c r="B57" s="2">
        <v>52</v>
      </c>
      <c r="C57" s="2"/>
      <c r="D57" s="16">
        <v>43024</v>
      </c>
      <c r="E57" s="2" t="s">
        <v>388</v>
      </c>
    </row>
    <row r="58" spans="2:5">
      <c r="B58" s="2">
        <v>53</v>
      </c>
      <c r="C58" s="2"/>
      <c r="D58" s="16">
        <v>43024</v>
      </c>
      <c r="E58" s="2" t="s">
        <v>388</v>
      </c>
    </row>
    <row r="59" spans="2:5">
      <c r="B59" s="2">
        <v>54</v>
      </c>
      <c r="C59" s="2"/>
      <c r="D59" s="16">
        <v>43024</v>
      </c>
      <c r="E59" s="2" t="s">
        <v>388</v>
      </c>
    </row>
    <row r="60" spans="2:5">
      <c r="B60" s="2">
        <v>55</v>
      </c>
      <c r="C60" s="2"/>
      <c r="D60" s="16">
        <v>43024</v>
      </c>
      <c r="E60" s="2" t="s">
        <v>388</v>
      </c>
    </row>
    <row r="61" spans="2:5">
      <c r="B61" s="2">
        <v>56</v>
      </c>
      <c r="C61" s="2"/>
      <c r="D61" s="16">
        <v>43024</v>
      </c>
      <c r="E61" s="2" t="s">
        <v>388</v>
      </c>
    </row>
    <row r="62" spans="2:5">
      <c r="B62" s="2">
        <v>57</v>
      </c>
      <c r="C62" s="2"/>
      <c r="D62" s="16">
        <v>43024</v>
      </c>
      <c r="E62" s="2" t="s">
        <v>388</v>
      </c>
    </row>
    <row r="63" spans="2:5">
      <c r="B63" s="2">
        <v>58</v>
      </c>
      <c r="C63" s="2"/>
      <c r="D63" s="16">
        <v>43024</v>
      </c>
      <c r="E63" s="2" t="s">
        <v>388</v>
      </c>
    </row>
    <row r="64" spans="2:5">
      <c r="B64" s="2">
        <v>59</v>
      </c>
      <c r="C64" s="2"/>
      <c r="D64" s="16">
        <v>43024</v>
      </c>
      <c r="E64" s="2" t="s">
        <v>388</v>
      </c>
    </row>
    <row r="65" spans="2:5">
      <c r="B65" s="2">
        <v>60</v>
      </c>
      <c r="C65" s="2"/>
      <c r="D65" s="16">
        <v>43024</v>
      </c>
      <c r="E65" s="2" t="s">
        <v>388</v>
      </c>
    </row>
    <row r="66" spans="2:5">
      <c r="B66" s="2">
        <v>61</v>
      </c>
      <c r="C66" s="2"/>
      <c r="D66" s="16">
        <v>43024</v>
      </c>
      <c r="E66" s="2" t="s">
        <v>388</v>
      </c>
    </row>
    <row r="67" spans="2:5">
      <c r="B67" s="2">
        <v>62</v>
      </c>
      <c r="C67" s="2"/>
      <c r="D67" s="16">
        <v>43024</v>
      </c>
      <c r="E67" s="2" t="s">
        <v>388</v>
      </c>
    </row>
    <row r="68" spans="2:5">
      <c r="B68" s="2">
        <v>63</v>
      </c>
      <c r="C68" s="2"/>
      <c r="D68" s="16">
        <v>43024</v>
      </c>
      <c r="E68" s="2" t="s">
        <v>388</v>
      </c>
    </row>
    <row r="69" spans="2:5">
      <c r="B69" s="2">
        <v>64</v>
      </c>
      <c r="C69" s="2"/>
      <c r="D69" s="16">
        <v>43024</v>
      </c>
      <c r="E69" s="2" t="s">
        <v>388</v>
      </c>
    </row>
    <row r="70" spans="2:5">
      <c r="B70" s="2">
        <v>65</v>
      </c>
      <c r="C70" s="2"/>
      <c r="D70" s="16">
        <v>43024</v>
      </c>
      <c r="E70" s="2" t="s">
        <v>388</v>
      </c>
    </row>
    <row r="71" spans="2:5">
      <c r="B71" s="2">
        <v>66</v>
      </c>
      <c r="C71" s="2"/>
      <c r="D71" s="16">
        <v>43024</v>
      </c>
      <c r="E71" s="2" t="s">
        <v>388</v>
      </c>
    </row>
    <row r="72" spans="2:5">
      <c r="B72" s="2">
        <v>67</v>
      </c>
      <c r="C72" s="2"/>
      <c r="D72" s="16">
        <v>43024</v>
      </c>
      <c r="E72" s="2" t="s">
        <v>388</v>
      </c>
    </row>
    <row r="73" spans="2:5">
      <c r="B73" s="2">
        <v>68</v>
      </c>
      <c r="C73" s="2"/>
      <c r="D73" s="16">
        <v>43024</v>
      </c>
      <c r="E73" s="2" t="s">
        <v>388</v>
      </c>
    </row>
    <row r="74" spans="2:5">
      <c r="B74" s="2">
        <v>69</v>
      </c>
      <c r="C74" s="2"/>
      <c r="D74" s="16">
        <v>43024</v>
      </c>
      <c r="E74" s="2" t="s">
        <v>388</v>
      </c>
    </row>
    <row r="75" spans="2:5">
      <c r="B75" s="2">
        <v>70</v>
      </c>
      <c r="C75" s="2"/>
      <c r="D75" s="16">
        <v>43024</v>
      </c>
      <c r="E75" s="2" t="s">
        <v>388</v>
      </c>
    </row>
    <row r="76" spans="2:5">
      <c r="B76" s="2">
        <v>71</v>
      </c>
      <c r="C76" s="2"/>
      <c r="D76" s="16">
        <v>43024</v>
      </c>
      <c r="E76" s="2" t="s">
        <v>388</v>
      </c>
    </row>
  </sheetData>
  <phoneticPr fontId="21" type="noConversion"/>
  <conditionalFormatting sqref="C1:C1048576">
    <cfRule type="duplicateValues" dxfId="6" priority="1"/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V425"/>
  <sheetViews>
    <sheetView topLeftCell="A613" workbookViewId="0">
      <selection activeCell="G7" sqref="G7"/>
    </sheetView>
  </sheetViews>
  <sheetFormatPr defaultColWidth="9" defaultRowHeight="17"/>
  <cols>
    <col min="1" max="1" width="2.58203125" style="1" customWidth="1"/>
    <col min="2" max="2" width="9" style="1"/>
    <col min="3" max="3" width="15.25" style="1" bestFit="1" customWidth="1"/>
    <col min="4" max="4" width="21.25" style="1" customWidth="1"/>
    <col min="5" max="15" width="9" style="1"/>
    <col min="16" max="16" width="9.75" style="1" bestFit="1" customWidth="1"/>
    <col min="17" max="16384" width="9" style="1"/>
  </cols>
  <sheetData>
    <row r="1" spans="2:22">
      <c r="G1" s="3"/>
      <c r="V1" s="1" t="s">
        <v>380</v>
      </c>
    </row>
    <row r="2" spans="2:22">
      <c r="B2" s="87" t="s">
        <v>365</v>
      </c>
      <c r="C2" s="87"/>
      <c r="D2" s="87"/>
      <c r="G2" s="3"/>
      <c r="L2" s="7" t="s">
        <v>381</v>
      </c>
      <c r="M2" s="6">
        <f>COUNTIF(B7:B4481,$B$3)</f>
        <v>411</v>
      </c>
      <c r="N2" s="7" t="s">
        <v>384</v>
      </c>
      <c r="O2" s="8" t="e">
        <f>#REF!</f>
        <v>#REF!</v>
      </c>
      <c r="V2" s="1" t="s">
        <v>393</v>
      </c>
    </row>
    <row r="3" spans="2:22">
      <c r="B3" s="4" t="s">
        <v>364</v>
      </c>
      <c r="G3" s="3"/>
      <c r="L3" s="7" t="s">
        <v>383</v>
      </c>
      <c r="M3" s="9">
        <f>COUNTIFS(B7:$B$362,$B$3,G7:$G$362,$L$3)</f>
        <v>0</v>
      </c>
      <c r="V3" s="1" t="s">
        <v>397</v>
      </c>
    </row>
    <row r="4" spans="2:22" ht="17.5" thickBot="1">
      <c r="G4" s="3"/>
      <c r="L4" s="24" t="s">
        <v>382</v>
      </c>
      <c r="M4" s="25">
        <f>M3/M2</f>
        <v>0</v>
      </c>
      <c r="N4" s="13"/>
    </row>
    <row r="5" spans="2:22">
      <c r="B5" s="17" t="s">
        <v>366</v>
      </c>
      <c r="C5" s="18" t="s">
        <v>367</v>
      </c>
      <c r="D5" s="18" t="s">
        <v>368</v>
      </c>
      <c r="E5" s="18" t="s">
        <v>369</v>
      </c>
      <c r="F5" s="19" t="s">
        <v>377</v>
      </c>
      <c r="G5" s="21" t="s">
        <v>378</v>
      </c>
      <c r="H5" s="87" t="s">
        <v>392</v>
      </c>
      <c r="I5" s="87"/>
      <c r="J5" s="87"/>
      <c r="K5" s="87"/>
      <c r="L5" s="87"/>
      <c r="M5" s="87"/>
      <c r="N5" s="21" t="s">
        <v>375</v>
      </c>
      <c r="O5" s="26" t="s">
        <v>376</v>
      </c>
      <c r="P5" s="19" t="s">
        <v>391</v>
      </c>
    </row>
    <row r="6" spans="2:22" ht="17.5" thickBot="1">
      <c r="B6" s="28"/>
      <c r="C6" s="29"/>
      <c r="D6" s="29"/>
      <c r="E6" s="29"/>
      <c r="F6" s="30"/>
      <c r="G6" s="31"/>
      <c r="H6" s="32" t="s">
        <v>370</v>
      </c>
      <c r="I6" s="29" t="s">
        <v>371</v>
      </c>
      <c r="J6" s="29" t="s">
        <v>372</v>
      </c>
      <c r="K6" s="29" t="s">
        <v>373</v>
      </c>
      <c r="L6" s="29" t="s">
        <v>398</v>
      </c>
      <c r="M6" s="30" t="s">
        <v>374</v>
      </c>
      <c r="N6" s="31"/>
      <c r="O6" s="32"/>
      <c r="P6" s="30"/>
    </row>
    <row r="7" spans="2:22">
      <c r="B7" s="20" t="str">
        <f t="shared" ref="B7:B49" si="0">MID(C7,1,2)</f>
        <v>RM</v>
      </c>
      <c r="C7" s="11" t="s">
        <v>44</v>
      </c>
      <c r="D7" s="12" t="e">
        <f>VLOOKUP(C7,#REF!,2,0)</f>
        <v>#REF!</v>
      </c>
      <c r="E7" s="10" t="e">
        <f>VLOOKUP(C7,#REF!,4,0)</f>
        <v>#REF!</v>
      </c>
      <c r="F7" s="37" t="e">
        <f>VLOOKUP(C7,#REF!,8,0)</f>
        <v>#REF!</v>
      </c>
      <c r="G7" s="22" t="str">
        <f>IF(ISERROR(IF(VLOOKUP(C7,#REF!,2,0)&gt;0,"등록","")),"",(IF(VLOOKUP(C7,#REF!,2,0)&gt;0,"등록","")))</f>
        <v/>
      </c>
      <c r="H7" s="33" t="str">
        <f t="array" aca="1" ref="H7" ca="1">IF(ISERROR(OFFSET(#REF!,SMALL(IF(#REF!=RM시즌체크판!C7,ROW(#REF!)-20),1),)),"",(OFFSET(#REF!,SMALL(IF(#REF!=RM시즌체크판!C7,ROW(#REF!)-20),1),)))</f>
        <v/>
      </c>
      <c r="I7" s="34" t="str">
        <f t="array" aca="1" ref="I7" ca="1">IF(ISERROR(OFFSET(#REF!,SMALL(IF(#REF!=RM시즌체크판!C7,ROW(#REF!)-20),2),)),"",(OFFSET(#REF!,SMALL(IF(#REF!=RM시즌체크판!C7,ROW(#REF!)-20),2),)))</f>
        <v/>
      </c>
      <c r="J7" s="34" t="str">
        <f t="array" aca="1" ref="J7" ca="1">IF(ISERROR(OFFSET(#REF!,SMALL(IF(#REF!=RM시즌체크판!C7,ROW(#REF!)-20),3),)),"",(OFFSET(#REF!,SMALL(IF(#REF!=RM시즌체크판!C7,ROW(#REF!)-20),3),)))</f>
        <v/>
      </c>
      <c r="K7" s="34" t="str">
        <f t="array" aca="1" ref="K7" ca="1">IF(ISERROR(OFFSET(#REF!,SMALL(IF(#REF!=RM시즌체크판!C7,ROW(#REF!)-20),4),)),"",(OFFSET(#REF!,SMALL(IF(#REF!=RM시즌체크판!C7,ROW(#REF!)-20),4),)))</f>
        <v/>
      </c>
      <c r="L7" s="34" t="str">
        <f t="array" aca="1" ref="L7" ca="1">IF(ISERROR(OFFSET(#REF!,SMALL(IF(#REF!=RM시즌체크판!C7,ROW(#REF!)-20),5),)),"",(OFFSET(#REF!,SMALL(IF(#REF!=RM시즌체크판!C7,ROW(#REF!)-20),5),)))</f>
        <v/>
      </c>
      <c r="M7" s="35" t="str">
        <f t="array" aca="1" ref="M7" ca="1">IF(ISERROR(OFFSET(#REF!,SMALL(IF(#REF!=RM시즌체크판!C7,ROW(#REF!)-20),6),)),"",(OFFSET(#REF!,SMALL(IF(#REF!=RM시즌체크판!C7,ROW(#REF!)-20),6),)))</f>
        <v/>
      </c>
      <c r="N7" s="27" t="str">
        <f>IF(ISERROR(VLOOKUP(C7,모델촬영리스트!$C:$E,3,)),"",(VLOOKUP(C7,모델촬영리스트!$C:$E,3,)))</f>
        <v/>
      </c>
      <c r="O7" s="23" t="str">
        <f>IF(ISERROR(VLOOKUP(C7,배너촬영리스트!$C:$E,3,)),"",(VLOOKUP(C7,배너촬영리스트!$C:$E,3,)))</f>
        <v/>
      </c>
      <c r="P7" s="36" t="str">
        <f>IF(ISERROR(VLOOKUP(C7,배너촬영리스트!$C:$E,2,)),"",(VLOOKUP(C7,배너촬영리스트!$C:$E,2,)))</f>
        <v/>
      </c>
    </row>
    <row r="8" spans="2:22">
      <c r="B8" s="20" t="str">
        <f t="shared" si="0"/>
        <v>RM</v>
      </c>
      <c r="C8" s="11" t="s">
        <v>45</v>
      </c>
      <c r="D8" s="12" t="e">
        <f>VLOOKUP(C8,#REF!,2,0)</f>
        <v>#REF!</v>
      </c>
      <c r="E8" s="10" t="e">
        <f>VLOOKUP(C8,#REF!,4,0)</f>
        <v>#REF!</v>
      </c>
      <c r="F8" s="37" t="e">
        <f>VLOOKUP(C8,#REF!,8,0)</f>
        <v>#REF!</v>
      </c>
      <c r="G8" s="22" t="str">
        <f>IF(ISERROR(IF(VLOOKUP(C8,#REF!,2,0)&gt;0,"등록","")),"",(IF(VLOOKUP(C8,#REF!,2,0)&gt;0,"등록","")))</f>
        <v/>
      </c>
      <c r="H8" s="33" t="str">
        <f t="array" aca="1" ref="H8" ca="1">IF(ISERROR(OFFSET(#REF!,SMALL(IF(#REF!=RM시즌체크판!C8,ROW(#REF!)-20),1),)),"",(OFFSET(#REF!,SMALL(IF(#REF!=RM시즌체크판!C8,ROW(#REF!)-20),1),)))</f>
        <v/>
      </c>
      <c r="I8" s="34" t="str">
        <f t="array" aca="1" ref="I8" ca="1">IF(ISERROR(OFFSET(#REF!,SMALL(IF(#REF!=RM시즌체크판!C8,ROW(#REF!)-20),2),)),"",(OFFSET(#REF!,SMALL(IF(#REF!=RM시즌체크판!C8,ROW(#REF!)-20),2),)))</f>
        <v/>
      </c>
      <c r="J8" s="34" t="str">
        <f t="array" aca="1" ref="J8" ca="1">IF(ISERROR(OFFSET(#REF!,SMALL(IF(#REF!=RM시즌체크판!C8,ROW(#REF!)-20),3),)),"",(OFFSET(#REF!,SMALL(IF(#REF!=RM시즌체크판!C8,ROW(#REF!)-20),3),)))</f>
        <v/>
      </c>
      <c r="K8" s="34" t="str">
        <f t="array" aca="1" ref="K8" ca="1">IF(ISERROR(OFFSET(#REF!,SMALL(IF(#REF!=RM시즌체크판!C8,ROW(#REF!)-20),4),)),"",(OFFSET(#REF!,SMALL(IF(#REF!=RM시즌체크판!C8,ROW(#REF!)-20),4),)))</f>
        <v/>
      </c>
      <c r="L8" s="34" t="str">
        <f t="array" aca="1" ref="L8" ca="1">IF(ISERROR(OFFSET(#REF!,SMALL(IF(#REF!=RM시즌체크판!C8,ROW(#REF!)-20),5),)),"",(OFFSET(#REF!,SMALL(IF(#REF!=RM시즌체크판!C8,ROW(#REF!)-20),5),)))</f>
        <v/>
      </c>
      <c r="M8" s="35" t="str">
        <f t="array" aca="1" ref="M8" ca="1">IF(ISERROR(OFFSET(#REF!,SMALL(IF(#REF!=RM시즌체크판!C8,ROW(#REF!)-20),6),)),"",(OFFSET(#REF!,SMALL(IF(#REF!=RM시즌체크판!C8,ROW(#REF!)-20),6),)))</f>
        <v/>
      </c>
      <c r="N8" s="27" t="str">
        <f>IF(ISERROR(VLOOKUP(C8,모델촬영리스트!$C:$E,3,)),"",(VLOOKUP(C8,모델촬영리스트!$C:$E,3,)))</f>
        <v/>
      </c>
      <c r="O8" s="23" t="str">
        <f>IF(ISERROR(VLOOKUP(C8,배너촬영리스트!$C:$E,3,)),"",(VLOOKUP(C8,배너촬영리스트!$C:$E,3,)))</f>
        <v/>
      </c>
      <c r="P8" s="36" t="str">
        <f>IF(ISERROR(VLOOKUP(C8,배너촬영리스트!$C:$E,2,)),"",(VLOOKUP(C8,배너촬영리스트!$C:$E,2,)))</f>
        <v/>
      </c>
    </row>
    <row r="9" spans="2:22">
      <c r="B9" s="20" t="str">
        <f t="shared" si="0"/>
        <v>RM</v>
      </c>
      <c r="C9" s="11" t="s">
        <v>13</v>
      </c>
      <c r="D9" s="12" t="e">
        <f>VLOOKUP(C9,#REF!,2,0)</f>
        <v>#REF!</v>
      </c>
      <c r="E9" s="10" t="e">
        <f>VLOOKUP(C9,#REF!,4,0)</f>
        <v>#REF!</v>
      </c>
      <c r="F9" s="37" t="e">
        <f>VLOOKUP(C9,#REF!,8,0)</f>
        <v>#REF!</v>
      </c>
      <c r="G9" s="22" t="str">
        <f>IF(ISERROR(IF(VLOOKUP(C9,#REF!,2,0)&gt;0,"등록","")),"",(IF(VLOOKUP(C9,#REF!,2,0)&gt;0,"등록","")))</f>
        <v/>
      </c>
      <c r="H9" s="33" t="str">
        <f t="array" aca="1" ref="H9" ca="1">IF(ISERROR(OFFSET(#REF!,SMALL(IF(#REF!=RM시즌체크판!C9,ROW(#REF!)-20),1),)),"",(OFFSET(#REF!,SMALL(IF(#REF!=RM시즌체크판!C9,ROW(#REF!)-20),1),)))</f>
        <v/>
      </c>
      <c r="I9" s="34" t="str">
        <f t="array" aca="1" ref="I9" ca="1">IF(ISERROR(OFFSET(#REF!,SMALL(IF(#REF!=RM시즌체크판!C9,ROW(#REF!)-20),2),)),"",(OFFSET(#REF!,SMALL(IF(#REF!=RM시즌체크판!C9,ROW(#REF!)-20),2),)))</f>
        <v/>
      </c>
      <c r="J9" s="34" t="str">
        <f t="array" aca="1" ref="J9" ca="1">IF(ISERROR(OFFSET(#REF!,SMALL(IF(#REF!=RM시즌체크판!C9,ROW(#REF!)-20),3),)),"",(OFFSET(#REF!,SMALL(IF(#REF!=RM시즌체크판!C9,ROW(#REF!)-20),3),)))</f>
        <v/>
      </c>
      <c r="K9" s="34" t="str">
        <f t="array" aca="1" ref="K9" ca="1">IF(ISERROR(OFFSET(#REF!,SMALL(IF(#REF!=RM시즌체크판!C9,ROW(#REF!)-20),4),)),"",(OFFSET(#REF!,SMALL(IF(#REF!=RM시즌체크판!C9,ROW(#REF!)-20),4),)))</f>
        <v/>
      </c>
      <c r="L9" s="34" t="str">
        <f t="array" aca="1" ref="L9" ca="1">IF(ISERROR(OFFSET(#REF!,SMALL(IF(#REF!=RM시즌체크판!C9,ROW(#REF!)-20),5),)),"",(OFFSET(#REF!,SMALL(IF(#REF!=RM시즌체크판!C9,ROW(#REF!)-20),5),)))</f>
        <v/>
      </c>
      <c r="M9" s="35" t="str">
        <f t="array" aca="1" ref="M9" ca="1">IF(ISERROR(OFFSET(#REF!,SMALL(IF(#REF!=RM시즌체크판!C9,ROW(#REF!)-20),6),)),"",(OFFSET(#REF!,SMALL(IF(#REF!=RM시즌체크판!C9,ROW(#REF!)-20),6),)))</f>
        <v/>
      </c>
      <c r="N9" s="27" t="str">
        <f>IF(ISERROR(VLOOKUP(C9,모델촬영리스트!$C:$E,3,)),"",(VLOOKUP(C9,모델촬영리스트!$C:$E,3,)))</f>
        <v/>
      </c>
      <c r="O9" s="23" t="str">
        <f>IF(ISERROR(VLOOKUP(C9,배너촬영리스트!$C:$E,3,)),"",(VLOOKUP(C9,배너촬영리스트!$C:$E,3,)))</f>
        <v/>
      </c>
      <c r="P9" s="36" t="str">
        <f>IF(ISERROR(VLOOKUP(C9,배너촬영리스트!$C:$E,2,)),"",(VLOOKUP(C9,배너촬영리스트!$C:$E,2,)))</f>
        <v/>
      </c>
    </row>
    <row r="10" spans="2:22">
      <c r="B10" s="20" t="str">
        <f t="shared" si="0"/>
        <v>RM</v>
      </c>
      <c r="C10" s="11" t="s">
        <v>14</v>
      </c>
      <c r="D10" s="12" t="e">
        <f>VLOOKUP(C10,#REF!,2,0)</f>
        <v>#REF!</v>
      </c>
      <c r="E10" s="10" t="e">
        <f>VLOOKUP(C10,#REF!,4,0)</f>
        <v>#REF!</v>
      </c>
      <c r="F10" s="37" t="e">
        <f>VLOOKUP(C10,#REF!,8,0)</f>
        <v>#REF!</v>
      </c>
      <c r="G10" s="22" t="str">
        <f>IF(ISERROR(IF(VLOOKUP(C10,#REF!,2,0)&gt;0,"등록","")),"",(IF(VLOOKUP(C10,#REF!,2,0)&gt;0,"등록","")))</f>
        <v/>
      </c>
      <c r="H10" s="33" t="str">
        <f t="array" aca="1" ref="H10" ca="1">IF(ISERROR(OFFSET(#REF!,SMALL(IF(#REF!=RM시즌체크판!C10,ROW(#REF!)-20),1),)),"",(OFFSET(#REF!,SMALL(IF(#REF!=RM시즌체크판!C10,ROW(#REF!)-20),1),)))</f>
        <v/>
      </c>
      <c r="I10" s="34" t="str">
        <f t="array" aca="1" ref="I10" ca="1">IF(ISERROR(OFFSET(#REF!,SMALL(IF(#REF!=RM시즌체크판!C10,ROW(#REF!)-20),2),)),"",(OFFSET(#REF!,SMALL(IF(#REF!=RM시즌체크판!C10,ROW(#REF!)-20),2),)))</f>
        <v/>
      </c>
      <c r="J10" s="34" t="str">
        <f t="array" aca="1" ref="J10" ca="1">IF(ISERROR(OFFSET(#REF!,SMALL(IF(#REF!=RM시즌체크판!C10,ROW(#REF!)-20),3),)),"",(OFFSET(#REF!,SMALL(IF(#REF!=RM시즌체크판!C10,ROW(#REF!)-20),3),)))</f>
        <v/>
      </c>
      <c r="K10" s="34" t="str">
        <f t="array" aca="1" ref="K10" ca="1">IF(ISERROR(OFFSET(#REF!,SMALL(IF(#REF!=RM시즌체크판!C10,ROW(#REF!)-20),4),)),"",(OFFSET(#REF!,SMALL(IF(#REF!=RM시즌체크판!C10,ROW(#REF!)-20),4),)))</f>
        <v/>
      </c>
      <c r="L10" s="34" t="str">
        <f t="array" aca="1" ref="L10" ca="1">IF(ISERROR(OFFSET(#REF!,SMALL(IF(#REF!=RM시즌체크판!C10,ROW(#REF!)-20),5),)),"",(OFFSET(#REF!,SMALL(IF(#REF!=RM시즌체크판!C10,ROW(#REF!)-20),5),)))</f>
        <v/>
      </c>
      <c r="M10" s="35" t="str">
        <f t="array" aca="1" ref="M10" ca="1">IF(ISERROR(OFFSET(#REF!,SMALL(IF(#REF!=RM시즌체크판!C10,ROW(#REF!)-20),6),)),"",(OFFSET(#REF!,SMALL(IF(#REF!=RM시즌체크판!C10,ROW(#REF!)-20),6),)))</f>
        <v/>
      </c>
      <c r="N10" s="27" t="str">
        <f>IF(ISERROR(VLOOKUP(C10,모델촬영리스트!$C:$E,3,)),"",(VLOOKUP(C10,모델촬영리스트!$C:$E,3,)))</f>
        <v/>
      </c>
      <c r="O10" s="23" t="str">
        <f>IF(ISERROR(VLOOKUP(C10,배너촬영리스트!$C:$E,3,)),"",(VLOOKUP(C10,배너촬영리스트!$C:$E,3,)))</f>
        <v/>
      </c>
      <c r="P10" s="36" t="str">
        <f>IF(ISERROR(VLOOKUP(C10,배너촬영리스트!$C:$E,2,)),"",(VLOOKUP(C10,배너촬영리스트!$C:$E,2,)))</f>
        <v/>
      </c>
    </row>
    <row r="11" spans="2:22">
      <c r="B11" s="20" t="str">
        <f t="shared" si="0"/>
        <v>RM</v>
      </c>
      <c r="C11" s="11" t="s">
        <v>15</v>
      </c>
      <c r="D11" s="12" t="e">
        <f>VLOOKUP(C11,#REF!,2,0)</f>
        <v>#REF!</v>
      </c>
      <c r="E11" s="10" t="e">
        <f>VLOOKUP(C11,#REF!,4,0)</f>
        <v>#REF!</v>
      </c>
      <c r="F11" s="37" t="e">
        <f>VLOOKUP(C11,#REF!,8,0)</f>
        <v>#REF!</v>
      </c>
      <c r="G11" s="22" t="str">
        <f>IF(ISERROR(IF(VLOOKUP(C11,#REF!,2,0)&gt;0,"등록","")),"",(IF(VLOOKUP(C11,#REF!,2,0)&gt;0,"등록","")))</f>
        <v/>
      </c>
      <c r="H11" s="33" t="str">
        <f t="array" aca="1" ref="H11" ca="1">IF(ISERROR(OFFSET(#REF!,SMALL(IF(#REF!=RM시즌체크판!C11,ROW(#REF!)-20),1),)),"",(OFFSET(#REF!,SMALL(IF(#REF!=RM시즌체크판!C11,ROW(#REF!)-20),1),)))</f>
        <v/>
      </c>
      <c r="I11" s="34" t="str">
        <f t="array" aca="1" ref="I11" ca="1">IF(ISERROR(OFFSET(#REF!,SMALL(IF(#REF!=RM시즌체크판!C11,ROW(#REF!)-20),2),)),"",(OFFSET(#REF!,SMALL(IF(#REF!=RM시즌체크판!C11,ROW(#REF!)-20),2),)))</f>
        <v/>
      </c>
      <c r="J11" s="34" t="str">
        <f t="array" aca="1" ref="J11" ca="1">IF(ISERROR(OFFSET(#REF!,SMALL(IF(#REF!=RM시즌체크판!C11,ROW(#REF!)-20),3),)),"",(OFFSET(#REF!,SMALL(IF(#REF!=RM시즌체크판!C11,ROW(#REF!)-20),3),)))</f>
        <v/>
      </c>
      <c r="K11" s="34" t="str">
        <f t="array" aca="1" ref="K11" ca="1">IF(ISERROR(OFFSET(#REF!,SMALL(IF(#REF!=RM시즌체크판!C11,ROW(#REF!)-20),4),)),"",(OFFSET(#REF!,SMALL(IF(#REF!=RM시즌체크판!C11,ROW(#REF!)-20),4),)))</f>
        <v/>
      </c>
      <c r="L11" s="34" t="str">
        <f t="array" aca="1" ref="L11" ca="1">IF(ISERROR(OFFSET(#REF!,SMALL(IF(#REF!=RM시즌체크판!C11,ROW(#REF!)-20),5),)),"",(OFFSET(#REF!,SMALL(IF(#REF!=RM시즌체크판!C11,ROW(#REF!)-20),5),)))</f>
        <v/>
      </c>
      <c r="M11" s="35" t="str">
        <f t="array" aca="1" ref="M11" ca="1">IF(ISERROR(OFFSET(#REF!,SMALL(IF(#REF!=RM시즌체크판!C11,ROW(#REF!)-20),6),)),"",(OFFSET(#REF!,SMALL(IF(#REF!=RM시즌체크판!C11,ROW(#REF!)-20),6),)))</f>
        <v/>
      </c>
      <c r="N11" s="27" t="str">
        <f>IF(ISERROR(VLOOKUP(C11,모델촬영리스트!$C:$E,3,)),"",(VLOOKUP(C11,모델촬영리스트!$C:$E,3,)))</f>
        <v/>
      </c>
      <c r="O11" s="23" t="str">
        <f>IF(ISERROR(VLOOKUP(C11,배너촬영리스트!$C:$E,3,)),"",(VLOOKUP(C11,배너촬영리스트!$C:$E,3,)))</f>
        <v/>
      </c>
      <c r="P11" s="36" t="str">
        <f>IF(ISERROR(VLOOKUP(C11,배너촬영리스트!$C:$E,2,)),"",(VLOOKUP(C11,배너촬영리스트!$C:$E,2,)))</f>
        <v/>
      </c>
    </row>
    <row r="12" spans="2:22">
      <c r="B12" s="20" t="str">
        <f t="shared" si="0"/>
        <v>RM</v>
      </c>
      <c r="C12" s="11" t="s">
        <v>16</v>
      </c>
      <c r="D12" s="12" t="e">
        <f>VLOOKUP(C12,#REF!,2,0)</f>
        <v>#REF!</v>
      </c>
      <c r="E12" s="10" t="e">
        <f>VLOOKUP(C12,#REF!,4,0)</f>
        <v>#REF!</v>
      </c>
      <c r="F12" s="37" t="e">
        <f>VLOOKUP(C12,#REF!,8,0)</f>
        <v>#REF!</v>
      </c>
      <c r="G12" s="22" t="str">
        <f>IF(ISERROR(IF(VLOOKUP(C12,#REF!,2,0)&gt;0,"등록","")),"",(IF(VLOOKUP(C12,#REF!,2,0)&gt;0,"등록","")))</f>
        <v/>
      </c>
      <c r="H12" s="33" t="str">
        <f t="array" aca="1" ref="H12" ca="1">IF(ISERROR(OFFSET(#REF!,SMALL(IF(#REF!=RM시즌체크판!C12,ROW(#REF!)-20),1),)),"",(OFFSET(#REF!,SMALL(IF(#REF!=RM시즌체크판!C12,ROW(#REF!)-20),1),)))</f>
        <v/>
      </c>
      <c r="I12" s="34" t="str">
        <f t="array" aca="1" ref="I12" ca="1">IF(ISERROR(OFFSET(#REF!,SMALL(IF(#REF!=RM시즌체크판!C12,ROW(#REF!)-20),2),)),"",(OFFSET(#REF!,SMALL(IF(#REF!=RM시즌체크판!C12,ROW(#REF!)-20),2),)))</f>
        <v/>
      </c>
      <c r="J12" s="34" t="str">
        <f t="array" aca="1" ref="J12" ca="1">IF(ISERROR(OFFSET(#REF!,SMALL(IF(#REF!=RM시즌체크판!C12,ROW(#REF!)-20),3),)),"",(OFFSET(#REF!,SMALL(IF(#REF!=RM시즌체크판!C12,ROW(#REF!)-20),3),)))</f>
        <v/>
      </c>
      <c r="K12" s="34" t="str">
        <f t="array" aca="1" ref="K12" ca="1">IF(ISERROR(OFFSET(#REF!,SMALL(IF(#REF!=RM시즌체크판!C12,ROW(#REF!)-20),4),)),"",(OFFSET(#REF!,SMALL(IF(#REF!=RM시즌체크판!C12,ROW(#REF!)-20),4),)))</f>
        <v/>
      </c>
      <c r="L12" s="34" t="str">
        <f t="array" aca="1" ref="L12" ca="1">IF(ISERROR(OFFSET(#REF!,SMALL(IF(#REF!=RM시즌체크판!C12,ROW(#REF!)-20),5),)),"",(OFFSET(#REF!,SMALL(IF(#REF!=RM시즌체크판!C12,ROW(#REF!)-20),5),)))</f>
        <v/>
      </c>
      <c r="M12" s="35" t="str">
        <f t="array" aca="1" ref="M12" ca="1">IF(ISERROR(OFFSET(#REF!,SMALL(IF(#REF!=RM시즌체크판!C12,ROW(#REF!)-20),6),)),"",(OFFSET(#REF!,SMALL(IF(#REF!=RM시즌체크판!C12,ROW(#REF!)-20),6),)))</f>
        <v/>
      </c>
      <c r="N12" s="27" t="str">
        <f>IF(ISERROR(VLOOKUP(C12,모델촬영리스트!$C:$E,3,)),"",(VLOOKUP(C12,모델촬영리스트!$C:$E,3,)))</f>
        <v/>
      </c>
      <c r="O12" s="23" t="str">
        <f>IF(ISERROR(VLOOKUP(C12,배너촬영리스트!$C:$E,3,)),"",(VLOOKUP(C12,배너촬영리스트!$C:$E,3,)))</f>
        <v/>
      </c>
      <c r="P12" s="36" t="str">
        <f>IF(ISERROR(VLOOKUP(C12,배너촬영리스트!$C:$E,2,)),"",(VLOOKUP(C12,배너촬영리스트!$C:$E,2,)))</f>
        <v/>
      </c>
    </row>
    <row r="13" spans="2:22">
      <c r="B13" s="20" t="str">
        <f t="shared" si="0"/>
        <v>RM</v>
      </c>
      <c r="C13" s="11" t="s">
        <v>58</v>
      </c>
      <c r="D13" s="12" t="e">
        <f>VLOOKUP(C13,#REF!,2,0)</f>
        <v>#REF!</v>
      </c>
      <c r="E13" s="10" t="e">
        <f>VLOOKUP(C13,#REF!,4,0)</f>
        <v>#REF!</v>
      </c>
      <c r="F13" s="37" t="e">
        <f>VLOOKUP(C13,#REF!,8,0)</f>
        <v>#REF!</v>
      </c>
      <c r="G13" s="22" t="str">
        <f>IF(ISERROR(IF(VLOOKUP(C13,#REF!,2,0)&gt;0,"등록","")),"",(IF(VLOOKUP(C13,#REF!,2,0)&gt;0,"등록","")))</f>
        <v/>
      </c>
      <c r="H13" s="33" t="str">
        <f t="array" aca="1" ref="H13" ca="1">IF(ISERROR(OFFSET(#REF!,SMALL(IF(#REF!=RM시즌체크판!C13,ROW(#REF!)-20),1),)),"",(OFFSET(#REF!,SMALL(IF(#REF!=RM시즌체크판!C13,ROW(#REF!)-20),1),)))</f>
        <v/>
      </c>
      <c r="I13" s="34" t="str">
        <f t="array" aca="1" ref="I13" ca="1">IF(ISERROR(OFFSET(#REF!,SMALL(IF(#REF!=RM시즌체크판!C13,ROW(#REF!)-20),2),)),"",(OFFSET(#REF!,SMALL(IF(#REF!=RM시즌체크판!C13,ROW(#REF!)-20),2),)))</f>
        <v/>
      </c>
      <c r="J13" s="34" t="str">
        <f t="array" aca="1" ref="J13" ca="1">IF(ISERROR(OFFSET(#REF!,SMALL(IF(#REF!=RM시즌체크판!C13,ROW(#REF!)-20),3),)),"",(OFFSET(#REF!,SMALL(IF(#REF!=RM시즌체크판!C13,ROW(#REF!)-20),3),)))</f>
        <v/>
      </c>
      <c r="K13" s="34" t="str">
        <f t="array" aca="1" ref="K13" ca="1">IF(ISERROR(OFFSET(#REF!,SMALL(IF(#REF!=RM시즌체크판!C13,ROW(#REF!)-20),4),)),"",(OFFSET(#REF!,SMALL(IF(#REF!=RM시즌체크판!C13,ROW(#REF!)-20),4),)))</f>
        <v/>
      </c>
      <c r="L13" s="34" t="str">
        <f t="array" aca="1" ref="L13" ca="1">IF(ISERROR(OFFSET(#REF!,SMALL(IF(#REF!=RM시즌체크판!C13,ROW(#REF!)-20),5),)),"",(OFFSET(#REF!,SMALL(IF(#REF!=RM시즌체크판!C13,ROW(#REF!)-20),5),)))</f>
        <v/>
      </c>
      <c r="M13" s="35" t="str">
        <f t="array" aca="1" ref="M13" ca="1">IF(ISERROR(OFFSET(#REF!,SMALL(IF(#REF!=RM시즌체크판!C13,ROW(#REF!)-20),6),)),"",(OFFSET(#REF!,SMALL(IF(#REF!=RM시즌체크판!C13,ROW(#REF!)-20),6),)))</f>
        <v/>
      </c>
      <c r="N13" s="27" t="str">
        <f>IF(ISERROR(VLOOKUP(C13,모델촬영리스트!$C:$E,3,)),"",(VLOOKUP(C13,모델촬영리스트!$C:$E,3,)))</f>
        <v/>
      </c>
      <c r="O13" s="23" t="str">
        <f>IF(ISERROR(VLOOKUP(C13,배너촬영리스트!$C:$E,3,)),"",(VLOOKUP(C13,배너촬영리스트!$C:$E,3,)))</f>
        <v/>
      </c>
      <c r="P13" s="36" t="str">
        <f>IF(ISERROR(VLOOKUP(C13,배너촬영리스트!$C:$E,2,)),"",(VLOOKUP(C13,배너촬영리스트!$C:$E,2,)))</f>
        <v/>
      </c>
    </row>
    <row r="14" spans="2:22">
      <c r="B14" s="20" t="str">
        <f t="shared" si="0"/>
        <v>RM</v>
      </c>
      <c r="C14" s="11" t="s">
        <v>59</v>
      </c>
      <c r="D14" s="12" t="e">
        <f>VLOOKUP(C14,#REF!,2,0)</f>
        <v>#REF!</v>
      </c>
      <c r="E14" s="10" t="e">
        <f>VLOOKUP(C14,#REF!,4,0)</f>
        <v>#REF!</v>
      </c>
      <c r="F14" s="37" t="e">
        <f>VLOOKUP(C14,#REF!,8,0)</f>
        <v>#REF!</v>
      </c>
      <c r="G14" s="22" t="str">
        <f>IF(ISERROR(IF(VLOOKUP(C14,#REF!,2,0)&gt;0,"등록","")),"",(IF(VLOOKUP(C14,#REF!,2,0)&gt;0,"등록","")))</f>
        <v/>
      </c>
      <c r="H14" s="33" t="str">
        <f t="array" aca="1" ref="H14" ca="1">IF(ISERROR(OFFSET(#REF!,SMALL(IF(#REF!=RM시즌체크판!C14,ROW(#REF!)-20),1),)),"",(OFFSET(#REF!,SMALL(IF(#REF!=RM시즌체크판!C14,ROW(#REF!)-20),1),)))</f>
        <v/>
      </c>
      <c r="I14" s="34" t="str">
        <f t="array" aca="1" ref="I14" ca="1">IF(ISERROR(OFFSET(#REF!,SMALL(IF(#REF!=RM시즌체크판!C14,ROW(#REF!)-20),2),)),"",(OFFSET(#REF!,SMALL(IF(#REF!=RM시즌체크판!C14,ROW(#REF!)-20),2),)))</f>
        <v/>
      </c>
      <c r="J14" s="34" t="str">
        <f t="array" aca="1" ref="J14" ca="1">IF(ISERROR(OFFSET(#REF!,SMALL(IF(#REF!=RM시즌체크판!C14,ROW(#REF!)-20),3),)),"",(OFFSET(#REF!,SMALL(IF(#REF!=RM시즌체크판!C14,ROW(#REF!)-20),3),)))</f>
        <v/>
      </c>
      <c r="K14" s="34" t="str">
        <f t="array" aca="1" ref="K14" ca="1">IF(ISERROR(OFFSET(#REF!,SMALL(IF(#REF!=RM시즌체크판!C14,ROW(#REF!)-20),4),)),"",(OFFSET(#REF!,SMALL(IF(#REF!=RM시즌체크판!C14,ROW(#REF!)-20),4),)))</f>
        <v/>
      </c>
      <c r="L14" s="34" t="str">
        <f t="array" aca="1" ref="L14" ca="1">IF(ISERROR(OFFSET(#REF!,SMALL(IF(#REF!=RM시즌체크판!C14,ROW(#REF!)-20),5),)),"",(OFFSET(#REF!,SMALL(IF(#REF!=RM시즌체크판!C14,ROW(#REF!)-20),5),)))</f>
        <v/>
      </c>
      <c r="M14" s="35" t="str">
        <f t="array" aca="1" ref="M14" ca="1">IF(ISERROR(OFFSET(#REF!,SMALL(IF(#REF!=RM시즌체크판!C14,ROW(#REF!)-20),6),)),"",(OFFSET(#REF!,SMALL(IF(#REF!=RM시즌체크판!C14,ROW(#REF!)-20),6),)))</f>
        <v/>
      </c>
      <c r="N14" s="27" t="str">
        <f>IF(ISERROR(VLOOKUP(C14,모델촬영리스트!$C:$E,3,)),"",(VLOOKUP(C14,모델촬영리스트!$C:$E,3,)))</f>
        <v/>
      </c>
      <c r="O14" s="23" t="str">
        <f>IF(ISERROR(VLOOKUP(C14,배너촬영리스트!$C:$E,3,)),"",(VLOOKUP(C14,배너촬영리스트!$C:$E,3,)))</f>
        <v/>
      </c>
      <c r="P14" s="36" t="str">
        <f>IF(ISERROR(VLOOKUP(C14,배너촬영리스트!$C:$E,2,)),"",(VLOOKUP(C14,배너촬영리스트!$C:$E,2,)))</f>
        <v/>
      </c>
    </row>
    <row r="15" spans="2:22">
      <c r="B15" s="20" t="str">
        <f t="shared" si="0"/>
        <v>RM</v>
      </c>
      <c r="C15" s="11" t="s">
        <v>60</v>
      </c>
      <c r="D15" s="12" t="e">
        <f>VLOOKUP(C15,#REF!,2,0)</f>
        <v>#REF!</v>
      </c>
      <c r="E15" s="10" t="e">
        <f>VLOOKUP(C15,#REF!,4,0)</f>
        <v>#REF!</v>
      </c>
      <c r="F15" s="37" t="e">
        <f>VLOOKUP(C15,#REF!,8,0)</f>
        <v>#REF!</v>
      </c>
      <c r="G15" s="22" t="str">
        <f>IF(ISERROR(IF(VLOOKUP(C15,#REF!,2,0)&gt;0,"등록","")),"",(IF(VLOOKUP(C15,#REF!,2,0)&gt;0,"등록","")))</f>
        <v/>
      </c>
      <c r="H15" s="33" t="str">
        <f t="array" aca="1" ref="H15" ca="1">IF(ISERROR(OFFSET(#REF!,SMALL(IF(#REF!=RM시즌체크판!C15,ROW(#REF!)-20),1),)),"",(OFFSET(#REF!,SMALL(IF(#REF!=RM시즌체크판!C15,ROW(#REF!)-20),1),)))</f>
        <v/>
      </c>
      <c r="I15" s="34" t="str">
        <f t="array" aca="1" ref="I15" ca="1">IF(ISERROR(OFFSET(#REF!,SMALL(IF(#REF!=RM시즌체크판!C15,ROW(#REF!)-20),2),)),"",(OFFSET(#REF!,SMALL(IF(#REF!=RM시즌체크판!C15,ROW(#REF!)-20),2),)))</f>
        <v/>
      </c>
      <c r="J15" s="34" t="str">
        <f t="array" aca="1" ref="J15" ca="1">IF(ISERROR(OFFSET(#REF!,SMALL(IF(#REF!=RM시즌체크판!C15,ROW(#REF!)-20),3),)),"",(OFFSET(#REF!,SMALL(IF(#REF!=RM시즌체크판!C15,ROW(#REF!)-20),3),)))</f>
        <v/>
      </c>
      <c r="K15" s="34" t="str">
        <f t="array" aca="1" ref="K15" ca="1">IF(ISERROR(OFFSET(#REF!,SMALL(IF(#REF!=RM시즌체크판!C15,ROW(#REF!)-20),4),)),"",(OFFSET(#REF!,SMALL(IF(#REF!=RM시즌체크판!C15,ROW(#REF!)-20),4),)))</f>
        <v/>
      </c>
      <c r="L15" s="34" t="str">
        <f t="array" aca="1" ref="L15" ca="1">IF(ISERROR(OFFSET(#REF!,SMALL(IF(#REF!=RM시즌체크판!C15,ROW(#REF!)-20),5),)),"",(OFFSET(#REF!,SMALL(IF(#REF!=RM시즌체크판!C15,ROW(#REF!)-20),5),)))</f>
        <v/>
      </c>
      <c r="M15" s="35" t="str">
        <f t="array" aca="1" ref="M15" ca="1">IF(ISERROR(OFFSET(#REF!,SMALL(IF(#REF!=RM시즌체크판!C15,ROW(#REF!)-20),6),)),"",(OFFSET(#REF!,SMALL(IF(#REF!=RM시즌체크판!C15,ROW(#REF!)-20),6),)))</f>
        <v/>
      </c>
      <c r="N15" s="27" t="str">
        <f>IF(ISERROR(VLOOKUP(C15,모델촬영리스트!$C:$E,3,)),"",(VLOOKUP(C15,모델촬영리스트!$C:$E,3,)))</f>
        <v/>
      </c>
      <c r="O15" s="23" t="str">
        <f>IF(ISERROR(VLOOKUP(C15,배너촬영리스트!$C:$E,3,)),"",(VLOOKUP(C15,배너촬영리스트!$C:$E,3,)))</f>
        <v/>
      </c>
      <c r="P15" s="36" t="str">
        <f>IF(ISERROR(VLOOKUP(C15,배너촬영리스트!$C:$E,2,)),"",(VLOOKUP(C15,배너촬영리스트!$C:$E,2,)))</f>
        <v/>
      </c>
    </row>
    <row r="16" spans="2:22">
      <c r="B16" s="20" t="str">
        <f t="shared" si="0"/>
        <v>RM</v>
      </c>
      <c r="C16" s="11" t="s">
        <v>61</v>
      </c>
      <c r="D16" s="12" t="e">
        <f>VLOOKUP(C16,#REF!,2,0)</f>
        <v>#REF!</v>
      </c>
      <c r="E16" s="10" t="e">
        <f>VLOOKUP(C16,#REF!,4,0)</f>
        <v>#REF!</v>
      </c>
      <c r="F16" s="37" t="e">
        <f>VLOOKUP(C16,#REF!,8,0)</f>
        <v>#REF!</v>
      </c>
      <c r="G16" s="22" t="str">
        <f>IF(ISERROR(IF(VLOOKUP(C16,#REF!,2,0)&gt;0,"등록","")),"",(IF(VLOOKUP(C16,#REF!,2,0)&gt;0,"등록","")))</f>
        <v/>
      </c>
      <c r="H16" s="33" t="str">
        <f t="array" aca="1" ref="H16" ca="1">IF(ISERROR(OFFSET(#REF!,SMALL(IF(#REF!=RM시즌체크판!C16,ROW(#REF!)-20),1),)),"",(OFFSET(#REF!,SMALL(IF(#REF!=RM시즌체크판!C16,ROW(#REF!)-20),1),)))</f>
        <v/>
      </c>
      <c r="I16" s="34" t="str">
        <f t="array" aca="1" ref="I16" ca="1">IF(ISERROR(OFFSET(#REF!,SMALL(IF(#REF!=RM시즌체크판!C16,ROW(#REF!)-20),2),)),"",(OFFSET(#REF!,SMALL(IF(#REF!=RM시즌체크판!C16,ROW(#REF!)-20),2),)))</f>
        <v/>
      </c>
      <c r="J16" s="34" t="str">
        <f t="array" aca="1" ref="J16" ca="1">IF(ISERROR(OFFSET(#REF!,SMALL(IF(#REF!=RM시즌체크판!C16,ROW(#REF!)-20),3),)),"",(OFFSET(#REF!,SMALL(IF(#REF!=RM시즌체크판!C16,ROW(#REF!)-20),3),)))</f>
        <v/>
      </c>
      <c r="K16" s="34" t="str">
        <f t="array" aca="1" ref="K16" ca="1">IF(ISERROR(OFFSET(#REF!,SMALL(IF(#REF!=RM시즌체크판!C16,ROW(#REF!)-20),4),)),"",(OFFSET(#REF!,SMALL(IF(#REF!=RM시즌체크판!C16,ROW(#REF!)-20),4),)))</f>
        <v/>
      </c>
      <c r="L16" s="34" t="str">
        <f t="array" aca="1" ref="L16" ca="1">IF(ISERROR(OFFSET(#REF!,SMALL(IF(#REF!=RM시즌체크판!C16,ROW(#REF!)-20),5),)),"",(OFFSET(#REF!,SMALL(IF(#REF!=RM시즌체크판!C16,ROW(#REF!)-20),5),)))</f>
        <v/>
      </c>
      <c r="M16" s="35" t="str">
        <f t="array" aca="1" ref="M16" ca="1">IF(ISERROR(OFFSET(#REF!,SMALL(IF(#REF!=RM시즌체크판!C16,ROW(#REF!)-20),6),)),"",(OFFSET(#REF!,SMALL(IF(#REF!=RM시즌체크판!C16,ROW(#REF!)-20),6),)))</f>
        <v/>
      </c>
      <c r="N16" s="27" t="str">
        <f>IF(ISERROR(VLOOKUP(C16,모델촬영리스트!$C:$E,3,)),"",(VLOOKUP(C16,모델촬영리스트!$C:$E,3,)))</f>
        <v/>
      </c>
      <c r="O16" s="23" t="str">
        <f>IF(ISERROR(VLOOKUP(C16,배너촬영리스트!$C:$E,3,)),"",(VLOOKUP(C16,배너촬영리스트!$C:$E,3,)))</f>
        <v/>
      </c>
      <c r="P16" s="36" t="str">
        <f>IF(ISERROR(VLOOKUP(C16,배너촬영리스트!$C:$E,2,)),"",(VLOOKUP(C16,배너촬영리스트!$C:$E,2,)))</f>
        <v/>
      </c>
    </row>
    <row r="17" spans="2:16">
      <c r="B17" s="20" t="str">
        <f t="shared" si="0"/>
        <v>RM</v>
      </c>
      <c r="C17" s="11" t="s">
        <v>62</v>
      </c>
      <c r="D17" s="12" t="e">
        <f>VLOOKUP(C17,#REF!,2,0)</f>
        <v>#REF!</v>
      </c>
      <c r="E17" s="10" t="e">
        <f>VLOOKUP(C17,#REF!,4,0)</f>
        <v>#REF!</v>
      </c>
      <c r="F17" s="37" t="e">
        <f>VLOOKUP(C17,#REF!,8,0)</f>
        <v>#REF!</v>
      </c>
      <c r="G17" s="22" t="str">
        <f>IF(ISERROR(IF(VLOOKUP(C17,#REF!,2,0)&gt;0,"등록","")),"",(IF(VLOOKUP(C17,#REF!,2,0)&gt;0,"등록","")))</f>
        <v/>
      </c>
      <c r="H17" s="33" t="str">
        <f t="array" aca="1" ref="H17" ca="1">IF(ISERROR(OFFSET(#REF!,SMALL(IF(#REF!=RM시즌체크판!C17,ROW(#REF!)-20),1),)),"",(OFFSET(#REF!,SMALL(IF(#REF!=RM시즌체크판!C17,ROW(#REF!)-20),1),)))</f>
        <v/>
      </c>
      <c r="I17" s="34" t="str">
        <f t="array" aca="1" ref="I17" ca="1">IF(ISERROR(OFFSET(#REF!,SMALL(IF(#REF!=RM시즌체크판!C17,ROW(#REF!)-20),2),)),"",(OFFSET(#REF!,SMALL(IF(#REF!=RM시즌체크판!C17,ROW(#REF!)-20),2),)))</f>
        <v/>
      </c>
      <c r="J17" s="34" t="str">
        <f t="array" aca="1" ref="J17" ca="1">IF(ISERROR(OFFSET(#REF!,SMALL(IF(#REF!=RM시즌체크판!C17,ROW(#REF!)-20),3),)),"",(OFFSET(#REF!,SMALL(IF(#REF!=RM시즌체크판!C17,ROW(#REF!)-20),3),)))</f>
        <v/>
      </c>
      <c r="K17" s="34" t="str">
        <f t="array" aca="1" ref="K17" ca="1">IF(ISERROR(OFFSET(#REF!,SMALL(IF(#REF!=RM시즌체크판!C17,ROW(#REF!)-20),4),)),"",(OFFSET(#REF!,SMALL(IF(#REF!=RM시즌체크판!C17,ROW(#REF!)-20),4),)))</f>
        <v/>
      </c>
      <c r="L17" s="34" t="str">
        <f t="array" aca="1" ref="L17" ca="1">IF(ISERROR(OFFSET(#REF!,SMALL(IF(#REF!=RM시즌체크판!C17,ROW(#REF!)-20),5),)),"",(OFFSET(#REF!,SMALL(IF(#REF!=RM시즌체크판!C17,ROW(#REF!)-20),5),)))</f>
        <v/>
      </c>
      <c r="M17" s="35" t="str">
        <f t="array" aca="1" ref="M17" ca="1">IF(ISERROR(OFFSET(#REF!,SMALL(IF(#REF!=RM시즌체크판!C17,ROW(#REF!)-20),6),)),"",(OFFSET(#REF!,SMALL(IF(#REF!=RM시즌체크판!C17,ROW(#REF!)-20),6),)))</f>
        <v/>
      </c>
      <c r="N17" s="27" t="str">
        <f>IF(ISERROR(VLOOKUP(C17,모델촬영리스트!$C:$E,3,)),"",(VLOOKUP(C17,모델촬영리스트!$C:$E,3,)))</f>
        <v/>
      </c>
      <c r="O17" s="23" t="str">
        <f>IF(ISERROR(VLOOKUP(C17,배너촬영리스트!$C:$E,3,)),"",(VLOOKUP(C17,배너촬영리스트!$C:$E,3,)))</f>
        <v/>
      </c>
      <c r="P17" s="36" t="str">
        <f>IF(ISERROR(VLOOKUP(C17,배너촬영리스트!$C:$E,2,)),"",(VLOOKUP(C17,배너촬영리스트!$C:$E,2,)))</f>
        <v/>
      </c>
    </row>
    <row r="18" spans="2:16">
      <c r="B18" s="20" t="str">
        <f t="shared" si="0"/>
        <v>RM</v>
      </c>
      <c r="C18" s="11" t="s">
        <v>63</v>
      </c>
      <c r="D18" s="12" t="e">
        <f>VLOOKUP(C18,#REF!,2,0)</f>
        <v>#REF!</v>
      </c>
      <c r="E18" s="10" t="e">
        <f>VLOOKUP(C18,#REF!,4,0)</f>
        <v>#REF!</v>
      </c>
      <c r="F18" s="37" t="e">
        <f>VLOOKUP(C18,#REF!,8,0)</f>
        <v>#REF!</v>
      </c>
      <c r="G18" s="22" t="str">
        <f>IF(ISERROR(IF(VLOOKUP(C18,#REF!,2,0)&gt;0,"등록","")),"",(IF(VLOOKUP(C18,#REF!,2,0)&gt;0,"등록","")))</f>
        <v/>
      </c>
      <c r="H18" s="33" t="str">
        <f t="array" aca="1" ref="H18" ca="1">IF(ISERROR(OFFSET(#REF!,SMALL(IF(#REF!=RM시즌체크판!C18,ROW(#REF!)-20),1),)),"",(OFFSET(#REF!,SMALL(IF(#REF!=RM시즌체크판!C18,ROW(#REF!)-20),1),)))</f>
        <v/>
      </c>
      <c r="I18" s="34" t="str">
        <f t="array" aca="1" ref="I18" ca="1">IF(ISERROR(OFFSET(#REF!,SMALL(IF(#REF!=RM시즌체크판!C18,ROW(#REF!)-20),2),)),"",(OFFSET(#REF!,SMALL(IF(#REF!=RM시즌체크판!C18,ROW(#REF!)-20),2),)))</f>
        <v/>
      </c>
      <c r="J18" s="34" t="str">
        <f t="array" aca="1" ref="J18" ca="1">IF(ISERROR(OFFSET(#REF!,SMALL(IF(#REF!=RM시즌체크판!C18,ROW(#REF!)-20),3),)),"",(OFFSET(#REF!,SMALL(IF(#REF!=RM시즌체크판!C18,ROW(#REF!)-20),3),)))</f>
        <v/>
      </c>
      <c r="K18" s="34" t="str">
        <f t="array" aca="1" ref="K18" ca="1">IF(ISERROR(OFFSET(#REF!,SMALL(IF(#REF!=RM시즌체크판!C18,ROW(#REF!)-20),4),)),"",(OFFSET(#REF!,SMALL(IF(#REF!=RM시즌체크판!C18,ROW(#REF!)-20),4),)))</f>
        <v/>
      </c>
      <c r="L18" s="34" t="str">
        <f t="array" aca="1" ref="L18" ca="1">IF(ISERROR(OFFSET(#REF!,SMALL(IF(#REF!=RM시즌체크판!C18,ROW(#REF!)-20),5),)),"",(OFFSET(#REF!,SMALL(IF(#REF!=RM시즌체크판!C18,ROW(#REF!)-20),5),)))</f>
        <v/>
      </c>
      <c r="M18" s="35" t="str">
        <f t="array" aca="1" ref="M18" ca="1">IF(ISERROR(OFFSET(#REF!,SMALL(IF(#REF!=RM시즌체크판!C18,ROW(#REF!)-20),6),)),"",(OFFSET(#REF!,SMALL(IF(#REF!=RM시즌체크판!C18,ROW(#REF!)-20),6),)))</f>
        <v/>
      </c>
      <c r="N18" s="27" t="str">
        <f>IF(ISERROR(VLOOKUP(C18,모델촬영리스트!$C:$E,3,)),"",(VLOOKUP(C18,모델촬영리스트!$C:$E,3,)))</f>
        <v/>
      </c>
      <c r="O18" s="23" t="str">
        <f>IF(ISERROR(VLOOKUP(C18,배너촬영리스트!$C:$E,3,)),"",(VLOOKUP(C18,배너촬영리스트!$C:$E,3,)))</f>
        <v/>
      </c>
      <c r="P18" s="36" t="str">
        <f>IF(ISERROR(VLOOKUP(C18,배너촬영리스트!$C:$E,2,)),"",(VLOOKUP(C18,배너촬영리스트!$C:$E,2,)))</f>
        <v/>
      </c>
    </row>
    <row r="19" spans="2:16">
      <c r="B19" s="20" t="str">
        <f t="shared" si="0"/>
        <v>RM</v>
      </c>
      <c r="C19" s="11" t="s">
        <v>119</v>
      </c>
      <c r="D19" s="12" t="e">
        <f>VLOOKUP(C19,#REF!,2,0)</f>
        <v>#REF!</v>
      </c>
      <c r="E19" s="10" t="e">
        <f>VLOOKUP(C19,#REF!,4,0)</f>
        <v>#REF!</v>
      </c>
      <c r="F19" s="37" t="e">
        <f>VLOOKUP(C19,#REF!,8,0)</f>
        <v>#REF!</v>
      </c>
      <c r="G19" s="22" t="str">
        <f>IF(ISERROR(IF(VLOOKUP(C19,#REF!,2,0)&gt;0,"등록","")),"",(IF(VLOOKUP(C19,#REF!,2,0)&gt;0,"등록","")))</f>
        <v/>
      </c>
      <c r="H19" s="33" t="str">
        <f t="array" aca="1" ref="H19" ca="1">IF(ISERROR(OFFSET(#REF!,SMALL(IF(#REF!=RM시즌체크판!C19,ROW(#REF!)-20),1),)),"",(OFFSET(#REF!,SMALL(IF(#REF!=RM시즌체크판!C19,ROW(#REF!)-20),1),)))</f>
        <v/>
      </c>
      <c r="I19" s="34" t="str">
        <f t="array" aca="1" ref="I19" ca="1">IF(ISERROR(OFFSET(#REF!,SMALL(IF(#REF!=RM시즌체크판!C19,ROW(#REF!)-20),2),)),"",(OFFSET(#REF!,SMALL(IF(#REF!=RM시즌체크판!C19,ROW(#REF!)-20),2),)))</f>
        <v/>
      </c>
      <c r="J19" s="34" t="str">
        <f t="array" aca="1" ref="J19" ca="1">IF(ISERROR(OFFSET(#REF!,SMALL(IF(#REF!=RM시즌체크판!C19,ROW(#REF!)-20),3),)),"",(OFFSET(#REF!,SMALL(IF(#REF!=RM시즌체크판!C19,ROW(#REF!)-20),3),)))</f>
        <v/>
      </c>
      <c r="K19" s="34" t="str">
        <f t="array" aca="1" ref="K19" ca="1">IF(ISERROR(OFFSET(#REF!,SMALL(IF(#REF!=RM시즌체크판!C19,ROW(#REF!)-20),4),)),"",(OFFSET(#REF!,SMALL(IF(#REF!=RM시즌체크판!C19,ROW(#REF!)-20),4),)))</f>
        <v/>
      </c>
      <c r="L19" s="34" t="str">
        <f t="array" aca="1" ref="L19" ca="1">IF(ISERROR(OFFSET(#REF!,SMALL(IF(#REF!=RM시즌체크판!C19,ROW(#REF!)-20),5),)),"",(OFFSET(#REF!,SMALL(IF(#REF!=RM시즌체크판!C19,ROW(#REF!)-20),5),)))</f>
        <v/>
      </c>
      <c r="M19" s="35" t="str">
        <f t="array" aca="1" ref="M19" ca="1">IF(ISERROR(OFFSET(#REF!,SMALL(IF(#REF!=RM시즌체크판!C19,ROW(#REF!)-20),6),)),"",(OFFSET(#REF!,SMALL(IF(#REF!=RM시즌체크판!C19,ROW(#REF!)-20),6),)))</f>
        <v/>
      </c>
      <c r="N19" s="27" t="str">
        <f>IF(ISERROR(VLOOKUP(C19,모델촬영리스트!$C:$E,3,)),"",(VLOOKUP(C19,모델촬영리스트!$C:$E,3,)))</f>
        <v/>
      </c>
      <c r="O19" s="23" t="str">
        <f>IF(ISERROR(VLOOKUP(C19,배너촬영리스트!$C:$E,3,)),"",(VLOOKUP(C19,배너촬영리스트!$C:$E,3,)))</f>
        <v/>
      </c>
      <c r="P19" s="36" t="str">
        <f>IF(ISERROR(VLOOKUP(C19,배너촬영리스트!$C:$E,2,)),"",(VLOOKUP(C19,배너촬영리스트!$C:$E,2,)))</f>
        <v/>
      </c>
    </row>
    <row r="20" spans="2:16">
      <c r="B20" s="20" t="str">
        <f t="shared" si="0"/>
        <v>RM</v>
      </c>
      <c r="C20" s="11" t="s">
        <v>120</v>
      </c>
      <c r="D20" s="12" t="e">
        <f>VLOOKUP(C20,#REF!,2,0)</f>
        <v>#REF!</v>
      </c>
      <c r="E20" s="10" t="e">
        <f>VLOOKUP(C20,#REF!,4,0)</f>
        <v>#REF!</v>
      </c>
      <c r="F20" s="37" t="e">
        <f>VLOOKUP(C20,#REF!,8,0)</f>
        <v>#REF!</v>
      </c>
      <c r="G20" s="22" t="str">
        <f>IF(ISERROR(IF(VLOOKUP(C20,#REF!,2,0)&gt;0,"등록","")),"",(IF(VLOOKUP(C20,#REF!,2,0)&gt;0,"등록","")))</f>
        <v/>
      </c>
      <c r="H20" s="33" t="str">
        <f t="array" aca="1" ref="H20" ca="1">IF(ISERROR(OFFSET(#REF!,SMALL(IF(#REF!=RM시즌체크판!C20,ROW(#REF!)-20),1),)),"",(OFFSET(#REF!,SMALL(IF(#REF!=RM시즌체크판!C20,ROW(#REF!)-20),1),)))</f>
        <v/>
      </c>
      <c r="I20" s="34" t="str">
        <f t="array" aca="1" ref="I20" ca="1">IF(ISERROR(OFFSET(#REF!,SMALL(IF(#REF!=RM시즌체크판!C20,ROW(#REF!)-20),2),)),"",(OFFSET(#REF!,SMALL(IF(#REF!=RM시즌체크판!C20,ROW(#REF!)-20),2),)))</f>
        <v/>
      </c>
      <c r="J20" s="34" t="str">
        <f t="array" aca="1" ref="J20" ca="1">IF(ISERROR(OFFSET(#REF!,SMALL(IF(#REF!=RM시즌체크판!C20,ROW(#REF!)-20),3),)),"",(OFFSET(#REF!,SMALL(IF(#REF!=RM시즌체크판!C20,ROW(#REF!)-20),3),)))</f>
        <v/>
      </c>
      <c r="K20" s="34" t="str">
        <f t="array" aca="1" ref="K20" ca="1">IF(ISERROR(OFFSET(#REF!,SMALL(IF(#REF!=RM시즌체크판!C20,ROW(#REF!)-20),4),)),"",(OFFSET(#REF!,SMALL(IF(#REF!=RM시즌체크판!C20,ROW(#REF!)-20),4),)))</f>
        <v/>
      </c>
      <c r="L20" s="34" t="str">
        <f t="array" aca="1" ref="L20" ca="1">IF(ISERROR(OFFSET(#REF!,SMALL(IF(#REF!=RM시즌체크판!C20,ROW(#REF!)-20),5),)),"",(OFFSET(#REF!,SMALL(IF(#REF!=RM시즌체크판!C20,ROW(#REF!)-20),5),)))</f>
        <v/>
      </c>
      <c r="M20" s="35" t="str">
        <f t="array" aca="1" ref="M20" ca="1">IF(ISERROR(OFFSET(#REF!,SMALL(IF(#REF!=RM시즌체크판!C20,ROW(#REF!)-20),6),)),"",(OFFSET(#REF!,SMALL(IF(#REF!=RM시즌체크판!C20,ROW(#REF!)-20),6),)))</f>
        <v/>
      </c>
      <c r="N20" s="27" t="str">
        <f>IF(ISERROR(VLOOKUP(C20,모델촬영리스트!$C:$E,3,)),"",(VLOOKUP(C20,모델촬영리스트!$C:$E,3,)))</f>
        <v/>
      </c>
      <c r="O20" s="23" t="str">
        <f>IF(ISERROR(VLOOKUP(C20,배너촬영리스트!$C:$E,3,)),"",(VLOOKUP(C20,배너촬영리스트!$C:$E,3,)))</f>
        <v/>
      </c>
      <c r="P20" s="36" t="str">
        <f>IF(ISERROR(VLOOKUP(C20,배너촬영리스트!$C:$E,2,)),"",(VLOOKUP(C20,배너촬영리스트!$C:$E,2,)))</f>
        <v/>
      </c>
    </row>
    <row r="21" spans="2:16">
      <c r="B21" s="20" t="str">
        <f t="shared" si="0"/>
        <v>RM</v>
      </c>
      <c r="C21" s="11" t="s">
        <v>128</v>
      </c>
      <c r="D21" s="12" t="e">
        <f>VLOOKUP(C21,#REF!,2,0)</f>
        <v>#REF!</v>
      </c>
      <c r="E21" s="10" t="e">
        <f>VLOOKUP(C21,#REF!,4,0)</f>
        <v>#REF!</v>
      </c>
      <c r="F21" s="37" t="e">
        <f>VLOOKUP(C21,#REF!,8,0)</f>
        <v>#REF!</v>
      </c>
      <c r="G21" s="22" t="str">
        <f>IF(ISERROR(IF(VLOOKUP(C21,#REF!,2,0)&gt;0,"등록","")),"",(IF(VLOOKUP(C21,#REF!,2,0)&gt;0,"등록","")))</f>
        <v/>
      </c>
      <c r="H21" s="33" t="str">
        <f t="array" aca="1" ref="H21" ca="1">IF(ISERROR(OFFSET(#REF!,SMALL(IF(#REF!=RM시즌체크판!C21,ROW(#REF!)-20),1),)),"",(OFFSET(#REF!,SMALL(IF(#REF!=RM시즌체크판!C21,ROW(#REF!)-20),1),)))</f>
        <v/>
      </c>
      <c r="I21" s="34" t="str">
        <f t="array" aca="1" ref="I21" ca="1">IF(ISERROR(OFFSET(#REF!,SMALL(IF(#REF!=RM시즌체크판!C21,ROW(#REF!)-20),2),)),"",(OFFSET(#REF!,SMALL(IF(#REF!=RM시즌체크판!C21,ROW(#REF!)-20),2),)))</f>
        <v/>
      </c>
      <c r="J21" s="34" t="str">
        <f t="array" aca="1" ref="J21" ca="1">IF(ISERROR(OFFSET(#REF!,SMALL(IF(#REF!=RM시즌체크판!C21,ROW(#REF!)-20),3),)),"",(OFFSET(#REF!,SMALL(IF(#REF!=RM시즌체크판!C21,ROW(#REF!)-20),3),)))</f>
        <v/>
      </c>
      <c r="K21" s="34" t="str">
        <f t="array" aca="1" ref="K21" ca="1">IF(ISERROR(OFFSET(#REF!,SMALL(IF(#REF!=RM시즌체크판!C21,ROW(#REF!)-20),4),)),"",(OFFSET(#REF!,SMALL(IF(#REF!=RM시즌체크판!C21,ROW(#REF!)-20),4),)))</f>
        <v/>
      </c>
      <c r="L21" s="34" t="str">
        <f t="array" aca="1" ref="L21" ca="1">IF(ISERROR(OFFSET(#REF!,SMALL(IF(#REF!=RM시즌체크판!C21,ROW(#REF!)-20),5),)),"",(OFFSET(#REF!,SMALL(IF(#REF!=RM시즌체크판!C21,ROW(#REF!)-20),5),)))</f>
        <v/>
      </c>
      <c r="M21" s="35" t="str">
        <f t="array" aca="1" ref="M21" ca="1">IF(ISERROR(OFFSET(#REF!,SMALL(IF(#REF!=RM시즌체크판!C21,ROW(#REF!)-20),6),)),"",(OFFSET(#REF!,SMALL(IF(#REF!=RM시즌체크판!C21,ROW(#REF!)-20),6),)))</f>
        <v/>
      </c>
      <c r="N21" s="27" t="str">
        <f>IF(ISERROR(VLOOKUP(C21,모델촬영리스트!$C:$E,3,)),"",(VLOOKUP(C21,모델촬영리스트!$C:$E,3,)))</f>
        <v/>
      </c>
      <c r="O21" s="23" t="str">
        <f>IF(ISERROR(VLOOKUP(C21,배너촬영리스트!$C:$E,3,)),"",(VLOOKUP(C21,배너촬영리스트!$C:$E,3,)))</f>
        <v/>
      </c>
      <c r="P21" s="36" t="str">
        <f>IF(ISERROR(VLOOKUP(C21,배너촬영리스트!$C:$E,2,)),"",(VLOOKUP(C21,배너촬영리스트!$C:$E,2,)))</f>
        <v/>
      </c>
    </row>
    <row r="22" spans="2:16">
      <c r="B22" s="20" t="str">
        <f t="shared" si="0"/>
        <v>RM</v>
      </c>
      <c r="C22" s="11" t="s">
        <v>129</v>
      </c>
      <c r="D22" s="12" t="e">
        <f>VLOOKUP(C22,#REF!,2,0)</f>
        <v>#REF!</v>
      </c>
      <c r="E22" s="10" t="e">
        <f>VLOOKUP(C22,#REF!,4,0)</f>
        <v>#REF!</v>
      </c>
      <c r="F22" s="37" t="e">
        <f>VLOOKUP(C22,#REF!,8,0)</f>
        <v>#REF!</v>
      </c>
      <c r="G22" s="22" t="str">
        <f>IF(ISERROR(IF(VLOOKUP(C22,#REF!,2,0)&gt;0,"등록","")),"",(IF(VLOOKUP(C22,#REF!,2,0)&gt;0,"등록","")))</f>
        <v/>
      </c>
      <c r="H22" s="33" t="str">
        <f t="array" aca="1" ref="H22" ca="1">IF(ISERROR(OFFSET(#REF!,SMALL(IF(#REF!=RM시즌체크판!C22,ROW(#REF!)-20),1),)),"",(OFFSET(#REF!,SMALL(IF(#REF!=RM시즌체크판!C22,ROW(#REF!)-20),1),)))</f>
        <v/>
      </c>
      <c r="I22" s="34" t="str">
        <f t="array" aca="1" ref="I22" ca="1">IF(ISERROR(OFFSET(#REF!,SMALL(IF(#REF!=RM시즌체크판!C22,ROW(#REF!)-20),2),)),"",(OFFSET(#REF!,SMALL(IF(#REF!=RM시즌체크판!C22,ROW(#REF!)-20),2),)))</f>
        <v/>
      </c>
      <c r="J22" s="34" t="str">
        <f t="array" aca="1" ref="J22" ca="1">IF(ISERROR(OFFSET(#REF!,SMALL(IF(#REF!=RM시즌체크판!C22,ROW(#REF!)-20),3),)),"",(OFFSET(#REF!,SMALL(IF(#REF!=RM시즌체크판!C22,ROW(#REF!)-20),3),)))</f>
        <v/>
      </c>
      <c r="K22" s="34" t="str">
        <f t="array" aca="1" ref="K22" ca="1">IF(ISERROR(OFFSET(#REF!,SMALL(IF(#REF!=RM시즌체크판!C22,ROW(#REF!)-20),4),)),"",(OFFSET(#REF!,SMALL(IF(#REF!=RM시즌체크판!C22,ROW(#REF!)-20),4),)))</f>
        <v/>
      </c>
      <c r="L22" s="34" t="str">
        <f t="array" aca="1" ref="L22" ca="1">IF(ISERROR(OFFSET(#REF!,SMALL(IF(#REF!=RM시즌체크판!C22,ROW(#REF!)-20),5),)),"",(OFFSET(#REF!,SMALL(IF(#REF!=RM시즌체크판!C22,ROW(#REF!)-20),5),)))</f>
        <v/>
      </c>
      <c r="M22" s="35" t="str">
        <f t="array" aca="1" ref="M22" ca="1">IF(ISERROR(OFFSET(#REF!,SMALL(IF(#REF!=RM시즌체크판!C22,ROW(#REF!)-20),6),)),"",(OFFSET(#REF!,SMALL(IF(#REF!=RM시즌체크판!C22,ROW(#REF!)-20),6),)))</f>
        <v/>
      </c>
      <c r="N22" s="27" t="str">
        <f>IF(ISERROR(VLOOKUP(C22,모델촬영리스트!$C:$E,3,)),"",(VLOOKUP(C22,모델촬영리스트!$C:$E,3,)))</f>
        <v/>
      </c>
      <c r="O22" s="23" t="str">
        <f>IF(ISERROR(VLOOKUP(C22,배너촬영리스트!$C:$E,3,)),"",(VLOOKUP(C22,배너촬영리스트!$C:$E,3,)))</f>
        <v/>
      </c>
      <c r="P22" s="36" t="str">
        <f>IF(ISERROR(VLOOKUP(C22,배너촬영리스트!$C:$E,2,)),"",(VLOOKUP(C22,배너촬영리스트!$C:$E,2,)))</f>
        <v/>
      </c>
    </row>
    <row r="23" spans="2:16">
      <c r="B23" s="20" t="str">
        <f t="shared" si="0"/>
        <v>RM</v>
      </c>
      <c r="C23" s="11" t="s">
        <v>130</v>
      </c>
      <c r="D23" s="12" t="e">
        <f>VLOOKUP(C23,#REF!,2,0)</f>
        <v>#REF!</v>
      </c>
      <c r="E23" s="10" t="e">
        <f>VLOOKUP(C23,#REF!,4,0)</f>
        <v>#REF!</v>
      </c>
      <c r="F23" s="37" t="e">
        <f>VLOOKUP(C23,#REF!,8,0)</f>
        <v>#REF!</v>
      </c>
      <c r="G23" s="22" t="str">
        <f>IF(ISERROR(IF(VLOOKUP(C23,#REF!,2,0)&gt;0,"등록","")),"",(IF(VLOOKUP(C23,#REF!,2,0)&gt;0,"등록","")))</f>
        <v/>
      </c>
      <c r="H23" s="33" t="str">
        <f t="array" aca="1" ref="H23" ca="1">IF(ISERROR(OFFSET(#REF!,SMALL(IF(#REF!=RM시즌체크판!C23,ROW(#REF!)-20),1),)),"",(OFFSET(#REF!,SMALL(IF(#REF!=RM시즌체크판!C23,ROW(#REF!)-20),1),)))</f>
        <v/>
      </c>
      <c r="I23" s="34" t="str">
        <f t="array" aca="1" ref="I23" ca="1">IF(ISERROR(OFFSET(#REF!,SMALL(IF(#REF!=RM시즌체크판!C23,ROW(#REF!)-20),2),)),"",(OFFSET(#REF!,SMALL(IF(#REF!=RM시즌체크판!C23,ROW(#REF!)-20),2),)))</f>
        <v/>
      </c>
      <c r="J23" s="34" t="str">
        <f t="array" aca="1" ref="J23" ca="1">IF(ISERROR(OFFSET(#REF!,SMALL(IF(#REF!=RM시즌체크판!C23,ROW(#REF!)-20),3),)),"",(OFFSET(#REF!,SMALL(IF(#REF!=RM시즌체크판!C23,ROW(#REF!)-20),3),)))</f>
        <v/>
      </c>
      <c r="K23" s="34" t="str">
        <f t="array" aca="1" ref="K23" ca="1">IF(ISERROR(OFFSET(#REF!,SMALL(IF(#REF!=RM시즌체크판!C23,ROW(#REF!)-20),4),)),"",(OFFSET(#REF!,SMALL(IF(#REF!=RM시즌체크판!C23,ROW(#REF!)-20),4),)))</f>
        <v/>
      </c>
      <c r="L23" s="34" t="str">
        <f t="array" aca="1" ref="L23" ca="1">IF(ISERROR(OFFSET(#REF!,SMALL(IF(#REF!=RM시즌체크판!C23,ROW(#REF!)-20),5),)),"",(OFFSET(#REF!,SMALL(IF(#REF!=RM시즌체크판!C23,ROW(#REF!)-20),5),)))</f>
        <v/>
      </c>
      <c r="M23" s="35" t="str">
        <f t="array" aca="1" ref="M23" ca="1">IF(ISERROR(OFFSET(#REF!,SMALL(IF(#REF!=RM시즌체크판!C23,ROW(#REF!)-20),6),)),"",(OFFSET(#REF!,SMALL(IF(#REF!=RM시즌체크판!C23,ROW(#REF!)-20),6),)))</f>
        <v/>
      </c>
      <c r="N23" s="27" t="str">
        <f>IF(ISERROR(VLOOKUP(C23,모델촬영리스트!$C:$E,3,)),"",(VLOOKUP(C23,모델촬영리스트!$C:$E,3,)))</f>
        <v/>
      </c>
      <c r="O23" s="23" t="str">
        <f>IF(ISERROR(VLOOKUP(C23,배너촬영리스트!$C:$E,3,)),"",(VLOOKUP(C23,배너촬영리스트!$C:$E,3,)))</f>
        <v/>
      </c>
      <c r="P23" s="36" t="str">
        <f>IF(ISERROR(VLOOKUP(C23,배너촬영리스트!$C:$E,2,)),"",(VLOOKUP(C23,배너촬영리스트!$C:$E,2,)))</f>
        <v/>
      </c>
    </row>
    <row r="24" spans="2:16">
      <c r="B24" s="20" t="str">
        <f t="shared" si="0"/>
        <v>RM</v>
      </c>
      <c r="C24" s="11" t="s">
        <v>131</v>
      </c>
      <c r="D24" s="12" t="e">
        <f>VLOOKUP(C24,#REF!,2,0)</f>
        <v>#REF!</v>
      </c>
      <c r="E24" s="10" t="e">
        <f>VLOOKUP(C24,#REF!,4,0)</f>
        <v>#REF!</v>
      </c>
      <c r="F24" s="37" t="e">
        <f>VLOOKUP(C24,#REF!,8,0)</f>
        <v>#REF!</v>
      </c>
      <c r="G24" s="22" t="str">
        <f>IF(ISERROR(IF(VLOOKUP(C24,#REF!,2,0)&gt;0,"등록","")),"",(IF(VLOOKUP(C24,#REF!,2,0)&gt;0,"등록","")))</f>
        <v/>
      </c>
      <c r="H24" s="33" t="str">
        <f t="array" aca="1" ref="H24" ca="1">IF(ISERROR(OFFSET(#REF!,SMALL(IF(#REF!=RM시즌체크판!C24,ROW(#REF!)-20),1),)),"",(OFFSET(#REF!,SMALL(IF(#REF!=RM시즌체크판!C24,ROW(#REF!)-20),1),)))</f>
        <v/>
      </c>
      <c r="I24" s="34" t="str">
        <f t="array" aca="1" ref="I24" ca="1">IF(ISERROR(OFFSET(#REF!,SMALL(IF(#REF!=RM시즌체크판!C24,ROW(#REF!)-20),2),)),"",(OFFSET(#REF!,SMALL(IF(#REF!=RM시즌체크판!C24,ROW(#REF!)-20),2),)))</f>
        <v/>
      </c>
      <c r="J24" s="34" t="str">
        <f t="array" aca="1" ref="J24" ca="1">IF(ISERROR(OFFSET(#REF!,SMALL(IF(#REF!=RM시즌체크판!C24,ROW(#REF!)-20),3),)),"",(OFFSET(#REF!,SMALL(IF(#REF!=RM시즌체크판!C24,ROW(#REF!)-20),3),)))</f>
        <v/>
      </c>
      <c r="K24" s="34" t="str">
        <f t="array" aca="1" ref="K24" ca="1">IF(ISERROR(OFFSET(#REF!,SMALL(IF(#REF!=RM시즌체크판!C24,ROW(#REF!)-20),4),)),"",(OFFSET(#REF!,SMALL(IF(#REF!=RM시즌체크판!C24,ROW(#REF!)-20),4),)))</f>
        <v/>
      </c>
      <c r="L24" s="34" t="str">
        <f t="array" aca="1" ref="L24" ca="1">IF(ISERROR(OFFSET(#REF!,SMALL(IF(#REF!=RM시즌체크판!C24,ROW(#REF!)-20),5),)),"",(OFFSET(#REF!,SMALL(IF(#REF!=RM시즌체크판!C24,ROW(#REF!)-20),5),)))</f>
        <v/>
      </c>
      <c r="M24" s="35" t="str">
        <f t="array" aca="1" ref="M24" ca="1">IF(ISERROR(OFFSET(#REF!,SMALL(IF(#REF!=RM시즌체크판!C24,ROW(#REF!)-20),6),)),"",(OFFSET(#REF!,SMALL(IF(#REF!=RM시즌체크판!C24,ROW(#REF!)-20),6),)))</f>
        <v/>
      </c>
      <c r="N24" s="27" t="str">
        <f>IF(ISERROR(VLOOKUP(C24,모델촬영리스트!$C:$E,3,)),"",(VLOOKUP(C24,모델촬영리스트!$C:$E,3,)))</f>
        <v/>
      </c>
      <c r="O24" s="23" t="str">
        <f>IF(ISERROR(VLOOKUP(C24,배너촬영리스트!$C:$E,3,)),"",(VLOOKUP(C24,배너촬영리스트!$C:$E,3,)))</f>
        <v/>
      </c>
      <c r="P24" s="36" t="str">
        <f>IF(ISERROR(VLOOKUP(C24,배너촬영리스트!$C:$E,2,)),"",(VLOOKUP(C24,배너촬영리스트!$C:$E,2,)))</f>
        <v/>
      </c>
    </row>
    <row r="25" spans="2:16">
      <c r="B25" s="20" t="str">
        <f t="shared" si="0"/>
        <v>RM</v>
      </c>
      <c r="C25" s="11" t="s">
        <v>132</v>
      </c>
      <c r="D25" s="12" t="e">
        <f>VLOOKUP(C25,#REF!,2,0)</f>
        <v>#REF!</v>
      </c>
      <c r="E25" s="10" t="e">
        <f>VLOOKUP(C25,#REF!,4,0)</f>
        <v>#REF!</v>
      </c>
      <c r="F25" s="37" t="e">
        <f>VLOOKUP(C25,#REF!,8,0)</f>
        <v>#REF!</v>
      </c>
      <c r="G25" s="22" t="str">
        <f>IF(ISERROR(IF(VLOOKUP(C25,#REF!,2,0)&gt;0,"등록","")),"",(IF(VLOOKUP(C25,#REF!,2,0)&gt;0,"등록","")))</f>
        <v/>
      </c>
      <c r="H25" s="33" t="str">
        <f t="array" aca="1" ref="H25" ca="1">IF(ISERROR(OFFSET(#REF!,SMALL(IF(#REF!=RM시즌체크판!C25,ROW(#REF!)-20),1),)),"",(OFFSET(#REF!,SMALL(IF(#REF!=RM시즌체크판!C25,ROW(#REF!)-20),1),)))</f>
        <v/>
      </c>
      <c r="I25" s="34" t="str">
        <f t="array" aca="1" ref="I25" ca="1">IF(ISERROR(OFFSET(#REF!,SMALL(IF(#REF!=RM시즌체크판!C25,ROW(#REF!)-20),2),)),"",(OFFSET(#REF!,SMALL(IF(#REF!=RM시즌체크판!C25,ROW(#REF!)-20),2),)))</f>
        <v/>
      </c>
      <c r="J25" s="34" t="str">
        <f t="array" aca="1" ref="J25" ca="1">IF(ISERROR(OFFSET(#REF!,SMALL(IF(#REF!=RM시즌체크판!C25,ROW(#REF!)-20),3),)),"",(OFFSET(#REF!,SMALL(IF(#REF!=RM시즌체크판!C25,ROW(#REF!)-20),3),)))</f>
        <v/>
      </c>
      <c r="K25" s="34" t="str">
        <f t="array" aca="1" ref="K25" ca="1">IF(ISERROR(OFFSET(#REF!,SMALL(IF(#REF!=RM시즌체크판!C25,ROW(#REF!)-20),4),)),"",(OFFSET(#REF!,SMALL(IF(#REF!=RM시즌체크판!C25,ROW(#REF!)-20),4),)))</f>
        <v/>
      </c>
      <c r="L25" s="34" t="str">
        <f t="array" aca="1" ref="L25" ca="1">IF(ISERROR(OFFSET(#REF!,SMALL(IF(#REF!=RM시즌체크판!C25,ROW(#REF!)-20),5),)),"",(OFFSET(#REF!,SMALL(IF(#REF!=RM시즌체크판!C25,ROW(#REF!)-20),5),)))</f>
        <v/>
      </c>
      <c r="M25" s="35" t="str">
        <f t="array" aca="1" ref="M25" ca="1">IF(ISERROR(OFFSET(#REF!,SMALL(IF(#REF!=RM시즌체크판!C25,ROW(#REF!)-20),6),)),"",(OFFSET(#REF!,SMALL(IF(#REF!=RM시즌체크판!C25,ROW(#REF!)-20),6),)))</f>
        <v/>
      </c>
      <c r="N25" s="27" t="str">
        <f>IF(ISERROR(VLOOKUP(C25,모델촬영리스트!$C:$E,3,)),"",(VLOOKUP(C25,모델촬영리스트!$C:$E,3,)))</f>
        <v/>
      </c>
      <c r="O25" s="23" t="str">
        <f>IF(ISERROR(VLOOKUP(C25,배너촬영리스트!$C:$E,3,)),"",(VLOOKUP(C25,배너촬영리스트!$C:$E,3,)))</f>
        <v/>
      </c>
      <c r="P25" s="36" t="str">
        <f>IF(ISERROR(VLOOKUP(C25,배너촬영리스트!$C:$E,2,)),"",(VLOOKUP(C25,배너촬영리스트!$C:$E,2,)))</f>
        <v/>
      </c>
    </row>
    <row r="26" spans="2:16">
      <c r="B26" s="20" t="str">
        <f t="shared" si="0"/>
        <v>RM</v>
      </c>
      <c r="C26" s="11" t="s">
        <v>133</v>
      </c>
      <c r="D26" s="12" t="e">
        <f>VLOOKUP(C26,#REF!,2,0)</f>
        <v>#REF!</v>
      </c>
      <c r="E26" s="10" t="e">
        <f>VLOOKUP(C26,#REF!,4,0)</f>
        <v>#REF!</v>
      </c>
      <c r="F26" s="37" t="e">
        <f>VLOOKUP(C26,#REF!,8,0)</f>
        <v>#REF!</v>
      </c>
      <c r="G26" s="22" t="str">
        <f>IF(ISERROR(IF(VLOOKUP(C26,#REF!,2,0)&gt;0,"등록","")),"",(IF(VLOOKUP(C26,#REF!,2,0)&gt;0,"등록","")))</f>
        <v/>
      </c>
      <c r="H26" s="33" t="str">
        <f t="array" aca="1" ref="H26" ca="1">IF(ISERROR(OFFSET(#REF!,SMALL(IF(#REF!=RM시즌체크판!C26,ROW(#REF!)-20),1),)),"",(OFFSET(#REF!,SMALL(IF(#REF!=RM시즌체크판!C26,ROW(#REF!)-20),1),)))</f>
        <v/>
      </c>
      <c r="I26" s="34" t="str">
        <f t="array" aca="1" ref="I26" ca="1">IF(ISERROR(OFFSET(#REF!,SMALL(IF(#REF!=RM시즌체크판!C26,ROW(#REF!)-20),2),)),"",(OFFSET(#REF!,SMALL(IF(#REF!=RM시즌체크판!C26,ROW(#REF!)-20),2),)))</f>
        <v/>
      </c>
      <c r="J26" s="34" t="str">
        <f t="array" aca="1" ref="J26" ca="1">IF(ISERROR(OFFSET(#REF!,SMALL(IF(#REF!=RM시즌체크판!C26,ROW(#REF!)-20),3),)),"",(OFFSET(#REF!,SMALL(IF(#REF!=RM시즌체크판!C26,ROW(#REF!)-20),3),)))</f>
        <v/>
      </c>
      <c r="K26" s="34" t="str">
        <f t="array" aca="1" ref="K26" ca="1">IF(ISERROR(OFFSET(#REF!,SMALL(IF(#REF!=RM시즌체크판!C26,ROW(#REF!)-20),4),)),"",(OFFSET(#REF!,SMALL(IF(#REF!=RM시즌체크판!C26,ROW(#REF!)-20),4),)))</f>
        <v/>
      </c>
      <c r="L26" s="34" t="str">
        <f t="array" aca="1" ref="L26" ca="1">IF(ISERROR(OFFSET(#REF!,SMALL(IF(#REF!=RM시즌체크판!C26,ROW(#REF!)-20),5),)),"",(OFFSET(#REF!,SMALL(IF(#REF!=RM시즌체크판!C26,ROW(#REF!)-20),5),)))</f>
        <v/>
      </c>
      <c r="M26" s="35" t="str">
        <f t="array" aca="1" ref="M26" ca="1">IF(ISERROR(OFFSET(#REF!,SMALL(IF(#REF!=RM시즌체크판!C26,ROW(#REF!)-20),6),)),"",(OFFSET(#REF!,SMALL(IF(#REF!=RM시즌체크판!C26,ROW(#REF!)-20),6),)))</f>
        <v/>
      </c>
      <c r="N26" s="27" t="str">
        <f>IF(ISERROR(VLOOKUP(C26,모델촬영리스트!$C:$E,3,)),"",(VLOOKUP(C26,모델촬영리스트!$C:$E,3,)))</f>
        <v/>
      </c>
      <c r="O26" s="23" t="str">
        <f>IF(ISERROR(VLOOKUP(C26,배너촬영리스트!$C:$E,3,)),"",(VLOOKUP(C26,배너촬영리스트!$C:$E,3,)))</f>
        <v/>
      </c>
      <c r="P26" s="36" t="str">
        <f>IF(ISERROR(VLOOKUP(C26,배너촬영리스트!$C:$E,2,)),"",(VLOOKUP(C26,배너촬영리스트!$C:$E,2,)))</f>
        <v/>
      </c>
    </row>
    <row r="27" spans="2:16">
      <c r="B27" s="20" t="str">
        <f t="shared" si="0"/>
        <v>RM</v>
      </c>
      <c r="C27" s="11" t="s">
        <v>134</v>
      </c>
      <c r="D27" s="12" t="e">
        <f>VLOOKUP(C27,#REF!,2,0)</f>
        <v>#REF!</v>
      </c>
      <c r="E27" s="10" t="e">
        <f>VLOOKUP(C27,#REF!,4,0)</f>
        <v>#REF!</v>
      </c>
      <c r="F27" s="37" t="e">
        <f>VLOOKUP(C27,#REF!,8,0)</f>
        <v>#REF!</v>
      </c>
      <c r="G27" s="22" t="str">
        <f>IF(ISERROR(IF(VLOOKUP(C27,#REF!,2,0)&gt;0,"등록","")),"",(IF(VLOOKUP(C27,#REF!,2,0)&gt;0,"등록","")))</f>
        <v/>
      </c>
      <c r="H27" s="33" t="str">
        <f t="array" aca="1" ref="H27" ca="1">IF(ISERROR(OFFSET(#REF!,SMALL(IF(#REF!=RM시즌체크판!C27,ROW(#REF!)-20),1),)),"",(OFFSET(#REF!,SMALL(IF(#REF!=RM시즌체크판!C27,ROW(#REF!)-20),1),)))</f>
        <v/>
      </c>
      <c r="I27" s="34" t="str">
        <f t="array" aca="1" ref="I27" ca="1">IF(ISERROR(OFFSET(#REF!,SMALL(IF(#REF!=RM시즌체크판!C27,ROW(#REF!)-20),2),)),"",(OFFSET(#REF!,SMALL(IF(#REF!=RM시즌체크판!C27,ROW(#REF!)-20),2),)))</f>
        <v/>
      </c>
      <c r="J27" s="34" t="str">
        <f t="array" aca="1" ref="J27" ca="1">IF(ISERROR(OFFSET(#REF!,SMALL(IF(#REF!=RM시즌체크판!C27,ROW(#REF!)-20),3),)),"",(OFFSET(#REF!,SMALL(IF(#REF!=RM시즌체크판!C27,ROW(#REF!)-20),3),)))</f>
        <v/>
      </c>
      <c r="K27" s="34" t="str">
        <f t="array" aca="1" ref="K27" ca="1">IF(ISERROR(OFFSET(#REF!,SMALL(IF(#REF!=RM시즌체크판!C27,ROW(#REF!)-20),4),)),"",(OFFSET(#REF!,SMALL(IF(#REF!=RM시즌체크판!C27,ROW(#REF!)-20),4),)))</f>
        <v/>
      </c>
      <c r="L27" s="34" t="str">
        <f t="array" aca="1" ref="L27" ca="1">IF(ISERROR(OFFSET(#REF!,SMALL(IF(#REF!=RM시즌체크판!C27,ROW(#REF!)-20),5),)),"",(OFFSET(#REF!,SMALL(IF(#REF!=RM시즌체크판!C27,ROW(#REF!)-20),5),)))</f>
        <v/>
      </c>
      <c r="M27" s="35" t="str">
        <f t="array" aca="1" ref="M27" ca="1">IF(ISERROR(OFFSET(#REF!,SMALL(IF(#REF!=RM시즌체크판!C27,ROW(#REF!)-20),6),)),"",(OFFSET(#REF!,SMALL(IF(#REF!=RM시즌체크판!C27,ROW(#REF!)-20),6),)))</f>
        <v/>
      </c>
      <c r="N27" s="27" t="str">
        <f>IF(ISERROR(VLOOKUP(C27,모델촬영리스트!$C:$E,3,)),"",(VLOOKUP(C27,모델촬영리스트!$C:$E,3,)))</f>
        <v/>
      </c>
      <c r="O27" s="23" t="str">
        <f>IF(ISERROR(VLOOKUP(C27,배너촬영리스트!$C:$E,3,)),"",(VLOOKUP(C27,배너촬영리스트!$C:$E,3,)))</f>
        <v/>
      </c>
      <c r="P27" s="36" t="str">
        <f>IF(ISERROR(VLOOKUP(C27,배너촬영리스트!$C:$E,2,)),"",(VLOOKUP(C27,배너촬영리스트!$C:$E,2,)))</f>
        <v/>
      </c>
    </row>
    <row r="28" spans="2:16">
      <c r="B28" s="20" t="str">
        <f t="shared" si="0"/>
        <v>RM</v>
      </c>
      <c r="C28" s="11" t="s">
        <v>135</v>
      </c>
      <c r="D28" s="12" t="e">
        <f>VLOOKUP(C28,#REF!,2,0)</f>
        <v>#REF!</v>
      </c>
      <c r="E28" s="10" t="e">
        <f>VLOOKUP(C28,#REF!,4,0)</f>
        <v>#REF!</v>
      </c>
      <c r="F28" s="37" t="e">
        <f>VLOOKUP(C28,#REF!,8,0)</f>
        <v>#REF!</v>
      </c>
      <c r="G28" s="22" t="str">
        <f>IF(ISERROR(IF(VLOOKUP(C28,#REF!,2,0)&gt;0,"등록","")),"",(IF(VLOOKUP(C28,#REF!,2,0)&gt;0,"등록","")))</f>
        <v/>
      </c>
      <c r="H28" s="33" t="str">
        <f t="array" aca="1" ref="H28" ca="1">IF(ISERROR(OFFSET(#REF!,SMALL(IF(#REF!=RM시즌체크판!C28,ROW(#REF!)-20),1),)),"",(OFFSET(#REF!,SMALL(IF(#REF!=RM시즌체크판!C28,ROW(#REF!)-20),1),)))</f>
        <v/>
      </c>
      <c r="I28" s="34" t="str">
        <f t="array" aca="1" ref="I28" ca="1">IF(ISERROR(OFFSET(#REF!,SMALL(IF(#REF!=RM시즌체크판!C28,ROW(#REF!)-20),2),)),"",(OFFSET(#REF!,SMALL(IF(#REF!=RM시즌체크판!C28,ROW(#REF!)-20),2),)))</f>
        <v/>
      </c>
      <c r="J28" s="34" t="str">
        <f t="array" aca="1" ref="J28" ca="1">IF(ISERROR(OFFSET(#REF!,SMALL(IF(#REF!=RM시즌체크판!C28,ROW(#REF!)-20),3),)),"",(OFFSET(#REF!,SMALL(IF(#REF!=RM시즌체크판!C28,ROW(#REF!)-20),3),)))</f>
        <v/>
      </c>
      <c r="K28" s="34" t="str">
        <f t="array" aca="1" ref="K28" ca="1">IF(ISERROR(OFFSET(#REF!,SMALL(IF(#REF!=RM시즌체크판!C28,ROW(#REF!)-20),4),)),"",(OFFSET(#REF!,SMALL(IF(#REF!=RM시즌체크판!C28,ROW(#REF!)-20),4),)))</f>
        <v/>
      </c>
      <c r="L28" s="34" t="str">
        <f t="array" aca="1" ref="L28" ca="1">IF(ISERROR(OFFSET(#REF!,SMALL(IF(#REF!=RM시즌체크판!C28,ROW(#REF!)-20),5),)),"",(OFFSET(#REF!,SMALL(IF(#REF!=RM시즌체크판!C28,ROW(#REF!)-20),5),)))</f>
        <v/>
      </c>
      <c r="M28" s="35" t="str">
        <f t="array" aca="1" ref="M28" ca="1">IF(ISERROR(OFFSET(#REF!,SMALL(IF(#REF!=RM시즌체크판!C28,ROW(#REF!)-20),6),)),"",(OFFSET(#REF!,SMALL(IF(#REF!=RM시즌체크판!C28,ROW(#REF!)-20),6),)))</f>
        <v/>
      </c>
      <c r="N28" s="27" t="str">
        <f>IF(ISERROR(VLOOKUP(C28,모델촬영리스트!$C:$E,3,)),"",(VLOOKUP(C28,모델촬영리스트!$C:$E,3,)))</f>
        <v/>
      </c>
      <c r="O28" s="23" t="str">
        <f>IF(ISERROR(VLOOKUP(C28,배너촬영리스트!$C:$E,3,)),"",(VLOOKUP(C28,배너촬영리스트!$C:$E,3,)))</f>
        <v/>
      </c>
      <c r="P28" s="36" t="str">
        <f>IF(ISERROR(VLOOKUP(C28,배너촬영리스트!$C:$E,2,)),"",(VLOOKUP(C28,배너촬영리스트!$C:$E,2,)))</f>
        <v/>
      </c>
    </row>
    <row r="29" spans="2:16">
      <c r="B29" s="20" t="str">
        <f t="shared" si="0"/>
        <v>RM</v>
      </c>
      <c r="C29" s="11" t="s">
        <v>136</v>
      </c>
      <c r="D29" s="12" t="e">
        <f>VLOOKUP(C29,#REF!,2,0)</f>
        <v>#REF!</v>
      </c>
      <c r="E29" s="10" t="e">
        <f>VLOOKUP(C29,#REF!,4,0)</f>
        <v>#REF!</v>
      </c>
      <c r="F29" s="37" t="e">
        <f>VLOOKUP(C29,#REF!,8,0)</f>
        <v>#REF!</v>
      </c>
      <c r="G29" s="22" t="str">
        <f>IF(ISERROR(IF(VLOOKUP(C29,#REF!,2,0)&gt;0,"등록","")),"",(IF(VLOOKUP(C29,#REF!,2,0)&gt;0,"등록","")))</f>
        <v/>
      </c>
      <c r="H29" s="33" t="str">
        <f t="array" aca="1" ref="H29" ca="1">IF(ISERROR(OFFSET(#REF!,SMALL(IF(#REF!=RM시즌체크판!C29,ROW(#REF!)-20),1),)),"",(OFFSET(#REF!,SMALL(IF(#REF!=RM시즌체크판!C29,ROW(#REF!)-20),1),)))</f>
        <v/>
      </c>
      <c r="I29" s="34" t="str">
        <f t="array" aca="1" ref="I29" ca="1">IF(ISERROR(OFFSET(#REF!,SMALL(IF(#REF!=RM시즌체크판!C29,ROW(#REF!)-20),2),)),"",(OFFSET(#REF!,SMALL(IF(#REF!=RM시즌체크판!C29,ROW(#REF!)-20),2),)))</f>
        <v/>
      </c>
      <c r="J29" s="34" t="str">
        <f t="array" aca="1" ref="J29" ca="1">IF(ISERROR(OFFSET(#REF!,SMALL(IF(#REF!=RM시즌체크판!C29,ROW(#REF!)-20),3),)),"",(OFFSET(#REF!,SMALL(IF(#REF!=RM시즌체크판!C29,ROW(#REF!)-20),3),)))</f>
        <v/>
      </c>
      <c r="K29" s="34" t="str">
        <f t="array" aca="1" ref="K29" ca="1">IF(ISERROR(OFFSET(#REF!,SMALL(IF(#REF!=RM시즌체크판!C29,ROW(#REF!)-20),4),)),"",(OFFSET(#REF!,SMALL(IF(#REF!=RM시즌체크판!C29,ROW(#REF!)-20),4),)))</f>
        <v/>
      </c>
      <c r="L29" s="34" t="str">
        <f t="array" aca="1" ref="L29" ca="1">IF(ISERROR(OFFSET(#REF!,SMALL(IF(#REF!=RM시즌체크판!C29,ROW(#REF!)-20),5),)),"",(OFFSET(#REF!,SMALL(IF(#REF!=RM시즌체크판!C29,ROW(#REF!)-20),5),)))</f>
        <v/>
      </c>
      <c r="M29" s="35" t="str">
        <f t="array" aca="1" ref="M29" ca="1">IF(ISERROR(OFFSET(#REF!,SMALL(IF(#REF!=RM시즌체크판!C29,ROW(#REF!)-20),6),)),"",(OFFSET(#REF!,SMALL(IF(#REF!=RM시즌체크판!C29,ROW(#REF!)-20),6),)))</f>
        <v/>
      </c>
      <c r="N29" s="27" t="str">
        <f>IF(ISERROR(VLOOKUP(C29,모델촬영리스트!$C:$E,3,)),"",(VLOOKUP(C29,모델촬영리스트!$C:$E,3,)))</f>
        <v/>
      </c>
      <c r="O29" s="23" t="str">
        <f>IF(ISERROR(VLOOKUP(C29,배너촬영리스트!$C:$E,3,)),"",(VLOOKUP(C29,배너촬영리스트!$C:$E,3,)))</f>
        <v/>
      </c>
      <c r="P29" s="36" t="str">
        <f>IF(ISERROR(VLOOKUP(C29,배너촬영리스트!$C:$E,2,)),"",(VLOOKUP(C29,배너촬영리스트!$C:$E,2,)))</f>
        <v/>
      </c>
    </row>
    <row r="30" spans="2:16">
      <c r="B30" s="20" t="str">
        <f t="shared" si="0"/>
        <v>RM</v>
      </c>
      <c r="C30" s="11" t="s">
        <v>137</v>
      </c>
      <c r="D30" s="12" t="e">
        <f>VLOOKUP(C30,#REF!,2,0)</f>
        <v>#REF!</v>
      </c>
      <c r="E30" s="10" t="e">
        <f>VLOOKUP(C30,#REF!,4,0)</f>
        <v>#REF!</v>
      </c>
      <c r="F30" s="37" t="e">
        <f>VLOOKUP(C30,#REF!,8,0)</f>
        <v>#REF!</v>
      </c>
      <c r="G30" s="22" t="str">
        <f>IF(ISERROR(IF(VLOOKUP(C30,#REF!,2,0)&gt;0,"등록","")),"",(IF(VLOOKUP(C30,#REF!,2,0)&gt;0,"등록","")))</f>
        <v/>
      </c>
      <c r="H30" s="33" t="str">
        <f t="array" aca="1" ref="H30" ca="1">IF(ISERROR(OFFSET(#REF!,SMALL(IF(#REF!=RM시즌체크판!C30,ROW(#REF!)-20),1),)),"",(OFFSET(#REF!,SMALL(IF(#REF!=RM시즌체크판!C30,ROW(#REF!)-20),1),)))</f>
        <v/>
      </c>
      <c r="I30" s="34" t="str">
        <f t="array" aca="1" ref="I30" ca="1">IF(ISERROR(OFFSET(#REF!,SMALL(IF(#REF!=RM시즌체크판!C30,ROW(#REF!)-20),2),)),"",(OFFSET(#REF!,SMALL(IF(#REF!=RM시즌체크판!C30,ROW(#REF!)-20),2),)))</f>
        <v/>
      </c>
      <c r="J30" s="34" t="str">
        <f t="array" aca="1" ref="J30" ca="1">IF(ISERROR(OFFSET(#REF!,SMALL(IF(#REF!=RM시즌체크판!C30,ROW(#REF!)-20),3),)),"",(OFFSET(#REF!,SMALL(IF(#REF!=RM시즌체크판!C30,ROW(#REF!)-20),3),)))</f>
        <v/>
      </c>
      <c r="K30" s="34" t="str">
        <f t="array" aca="1" ref="K30" ca="1">IF(ISERROR(OFFSET(#REF!,SMALL(IF(#REF!=RM시즌체크판!C30,ROW(#REF!)-20),4),)),"",(OFFSET(#REF!,SMALL(IF(#REF!=RM시즌체크판!C30,ROW(#REF!)-20),4),)))</f>
        <v/>
      </c>
      <c r="L30" s="34" t="str">
        <f t="array" aca="1" ref="L30" ca="1">IF(ISERROR(OFFSET(#REF!,SMALL(IF(#REF!=RM시즌체크판!C30,ROW(#REF!)-20),5),)),"",(OFFSET(#REF!,SMALL(IF(#REF!=RM시즌체크판!C30,ROW(#REF!)-20),5),)))</f>
        <v/>
      </c>
      <c r="M30" s="35" t="str">
        <f t="array" aca="1" ref="M30" ca="1">IF(ISERROR(OFFSET(#REF!,SMALL(IF(#REF!=RM시즌체크판!C30,ROW(#REF!)-20),6),)),"",(OFFSET(#REF!,SMALL(IF(#REF!=RM시즌체크판!C30,ROW(#REF!)-20),6),)))</f>
        <v/>
      </c>
      <c r="N30" s="27" t="str">
        <f>IF(ISERROR(VLOOKUP(C30,모델촬영리스트!$C:$E,3,)),"",(VLOOKUP(C30,모델촬영리스트!$C:$E,3,)))</f>
        <v/>
      </c>
      <c r="O30" s="23" t="str">
        <f>IF(ISERROR(VLOOKUP(C30,배너촬영리스트!$C:$E,3,)),"",(VLOOKUP(C30,배너촬영리스트!$C:$E,3,)))</f>
        <v/>
      </c>
      <c r="P30" s="36" t="str">
        <f>IF(ISERROR(VLOOKUP(C30,배너촬영리스트!$C:$E,2,)),"",(VLOOKUP(C30,배너촬영리스트!$C:$E,2,)))</f>
        <v/>
      </c>
    </row>
    <row r="31" spans="2:16">
      <c r="B31" s="20" t="str">
        <f t="shared" si="0"/>
        <v>RM</v>
      </c>
      <c r="C31" s="11" t="s">
        <v>138</v>
      </c>
      <c r="D31" s="12" t="e">
        <f>VLOOKUP(C31,#REF!,2,0)</f>
        <v>#REF!</v>
      </c>
      <c r="E31" s="10" t="e">
        <f>VLOOKUP(C31,#REF!,4,0)</f>
        <v>#REF!</v>
      </c>
      <c r="F31" s="37" t="e">
        <f>VLOOKUP(C31,#REF!,8,0)</f>
        <v>#REF!</v>
      </c>
      <c r="G31" s="22" t="str">
        <f>IF(ISERROR(IF(VLOOKUP(C31,#REF!,2,0)&gt;0,"등록","")),"",(IF(VLOOKUP(C31,#REF!,2,0)&gt;0,"등록","")))</f>
        <v/>
      </c>
      <c r="H31" s="33" t="str">
        <f t="array" aca="1" ref="H31" ca="1">IF(ISERROR(OFFSET(#REF!,SMALL(IF(#REF!=RM시즌체크판!C31,ROW(#REF!)-20),1),)),"",(OFFSET(#REF!,SMALL(IF(#REF!=RM시즌체크판!C31,ROW(#REF!)-20),1),)))</f>
        <v/>
      </c>
      <c r="I31" s="34" t="str">
        <f t="array" aca="1" ref="I31" ca="1">IF(ISERROR(OFFSET(#REF!,SMALL(IF(#REF!=RM시즌체크판!C31,ROW(#REF!)-20),2),)),"",(OFFSET(#REF!,SMALL(IF(#REF!=RM시즌체크판!C31,ROW(#REF!)-20),2),)))</f>
        <v/>
      </c>
      <c r="J31" s="34" t="str">
        <f t="array" aca="1" ref="J31" ca="1">IF(ISERROR(OFFSET(#REF!,SMALL(IF(#REF!=RM시즌체크판!C31,ROW(#REF!)-20),3),)),"",(OFFSET(#REF!,SMALL(IF(#REF!=RM시즌체크판!C31,ROW(#REF!)-20),3),)))</f>
        <v/>
      </c>
      <c r="K31" s="34" t="str">
        <f t="array" aca="1" ref="K31" ca="1">IF(ISERROR(OFFSET(#REF!,SMALL(IF(#REF!=RM시즌체크판!C31,ROW(#REF!)-20),4),)),"",(OFFSET(#REF!,SMALL(IF(#REF!=RM시즌체크판!C31,ROW(#REF!)-20),4),)))</f>
        <v/>
      </c>
      <c r="L31" s="34" t="str">
        <f t="array" aca="1" ref="L31" ca="1">IF(ISERROR(OFFSET(#REF!,SMALL(IF(#REF!=RM시즌체크판!C31,ROW(#REF!)-20),5),)),"",(OFFSET(#REF!,SMALL(IF(#REF!=RM시즌체크판!C31,ROW(#REF!)-20),5),)))</f>
        <v/>
      </c>
      <c r="M31" s="35" t="str">
        <f t="array" aca="1" ref="M31" ca="1">IF(ISERROR(OFFSET(#REF!,SMALL(IF(#REF!=RM시즌체크판!C31,ROW(#REF!)-20),6),)),"",(OFFSET(#REF!,SMALL(IF(#REF!=RM시즌체크판!C31,ROW(#REF!)-20),6),)))</f>
        <v/>
      </c>
      <c r="N31" s="27" t="str">
        <f>IF(ISERROR(VLOOKUP(C31,모델촬영리스트!$C:$E,3,)),"",(VLOOKUP(C31,모델촬영리스트!$C:$E,3,)))</f>
        <v/>
      </c>
      <c r="O31" s="23" t="str">
        <f>IF(ISERROR(VLOOKUP(C31,배너촬영리스트!$C:$E,3,)),"",(VLOOKUP(C31,배너촬영리스트!$C:$E,3,)))</f>
        <v/>
      </c>
      <c r="P31" s="36" t="str">
        <f>IF(ISERROR(VLOOKUP(C31,배너촬영리스트!$C:$E,2,)),"",(VLOOKUP(C31,배너촬영리스트!$C:$E,2,)))</f>
        <v/>
      </c>
    </row>
    <row r="32" spans="2:16">
      <c r="B32" s="20" t="str">
        <f t="shared" si="0"/>
        <v>RM</v>
      </c>
      <c r="C32" s="11" t="s">
        <v>139</v>
      </c>
      <c r="D32" s="12" t="e">
        <f>VLOOKUP(C32,#REF!,2,0)</f>
        <v>#REF!</v>
      </c>
      <c r="E32" s="10" t="e">
        <f>VLOOKUP(C32,#REF!,4,0)</f>
        <v>#REF!</v>
      </c>
      <c r="F32" s="37" t="e">
        <f>VLOOKUP(C32,#REF!,8,0)</f>
        <v>#REF!</v>
      </c>
      <c r="G32" s="22" t="str">
        <f>IF(ISERROR(IF(VLOOKUP(C32,#REF!,2,0)&gt;0,"등록","")),"",(IF(VLOOKUP(C32,#REF!,2,0)&gt;0,"등록","")))</f>
        <v/>
      </c>
      <c r="H32" s="33" t="str">
        <f t="array" aca="1" ref="H32" ca="1">IF(ISERROR(OFFSET(#REF!,SMALL(IF(#REF!=RM시즌체크판!C32,ROW(#REF!)-20),1),)),"",(OFFSET(#REF!,SMALL(IF(#REF!=RM시즌체크판!C32,ROW(#REF!)-20),1),)))</f>
        <v/>
      </c>
      <c r="I32" s="34" t="str">
        <f t="array" aca="1" ref="I32" ca="1">IF(ISERROR(OFFSET(#REF!,SMALL(IF(#REF!=RM시즌체크판!C32,ROW(#REF!)-20),2),)),"",(OFFSET(#REF!,SMALL(IF(#REF!=RM시즌체크판!C32,ROW(#REF!)-20),2),)))</f>
        <v/>
      </c>
      <c r="J32" s="34" t="str">
        <f t="array" aca="1" ref="J32" ca="1">IF(ISERROR(OFFSET(#REF!,SMALL(IF(#REF!=RM시즌체크판!C32,ROW(#REF!)-20),3),)),"",(OFFSET(#REF!,SMALL(IF(#REF!=RM시즌체크판!C32,ROW(#REF!)-20),3),)))</f>
        <v/>
      </c>
      <c r="K32" s="34" t="str">
        <f t="array" aca="1" ref="K32" ca="1">IF(ISERROR(OFFSET(#REF!,SMALL(IF(#REF!=RM시즌체크판!C32,ROW(#REF!)-20),4),)),"",(OFFSET(#REF!,SMALL(IF(#REF!=RM시즌체크판!C32,ROW(#REF!)-20),4),)))</f>
        <v/>
      </c>
      <c r="L32" s="34" t="str">
        <f t="array" aca="1" ref="L32" ca="1">IF(ISERROR(OFFSET(#REF!,SMALL(IF(#REF!=RM시즌체크판!C32,ROW(#REF!)-20),5),)),"",(OFFSET(#REF!,SMALL(IF(#REF!=RM시즌체크판!C32,ROW(#REF!)-20),5),)))</f>
        <v/>
      </c>
      <c r="M32" s="35" t="str">
        <f t="array" aca="1" ref="M32" ca="1">IF(ISERROR(OFFSET(#REF!,SMALL(IF(#REF!=RM시즌체크판!C32,ROW(#REF!)-20),6),)),"",(OFFSET(#REF!,SMALL(IF(#REF!=RM시즌체크판!C32,ROW(#REF!)-20),6),)))</f>
        <v/>
      </c>
      <c r="N32" s="27" t="str">
        <f>IF(ISERROR(VLOOKUP(C32,모델촬영리스트!$C:$E,3,)),"",(VLOOKUP(C32,모델촬영리스트!$C:$E,3,)))</f>
        <v/>
      </c>
      <c r="O32" s="23" t="str">
        <f>IF(ISERROR(VLOOKUP(C32,배너촬영리스트!$C:$E,3,)),"",(VLOOKUP(C32,배너촬영리스트!$C:$E,3,)))</f>
        <v/>
      </c>
      <c r="P32" s="36" t="str">
        <f>IF(ISERROR(VLOOKUP(C32,배너촬영리스트!$C:$E,2,)),"",(VLOOKUP(C32,배너촬영리스트!$C:$E,2,)))</f>
        <v/>
      </c>
    </row>
    <row r="33" spans="2:16">
      <c r="B33" s="20" t="str">
        <f t="shared" si="0"/>
        <v>RM</v>
      </c>
      <c r="C33" s="11" t="s">
        <v>140</v>
      </c>
      <c r="D33" s="12" t="e">
        <f>VLOOKUP(C33,#REF!,2,0)</f>
        <v>#REF!</v>
      </c>
      <c r="E33" s="10" t="e">
        <f>VLOOKUP(C33,#REF!,4,0)</f>
        <v>#REF!</v>
      </c>
      <c r="F33" s="37" t="e">
        <f>VLOOKUP(C33,#REF!,8,0)</f>
        <v>#REF!</v>
      </c>
      <c r="G33" s="22" t="str">
        <f>IF(ISERROR(IF(VLOOKUP(C33,#REF!,2,0)&gt;0,"등록","")),"",(IF(VLOOKUP(C33,#REF!,2,0)&gt;0,"등록","")))</f>
        <v/>
      </c>
      <c r="H33" s="33" t="str">
        <f t="array" aca="1" ref="H33" ca="1">IF(ISERROR(OFFSET(#REF!,SMALL(IF(#REF!=RM시즌체크판!C33,ROW(#REF!)-20),1),)),"",(OFFSET(#REF!,SMALL(IF(#REF!=RM시즌체크판!C33,ROW(#REF!)-20),1),)))</f>
        <v/>
      </c>
      <c r="I33" s="34" t="str">
        <f t="array" aca="1" ref="I33" ca="1">IF(ISERROR(OFFSET(#REF!,SMALL(IF(#REF!=RM시즌체크판!C33,ROW(#REF!)-20),2),)),"",(OFFSET(#REF!,SMALL(IF(#REF!=RM시즌체크판!C33,ROW(#REF!)-20),2),)))</f>
        <v/>
      </c>
      <c r="J33" s="34" t="str">
        <f t="array" aca="1" ref="J33" ca="1">IF(ISERROR(OFFSET(#REF!,SMALL(IF(#REF!=RM시즌체크판!C33,ROW(#REF!)-20),3),)),"",(OFFSET(#REF!,SMALL(IF(#REF!=RM시즌체크판!C33,ROW(#REF!)-20),3),)))</f>
        <v/>
      </c>
      <c r="K33" s="34" t="str">
        <f t="array" aca="1" ref="K33" ca="1">IF(ISERROR(OFFSET(#REF!,SMALL(IF(#REF!=RM시즌체크판!C33,ROW(#REF!)-20),4),)),"",(OFFSET(#REF!,SMALL(IF(#REF!=RM시즌체크판!C33,ROW(#REF!)-20),4),)))</f>
        <v/>
      </c>
      <c r="L33" s="34" t="str">
        <f t="array" aca="1" ref="L33" ca="1">IF(ISERROR(OFFSET(#REF!,SMALL(IF(#REF!=RM시즌체크판!C33,ROW(#REF!)-20),5),)),"",(OFFSET(#REF!,SMALL(IF(#REF!=RM시즌체크판!C33,ROW(#REF!)-20),5),)))</f>
        <v/>
      </c>
      <c r="M33" s="35" t="str">
        <f t="array" aca="1" ref="M33" ca="1">IF(ISERROR(OFFSET(#REF!,SMALL(IF(#REF!=RM시즌체크판!C33,ROW(#REF!)-20),6),)),"",(OFFSET(#REF!,SMALL(IF(#REF!=RM시즌체크판!C33,ROW(#REF!)-20),6),)))</f>
        <v/>
      </c>
      <c r="N33" s="27" t="str">
        <f>IF(ISERROR(VLOOKUP(C33,모델촬영리스트!$C:$E,3,)),"",(VLOOKUP(C33,모델촬영리스트!$C:$E,3,)))</f>
        <v/>
      </c>
      <c r="O33" s="23" t="str">
        <f>IF(ISERROR(VLOOKUP(C33,배너촬영리스트!$C:$E,3,)),"",(VLOOKUP(C33,배너촬영리스트!$C:$E,3,)))</f>
        <v/>
      </c>
      <c r="P33" s="36" t="str">
        <f>IF(ISERROR(VLOOKUP(C33,배너촬영리스트!$C:$E,2,)),"",(VLOOKUP(C33,배너촬영리스트!$C:$E,2,)))</f>
        <v/>
      </c>
    </row>
    <row r="34" spans="2:16">
      <c r="B34" s="20" t="str">
        <f t="shared" si="0"/>
        <v>RM</v>
      </c>
      <c r="C34" s="11" t="s">
        <v>141</v>
      </c>
      <c r="D34" s="12" t="e">
        <f>VLOOKUP(C34,#REF!,2,0)</f>
        <v>#REF!</v>
      </c>
      <c r="E34" s="10" t="e">
        <f>VLOOKUP(C34,#REF!,4,0)</f>
        <v>#REF!</v>
      </c>
      <c r="F34" s="37" t="e">
        <f>VLOOKUP(C34,#REF!,8,0)</f>
        <v>#REF!</v>
      </c>
      <c r="G34" s="22" t="str">
        <f>IF(ISERROR(IF(VLOOKUP(C34,#REF!,2,0)&gt;0,"등록","")),"",(IF(VLOOKUP(C34,#REF!,2,0)&gt;0,"등록","")))</f>
        <v/>
      </c>
      <c r="H34" s="33" t="str">
        <f t="array" aca="1" ref="H34" ca="1">IF(ISERROR(OFFSET(#REF!,SMALL(IF(#REF!=RM시즌체크판!C34,ROW(#REF!)-20),1),)),"",(OFFSET(#REF!,SMALL(IF(#REF!=RM시즌체크판!C34,ROW(#REF!)-20),1),)))</f>
        <v/>
      </c>
      <c r="I34" s="34" t="str">
        <f t="array" aca="1" ref="I34" ca="1">IF(ISERROR(OFFSET(#REF!,SMALL(IF(#REF!=RM시즌체크판!C34,ROW(#REF!)-20),2),)),"",(OFFSET(#REF!,SMALL(IF(#REF!=RM시즌체크판!C34,ROW(#REF!)-20),2),)))</f>
        <v/>
      </c>
      <c r="J34" s="34" t="str">
        <f t="array" aca="1" ref="J34" ca="1">IF(ISERROR(OFFSET(#REF!,SMALL(IF(#REF!=RM시즌체크판!C34,ROW(#REF!)-20),3),)),"",(OFFSET(#REF!,SMALL(IF(#REF!=RM시즌체크판!C34,ROW(#REF!)-20),3),)))</f>
        <v/>
      </c>
      <c r="K34" s="34" t="str">
        <f t="array" aca="1" ref="K34" ca="1">IF(ISERROR(OFFSET(#REF!,SMALL(IF(#REF!=RM시즌체크판!C34,ROW(#REF!)-20),4),)),"",(OFFSET(#REF!,SMALL(IF(#REF!=RM시즌체크판!C34,ROW(#REF!)-20),4),)))</f>
        <v/>
      </c>
      <c r="L34" s="34" t="str">
        <f t="array" aca="1" ref="L34" ca="1">IF(ISERROR(OFFSET(#REF!,SMALL(IF(#REF!=RM시즌체크판!C34,ROW(#REF!)-20),5),)),"",(OFFSET(#REF!,SMALL(IF(#REF!=RM시즌체크판!C34,ROW(#REF!)-20),5),)))</f>
        <v/>
      </c>
      <c r="M34" s="35" t="str">
        <f t="array" aca="1" ref="M34" ca="1">IF(ISERROR(OFFSET(#REF!,SMALL(IF(#REF!=RM시즌체크판!C34,ROW(#REF!)-20),6),)),"",(OFFSET(#REF!,SMALL(IF(#REF!=RM시즌체크판!C34,ROW(#REF!)-20),6),)))</f>
        <v/>
      </c>
      <c r="N34" s="27" t="str">
        <f>IF(ISERROR(VLOOKUP(C34,모델촬영리스트!$C:$E,3,)),"",(VLOOKUP(C34,모델촬영리스트!$C:$E,3,)))</f>
        <v/>
      </c>
      <c r="O34" s="23" t="str">
        <f>IF(ISERROR(VLOOKUP(C34,배너촬영리스트!$C:$E,3,)),"",(VLOOKUP(C34,배너촬영리스트!$C:$E,3,)))</f>
        <v/>
      </c>
      <c r="P34" s="36" t="str">
        <f>IF(ISERROR(VLOOKUP(C34,배너촬영리스트!$C:$E,2,)),"",(VLOOKUP(C34,배너촬영리스트!$C:$E,2,)))</f>
        <v/>
      </c>
    </row>
    <row r="35" spans="2:16">
      <c r="B35" s="20" t="str">
        <f t="shared" si="0"/>
        <v>RM</v>
      </c>
      <c r="C35" s="11" t="s">
        <v>142</v>
      </c>
      <c r="D35" s="12" t="e">
        <f>VLOOKUP(C35,#REF!,2,0)</f>
        <v>#REF!</v>
      </c>
      <c r="E35" s="10" t="e">
        <f>VLOOKUP(C35,#REF!,4,0)</f>
        <v>#REF!</v>
      </c>
      <c r="F35" s="37" t="e">
        <f>VLOOKUP(C35,#REF!,8,0)</f>
        <v>#REF!</v>
      </c>
      <c r="G35" s="22" t="str">
        <f>IF(ISERROR(IF(VLOOKUP(C35,#REF!,2,0)&gt;0,"등록","")),"",(IF(VLOOKUP(C35,#REF!,2,0)&gt;0,"등록","")))</f>
        <v/>
      </c>
      <c r="H35" s="33" t="str">
        <f t="array" aca="1" ref="H35" ca="1">IF(ISERROR(OFFSET(#REF!,SMALL(IF(#REF!=RM시즌체크판!C35,ROW(#REF!)-20),1),)),"",(OFFSET(#REF!,SMALL(IF(#REF!=RM시즌체크판!C35,ROW(#REF!)-20),1),)))</f>
        <v/>
      </c>
      <c r="I35" s="34" t="str">
        <f t="array" aca="1" ref="I35" ca="1">IF(ISERROR(OFFSET(#REF!,SMALL(IF(#REF!=RM시즌체크판!C35,ROW(#REF!)-20),2),)),"",(OFFSET(#REF!,SMALL(IF(#REF!=RM시즌체크판!C35,ROW(#REF!)-20),2),)))</f>
        <v/>
      </c>
      <c r="J35" s="34" t="str">
        <f t="array" aca="1" ref="J35" ca="1">IF(ISERROR(OFFSET(#REF!,SMALL(IF(#REF!=RM시즌체크판!C35,ROW(#REF!)-20),3),)),"",(OFFSET(#REF!,SMALL(IF(#REF!=RM시즌체크판!C35,ROW(#REF!)-20),3),)))</f>
        <v/>
      </c>
      <c r="K35" s="34" t="str">
        <f t="array" aca="1" ref="K35" ca="1">IF(ISERROR(OFFSET(#REF!,SMALL(IF(#REF!=RM시즌체크판!C35,ROW(#REF!)-20),4),)),"",(OFFSET(#REF!,SMALL(IF(#REF!=RM시즌체크판!C35,ROW(#REF!)-20),4),)))</f>
        <v/>
      </c>
      <c r="L35" s="34" t="str">
        <f t="array" aca="1" ref="L35" ca="1">IF(ISERROR(OFFSET(#REF!,SMALL(IF(#REF!=RM시즌체크판!C35,ROW(#REF!)-20),5),)),"",(OFFSET(#REF!,SMALL(IF(#REF!=RM시즌체크판!C35,ROW(#REF!)-20),5),)))</f>
        <v/>
      </c>
      <c r="M35" s="35" t="str">
        <f t="array" aca="1" ref="M35" ca="1">IF(ISERROR(OFFSET(#REF!,SMALL(IF(#REF!=RM시즌체크판!C35,ROW(#REF!)-20),6),)),"",(OFFSET(#REF!,SMALL(IF(#REF!=RM시즌체크판!C35,ROW(#REF!)-20),6),)))</f>
        <v/>
      </c>
      <c r="N35" s="27" t="str">
        <f>IF(ISERROR(VLOOKUP(C35,모델촬영리스트!$C:$E,3,)),"",(VLOOKUP(C35,모델촬영리스트!$C:$E,3,)))</f>
        <v/>
      </c>
      <c r="O35" s="23" t="str">
        <f>IF(ISERROR(VLOOKUP(C35,배너촬영리스트!$C:$E,3,)),"",(VLOOKUP(C35,배너촬영리스트!$C:$E,3,)))</f>
        <v/>
      </c>
      <c r="P35" s="36" t="str">
        <f>IF(ISERROR(VLOOKUP(C35,배너촬영리스트!$C:$E,2,)),"",(VLOOKUP(C35,배너촬영리스트!$C:$E,2,)))</f>
        <v/>
      </c>
    </row>
    <row r="36" spans="2:16">
      <c r="B36" s="20" t="str">
        <f t="shared" si="0"/>
        <v>RM</v>
      </c>
      <c r="C36" s="11" t="s">
        <v>143</v>
      </c>
      <c r="D36" s="12" t="e">
        <f>VLOOKUP(C36,#REF!,2,0)</f>
        <v>#REF!</v>
      </c>
      <c r="E36" s="10" t="e">
        <f>VLOOKUP(C36,#REF!,4,0)</f>
        <v>#REF!</v>
      </c>
      <c r="F36" s="37" t="e">
        <f>VLOOKUP(C36,#REF!,8,0)</f>
        <v>#REF!</v>
      </c>
      <c r="G36" s="22" t="str">
        <f>IF(ISERROR(IF(VLOOKUP(C36,#REF!,2,0)&gt;0,"등록","")),"",(IF(VLOOKUP(C36,#REF!,2,0)&gt;0,"등록","")))</f>
        <v/>
      </c>
      <c r="H36" s="33" t="str">
        <f t="array" aca="1" ref="H36" ca="1">IF(ISERROR(OFFSET(#REF!,SMALL(IF(#REF!=RM시즌체크판!C36,ROW(#REF!)-20),1),)),"",(OFFSET(#REF!,SMALL(IF(#REF!=RM시즌체크판!C36,ROW(#REF!)-20),1),)))</f>
        <v/>
      </c>
      <c r="I36" s="34" t="str">
        <f t="array" aca="1" ref="I36" ca="1">IF(ISERROR(OFFSET(#REF!,SMALL(IF(#REF!=RM시즌체크판!C36,ROW(#REF!)-20),2),)),"",(OFFSET(#REF!,SMALL(IF(#REF!=RM시즌체크판!C36,ROW(#REF!)-20),2),)))</f>
        <v/>
      </c>
      <c r="J36" s="34" t="str">
        <f t="array" aca="1" ref="J36" ca="1">IF(ISERROR(OFFSET(#REF!,SMALL(IF(#REF!=RM시즌체크판!C36,ROW(#REF!)-20),3),)),"",(OFFSET(#REF!,SMALL(IF(#REF!=RM시즌체크판!C36,ROW(#REF!)-20),3),)))</f>
        <v/>
      </c>
      <c r="K36" s="34" t="str">
        <f t="array" aca="1" ref="K36" ca="1">IF(ISERROR(OFFSET(#REF!,SMALL(IF(#REF!=RM시즌체크판!C36,ROW(#REF!)-20),4),)),"",(OFFSET(#REF!,SMALL(IF(#REF!=RM시즌체크판!C36,ROW(#REF!)-20),4),)))</f>
        <v/>
      </c>
      <c r="L36" s="34" t="str">
        <f t="array" aca="1" ref="L36" ca="1">IF(ISERROR(OFFSET(#REF!,SMALL(IF(#REF!=RM시즌체크판!C36,ROW(#REF!)-20),5),)),"",(OFFSET(#REF!,SMALL(IF(#REF!=RM시즌체크판!C36,ROW(#REF!)-20),5),)))</f>
        <v/>
      </c>
      <c r="M36" s="35" t="str">
        <f t="array" aca="1" ref="M36" ca="1">IF(ISERROR(OFFSET(#REF!,SMALL(IF(#REF!=RM시즌체크판!C36,ROW(#REF!)-20),6),)),"",(OFFSET(#REF!,SMALL(IF(#REF!=RM시즌체크판!C36,ROW(#REF!)-20),6),)))</f>
        <v/>
      </c>
      <c r="N36" s="27" t="str">
        <f>IF(ISERROR(VLOOKUP(C36,모델촬영리스트!$C:$E,3,)),"",(VLOOKUP(C36,모델촬영리스트!$C:$E,3,)))</f>
        <v/>
      </c>
      <c r="O36" s="23" t="str">
        <f>IF(ISERROR(VLOOKUP(C36,배너촬영리스트!$C:$E,3,)),"",(VLOOKUP(C36,배너촬영리스트!$C:$E,3,)))</f>
        <v/>
      </c>
      <c r="P36" s="36" t="str">
        <f>IF(ISERROR(VLOOKUP(C36,배너촬영리스트!$C:$E,2,)),"",(VLOOKUP(C36,배너촬영리스트!$C:$E,2,)))</f>
        <v/>
      </c>
    </row>
    <row r="37" spans="2:16">
      <c r="B37" s="20" t="str">
        <f t="shared" si="0"/>
        <v>RM</v>
      </c>
      <c r="C37" s="11" t="s">
        <v>144</v>
      </c>
      <c r="D37" s="12" t="e">
        <f>VLOOKUP(C37,#REF!,2,0)</f>
        <v>#REF!</v>
      </c>
      <c r="E37" s="10" t="e">
        <f>VLOOKUP(C37,#REF!,4,0)</f>
        <v>#REF!</v>
      </c>
      <c r="F37" s="37" t="e">
        <f>VLOOKUP(C37,#REF!,8,0)</f>
        <v>#REF!</v>
      </c>
      <c r="G37" s="22" t="str">
        <f>IF(ISERROR(IF(VLOOKUP(C37,#REF!,2,0)&gt;0,"등록","")),"",(IF(VLOOKUP(C37,#REF!,2,0)&gt;0,"등록","")))</f>
        <v/>
      </c>
      <c r="H37" s="33" t="str">
        <f t="array" aca="1" ref="H37" ca="1">IF(ISERROR(OFFSET(#REF!,SMALL(IF(#REF!=RM시즌체크판!C37,ROW(#REF!)-20),1),)),"",(OFFSET(#REF!,SMALL(IF(#REF!=RM시즌체크판!C37,ROW(#REF!)-20),1),)))</f>
        <v/>
      </c>
      <c r="I37" s="34" t="str">
        <f t="array" aca="1" ref="I37" ca="1">IF(ISERROR(OFFSET(#REF!,SMALL(IF(#REF!=RM시즌체크판!C37,ROW(#REF!)-20),2),)),"",(OFFSET(#REF!,SMALL(IF(#REF!=RM시즌체크판!C37,ROW(#REF!)-20),2),)))</f>
        <v/>
      </c>
      <c r="J37" s="34" t="str">
        <f t="array" aca="1" ref="J37" ca="1">IF(ISERROR(OFFSET(#REF!,SMALL(IF(#REF!=RM시즌체크판!C37,ROW(#REF!)-20),3),)),"",(OFFSET(#REF!,SMALL(IF(#REF!=RM시즌체크판!C37,ROW(#REF!)-20),3),)))</f>
        <v/>
      </c>
      <c r="K37" s="34" t="str">
        <f t="array" aca="1" ref="K37" ca="1">IF(ISERROR(OFFSET(#REF!,SMALL(IF(#REF!=RM시즌체크판!C37,ROW(#REF!)-20),4),)),"",(OFFSET(#REF!,SMALL(IF(#REF!=RM시즌체크판!C37,ROW(#REF!)-20),4),)))</f>
        <v/>
      </c>
      <c r="L37" s="34" t="str">
        <f t="array" aca="1" ref="L37" ca="1">IF(ISERROR(OFFSET(#REF!,SMALL(IF(#REF!=RM시즌체크판!C37,ROW(#REF!)-20),5),)),"",(OFFSET(#REF!,SMALL(IF(#REF!=RM시즌체크판!C37,ROW(#REF!)-20),5),)))</f>
        <v/>
      </c>
      <c r="M37" s="35" t="str">
        <f t="array" aca="1" ref="M37" ca="1">IF(ISERROR(OFFSET(#REF!,SMALL(IF(#REF!=RM시즌체크판!C37,ROW(#REF!)-20),6),)),"",(OFFSET(#REF!,SMALL(IF(#REF!=RM시즌체크판!C37,ROW(#REF!)-20),6),)))</f>
        <v/>
      </c>
      <c r="N37" s="27" t="str">
        <f>IF(ISERROR(VLOOKUP(C37,모델촬영리스트!$C:$E,3,)),"",(VLOOKUP(C37,모델촬영리스트!$C:$E,3,)))</f>
        <v/>
      </c>
      <c r="O37" s="23" t="str">
        <f>IF(ISERROR(VLOOKUP(C37,배너촬영리스트!$C:$E,3,)),"",(VLOOKUP(C37,배너촬영리스트!$C:$E,3,)))</f>
        <v/>
      </c>
      <c r="P37" s="36" t="str">
        <f>IF(ISERROR(VLOOKUP(C37,배너촬영리스트!$C:$E,2,)),"",(VLOOKUP(C37,배너촬영리스트!$C:$E,2,)))</f>
        <v/>
      </c>
    </row>
    <row r="38" spans="2:16">
      <c r="B38" s="20" t="str">
        <f t="shared" si="0"/>
        <v>RM</v>
      </c>
      <c r="C38" s="11" t="s">
        <v>145</v>
      </c>
      <c r="D38" s="12" t="e">
        <f>VLOOKUP(C38,#REF!,2,0)</f>
        <v>#REF!</v>
      </c>
      <c r="E38" s="10" t="e">
        <f>VLOOKUP(C38,#REF!,4,0)</f>
        <v>#REF!</v>
      </c>
      <c r="F38" s="37" t="e">
        <f>VLOOKUP(C38,#REF!,8,0)</f>
        <v>#REF!</v>
      </c>
      <c r="G38" s="22" t="str">
        <f>IF(ISERROR(IF(VLOOKUP(C38,#REF!,2,0)&gt;0,"등록","")),"",(IF(VLOOKUP(C38,#REF!,2,0)&gt;0,"등록","")))</f>
        <v/>
      </c>
      <c r="H38" s="33" t="str">
        <f t="array" aca="1" ref="H38" ca="1">IF(ISERROR(OFFSET(#REF!,SMALL(IF(#REF!=RM시즌체크판!C38,ROW(#REF!)-20),1),)),"",(OFFSET(#REF!,SMALL(IF(#REF!=RM시즌체크판!C38,ROW(#REF!)-20),1),)))</f>
        <v/>
      </c>
      <c r="I38" s="34" t="str">
        <f t="array" aca="1" ref="I38" ca="1">IF(ISERROR(OFFSET(#REF!,SMALL(IF(#REF!=RM시즌체크판!C38,ROW(#REF!)-20),2),)),"",(OFFSET(#REF!,SMALL(IF(#REF!=RM시즌체크판!C38,ROW(#REF!)-20),2),)))</f>
        <v/>
      </c>
      <c r="J38" s="34" t="str">
        <f t="array" aca="1" ref="J38" ca="1">IF(ISERROR(OFFSET(#REF!,SMALL(IF(#REF!=RM시즌체크판!C38,ROW(#REF!)-20),3),)),"",(OFFSET(#REF!,SMALL(IF(#REF!=RM시즌체크판!C38,ROW(#REF!)-20),3),)))</f>
        <v/>
      </c>
      <c r="K38" s="34" t="str">
        <f t="array" aca="1" ref="K38" ca="1">IF(ISERROR(OFFSET(#REF!,SMALL(IF(#REF!=RM시즌체크판!C38,ROW(#REF!)-20),4),)),"",(OFFSET(#REF!,SMALL(IF(#REF!=RM시즌체크판!C38,ROW(#REF!)-20),4),)))</f>
        <v/>
      </c>
      <c r="L38" s="34" t="str">
        <f t="array" aca="1" ref="L38" ca="1">IF(ISERROR(OFFSET(#REF!,SMALL(IF(#REF!=RM시즌체크판!C38,ROW(#REF!)-20),5),)),"",(OFFSET(#REF!,SMALL(IF(#REF!=RM시즌체크판!C38,ROW(#REF!)-20),5),)))</f>
        <v/>
      </c>
      <c r="M38" s="35" t="str">
        <f t="array" aca="1" ref="M38" ca="1">IF(ISERROR(OFFSET(#REF!,SMALL(IF(#REF!=RM시즌체크판!C38,ROW(#REF!)-20),6),)),"",(OFFSET(#REF!,SMALL(IF(#REF!=RM시즌체크판!C38,ROW(#REF!)-20),6),)))</f>
        <v/>
      </c>
      <c r="N38" s="27" t="str">
        <f>IF(ISERROR(VLOOKUP(C38,모델촬영리스트!$C:$E,3,)),"",(VLOOKUP(C38,모델촬영리스트!$C:$E,3,)))</f>
        <v/>
      </c>
      <c r="O38" s="23" t="str">
        <f>IF(ISERROR(VLOOKUP(C38,배너촬영리스트!$C:$E,3,)),"",(VLOOKUP(C38,배너촬영리스트!$C:$E,3,)))</f>
        <v/>
      </c>
      <c r="P38" s="36" t="str">
        <f>IF(ISERROR(VLOOKUP(C38,배너촬영리스트!$C:$E,2,)),"",(VLOOKUP(C38,배너촬영리스트!$C:$E,2,)))</f>
        <v/>
      </c>
    </row>
    <row r="39" spans="2:16">
      <c r="B39" s="20" t="str">
        <f t="shared" si="0"/>
        <v>RM</v>
      </c>
      <c r="C39" s="11" t="s">
        <v>231</v>
      </c>
      <c r="D39" s="12" t="e">
        <f>VLOOKUP(C39,#REF!,2,0)</f>
        <v>#REF!</v>
      </c>
      <c r="E39" s="10" t="e">
        <f>VLOOKUP(C39,#REF!,4,0)</f>
        <v>#REF!</v>
      </c>
      <c r="F39" s="37" t="e">
        <f>VLOOKUP(C39,#REF!,8,0)</f>
        <v>#REF!</v>
      </c>
      <c r="G39" s="22" t="str">
        <f>IF(ISERROR(IF(VLOOKUP(C39,#REF!,2,0)&gt;0,"등록","")),"",(IF(VLOOKUP(C39,#REF!,2,0)&gt;0,"등록","")))</f>
        <v/>
      </c>
      <c r="H39" s="33" t="str">
        <f t="array" aca="1" ref="H39" ca="1">IF(ISERROR(OFFSET(#REF!,SMALL(IF(#REF!=RM시즌체크판!C39,ROW(#REF!)-20),1),)),"",(OFFSET(#REF!,SMALL(IF(#REF!=RM시즌체크판!C39,ROW(#REF!)-20),1),)))</f>
        <v/>
      </c>
      <c r="I39" s="34" t="str">
        <f t="array" aca="1" ref="I39" ca="1">IF(ISERROR(OFFSET(#REF!,SMALL(IF(#REF!=RM시즌체크판!C39,ROW(#REF!)-20),2),)),"",(OFFSET(#REF!,SMALL(IF(#REF!=RM시즌체크판!C39,ROW(#REF!)-20),2),)))</f>
        <v/>
      </c>
      <c r="J39" s="34" t="str">
        <f t="array" aca="1" ref="J39" ca="1">IF(ISERROR(OFFSET(#REF!,SMALL(IF(#REF!=RM시즌체크판!C39,ROW(#REF!)-20),3),)),"",(OFFSET(#REF!,SMALL(IF(#REF!=RM시즌체크판!C39,ROW(#REF!)-20),3),)))</f>
        <v/>
      </c>
      <c r="K39" s="34" t="str">
        <f t="array" aca="1" ref="K39" ca="1">IF(ISERROR(OFFSET(#REF!,SMALL(IF(#REF!=RM시즌체크판!C39,ROW(#REF!)-20),4),)),"",(OFFSET(#REF!,SMALL(IF(#REF!=RM시즌체크판!C39,ROW(#REF!)-20),4),)))</f>
        <v/>
      </c>
      <c r="L39" s="34" t="str">
        <f t="array" aca="1" ref="L39" ca="1">IF(ISERROR(OFFSET(#REF!,SMALL(IF(#REF!=RM시즌체크판!C39,ROW(#REF!)-20),5),)),"",(OFFSET(#REF!,SMALL(IF(#REF!=RM시즌체크판!C39,ROW(#REF!)-20),5),)))</f>
        <v/>
      </c>
      <c r="M39" s="35" t="str">
        <f t="array" aca="1" ref="M39" ca="1">IF(ISERROR(OFFSET(#REF!,SMALL(IF(#REF!=RM시즌체크판!C39,ROW(#REF!)-20),6),)),"",(OFFSET(#REF!,SMALL(IF(#REF!=RM시즌체크판!C39,ROW(#REF!)-20),6),)))</f>
        <v/>
      </c>
      <c r="N39" s="27" t="str">
        <f>IF(ISERROR(VLOOKUP(C39,모델촬영리스트!$C:$E,3,)),"",(VLOOKUP(C39,모델촬영리스트!$C:$E,3,)))</f>
        <v/>
      </c>
      <c r="O39" s="23" t="str">
        <f>IF(ISERROR(VLOOKUP(C39,배너촬영리스트!$C:$E,3,)),"",(VLOOKUP(C39,배너촬영리스트!$C:$E,3,)))</f>
        <v/>
      </c>
      <c r="P39" s="36" t="str">
        <f>IF(ISERROR(VLOOKUP(C39,배너촬영리스트!$C:$E,2,)),"",(VLOOKUP(C39,배너촬영리스트!$C:$E,2,)))</f>
        <v/>
      </c>
    </row>
    <row r="40" spans="2:16">
      <c r="B40" s="20" t="str">
        <f t="shared" si="0"/>
        <v>RM</v>
      </c>
      <c r="C40" s="11" t="s">
        <v>232</v>
      </c>
      <c r="D40" s="12" t="e">
        <f>VLOOKUP(C40,#REF!,2,0)</f>
        <v>#REF!</v>
      </c>
      <c r="E40" s="10" t="e">
        <f>VLOOKUP(C40,#REF!,4,0)</f>
        <v>#REF!</v>
      </c>
      <c r="F40" s="37" t="e">
        <f>VLOOKUP(C40,#REF!,8,0)</f>
        <v>#REF!</v>
      </c>
      <c r="G40" s="22" t="str">
        <f>IF(ISERROR(IF(VLOOKUP(C40,#REF!,2,0)&gt;0,"등록","")),"",(IF(VLOOKUP(C40,#REF!,2,0)&gt;0,"등록","")))</f>
        <v/>
      </c>
      <c r="H40" s="33" t="str">
        <f t="array" aca="1" ref="H40" ca="1">IF(ISERROR(OFFSET(#REF!,SMALL(IF(#REF!=RM시즌체크판!C40,ROW(#REF!)-20),1),)),"",(OFFSET(#REF!,SMALL(IF(#REF!=RM시즌체크판!C40,ROW(#REF!)-20),1),)))</f>
        <v/>
      </c>
      <c r="I40" s="34" t="str">
        <f t="array" aca="1" ref="I40" ca="1">IF(ISERROR(OFFSET(#REF!,SMALL(IF(#REF!=RM시즌체크판!C40,ROW(#REF!)-20),2),)),"",(OFFSET(#REF!,SMALL(IF(#REF!=RM시즌체크판!C40,ROW(#REF!)-20),2),)))</f>
        <v/>
      </c>
      <c r="J40" s="34" t="str">
        <f t="array" aca="1" ref="J40" ca="1">IF(ISERROR(OFFSET(#REF!,SMALL(IF(#REF!=RM시즌체크판!C40,ROW(#REF!)-20),3),)),"",(OFFSET(#REF!,SMALL(IF(#REF!=RM시즌체크판!C40,ROW(#REF!)-20),3),)))</f>
        <v/>
      </c>
      <c r="K40" s="34" t="str">
        <f t="array" aca="1" ref="K40" ca="1">IF(ISERROR(OFFSET(#REF!,SMALL(IF(#REF!=RM시즌체크판!C40,ROW(#REF!)-20),4),)),"",(OFFSET(#REF!,SMALL(IF(#REF!=RM시즌체크판!C40,ROW(#REF!)-20),4),)))</f>
        <v/>
      </c>
      <c r="L40" s="34" t="str">
        <f t="array" aca="1" ref="L40" ca="1">IF(ISERROR(OFFSET(#REF!,SMALL(IF(#REF!=RM시즌체크판!C40,ROW(#REF!)-20),5),)),"",(OFFSET(#REF!,SMALL(IF(#REF!=RM시즌체크판!C40,ROW(#REF!)-20),5),)))</f>
        <v/>
      </c>
      <c r="M40" s="35" t="str">
        <f t="array" aca="1" ref="M40" ca="1">IF(ISERROR(OFFSET(#REF!,SMALL(IF(#REF!=RM시즌체크판!C40,ROW(#REF!)-20),6),)),"",(OFFSET(#REF!,SMALL(IF(#REF!=RM시즌체크판!C40,ROW(#REF!)-20),6),)))</f>
        <v/>
      </c>
      <c r="N40" s="27" t="str">
        <f>IF(ISERROR(VLOOKUP(C40,모델촬영리스트!$C:$E,3,)),"",(VLOOKUP(C40,모델촬영리스트!$C:$E,3,)))</f>
        <v/>
      </c>
      <c r="O40" s="23" t="str">
        <f>IF(ISERROR(VLOOKUP(C40,배너촬영리스트!$C:$E,3,)),"",(VLOOKUP(C40,배너촬영리스트!$C:$E,3,)))</f>
        <v/>
      </c>
      <c r="P40" s="36" t="str">
        <f>IF(ISERROR(VLOOKUP(C40,배너촬영리스트!$C:$E,2,)),"",(VLOOKUP(C40,배너촬영리스트!$C:$E,2,)))</f>
        <v/>
      </c>
    </row>
    <row r="41" spans="2:16">
      <c r="B41" s="20" t="str">
        <f t="shared" si="0"/>
        <v>RM</v>
      </c>
      <c r="C41" s="11" t="s">
        <v>233</v>
      </c>
      <c r="D41" s="12" t="e">
        <f>VLOOKUP(C41,#REF!,2,0)</f>
        <v>#REF!</v>
      </c>
      <c r="E41" s="10" t="e">
        <f>VLOOKUP(C41,#REF!,4,0)</f>
        <v>#REF!</v>
      </c>
      <c r="F41" s="37" t="e">
        <f>VLOOKUP(C41,#REF!,8,0)</f>
        <v>#REF!</v>
      </c>
      <c r="G41" s="22" t="str">
        <f>IF(ISERROR(IF(VLOOKUP(C41,#REF!,2,0)&gt;0,"등록","")),"",(IF(VLOOKUP(C41,#REF!,2,0)&gt;0,"등록","")))</f>
        <v/>
      </c>
      <c r="H41" s="33" t="str">
        <f t="array" aca="1" ref="H41" ca="1">IF(ISERROR(OFFSET(#REF!,SMALL(IF(#REF!=RM시즌체크판!C41,ROW(#REF!)-20),1),)),"",(OFFSET(#REF!,SMALL(IF(#REF!=RM시즌체크판!C41,ROW(#REF!)-20),1),)))</f>
        <v/>
      </c>
      <c r="I41" s="34" t="str">
        <f t="array" aca="1" ref="I41" ca="1">IF(ISERROR(OFFSET(#REF!,SMALL(IF(#REF!=RM시즌체크판!C41,ROW(#REF!)-20),2),)),"",(OFFSET(#REF!,SMALL(IF(#REF!=RM시즌체크판!C41,ROW(#REF!)-20),2),)))</f>
        <v/>
      </c>
      <c r="J41" s="34" t="str">
        <f t="array" aca="1" ref="J41" ca="1">IF(ISERROR(OFFSET(#REF!,SMALL(IF(#REF!=RM시즌체크판!C41,ROW(#REF!)-20),3),)),"",(OFFSET(#REF!,SMALL(IF(#REF!=RM시즌체크판!C41,ROW(#REF!)-20),3),)))</f>
        <v/>
      </c>
      <c r="K41" s="34" t="str">
        <f t="array" aca="1" ref="K41" ca="1">IF(ISERROR(OFFSET(#REF!,SMALL(IF(#REF!=RM시즌체크판!C41,ROW(#REF!)-20),4),)),"",(OFFSET(#REF!,SMALL(IF(#REF!=RM시즌체크판!C41,ROW(#REF!)-20),4),)))</f>
        <v/>
      </c>
      <c r="L41" s="34" t="str">
        <f t="array" aca="1" ref="L41" ca="1">IF(ISERROR(OFFSET(#REF!,SMALL(IF(#REF!=RM시즌체크판!C41,ROW(#REF!)-20),5),)),"",(OFFSET(#REF!,SMALL(IF(#REF!=RM시즌체크판!C41,ROW(#REF!)-20),5),)))</f>
        <v/>
      </c>
      <c r="M41" s="35" t="str">
        <f t="array" aca="1" ref="M41" ca="1">IF(ISERROR(OFFSET(#REF!,SMALL(IF(#REF!=RM시즌체크판!C41,ROW(#REF!)-20),6),)),"",(OFFSET(#REF!,SMALL(IF(#REF!=RM시즌체크판!C41,ROW(#REF!)-20),6),)))</f>
        <v/>
      </c>
      <c r="N41" s="27" t="str">
        <f>IF(ISERROR(VLOOKUP(C41,모델촬영리스트!$C:$E,3,)),"",(VLOOKUP(C41,모델촬영리스트!$C:$E,3,)))</f>
        <v/>
      </c>
      <c r="O41" s="23" t="str">
        <f>IF(ISERROR(VLOOKUP(C41,배너촬영리스트!$C:$E,3,)),"",(VLOOKUP(C41,배너촬영리스트!$C:$E,3,)))</f>
        <v/>
      </c>
      <c r="P41" s="36" t="str">
        <f>IF(ISERROR(VLOOKUP(C41,배너촬영리스트!$C:$E,2,)),"",(VLOOKUP(C41,배너촬영리스트!$C:$E,2,)))</f>
        <v/>
      </c>
    </row>
    <row r="42" spans="2:16">
      <c r="B42" s="20" t="str">
        <f t="shared" si="0"/>
        <v>RM</v>
      </c>
      <c r="C42" s="11" t="s">
        <v>234</v>
      </c>
      <c r="D42" s="12" t="e">
        <f>VLOOKUP(C42,#REF!,2,0)</f>
        <v>#REF!</v>
      </c>
      <c r="E42" s="10" t="e">
        <f>VLOOKUP(C42,#REF!,4,0)</f>
        <v>#REF!</v>
      </c>
      <c r="F42" s="37" t="e">
        <f>VLOOKUP(C42,#REF!,8,0)</f>
        <v>#REF!</v>
      </c>
      <c r="G42" s="22" t="str">
        <f>IF(ISERROR(IF(VLOOKUP(C42,#REF!,2,0)&gt;0,"등록","")),"",(IF(VLOOKUP(C42,#REF!,2,0)&gt;0,"등록","")))</f>
        <v/>
      </c>
      <c r="H42" s="33" t="str">
        <f t="array" aca="1" ref="H42" ca="1">IF(ISERROR(OFFSET(#REF!,SMALL(IF(#REF!=RM시즌체크판!C42,ROW(#REF!)-20),1),)),"",(OFFSET(#REF!,SMALL(IF(#REF!=RM시즌체크판!C42,ROW(#REF!)-20),1),)))</f>
        <v/>
      </c>
      <c r="I42" s="34" t="str">
        <f t="array" aca="1" ref="I42" ca="1">IF(ISERROR(OFFSET(#REF!,SMALL(IF(#REF!=RM시즌체크판!C42,ROW(#REF!)-20),2),)),"",(OFFSET(#REF!,SMALL(IF(#REF!=RM시즌체크판!C42,ROW(#REF!)-20),2),)))</f>
        <v/>
      </c>
      <c r="J42" s="34" t="str">
        <f t="array" aca="1" ref="J42" ca="1">IF(ISERROR(OFFSET(#REF!,SMALL(IF(#REF!=RM시즌체크판!C42,ROW(#REF!)-20),3),)),"",(OFFSET(#REF!,SMALL(IF(#REF!=RM시즌체크판!C42,ROW(#REF!)-20),3),)))</f>
        <v/>
      </c>
      <c r="K42" s="34" t="str">
        <f t="array" aca="1" ref="K42" ca="1">IF(ISERROR(OFFSET(#REF!,SMALL(IF(#REF!=RM시즌체크판!C42,ROW(#REF!)-20),4),)),"",(OFFSET(#REF!,SMALL(IF(#REF!=RM시즌체크판!C42,ROW(#REF!)-20),4),)))</f>
        <v/>
      </c>
      <c r="L42" s="34" t="str">
        <f t="array" aca="1" ref="L42" ca="1">IF(ISERROR(OFFSET(#REF!,SMALL(IF(#REF!=RM시즌체크판!C42,ROW(#REF!)-20),5),)),"",(OFFSET(#REF!,SMALL(IF(#REF!=RM시즌체크판!C42,ROW(#REF!)-20),5),)))</f>
        <v/>
      </c>
      <c r="M42" s="35" t="str">
        <f t="array" aca="1" ref="M42" ca="1">IF(ISERROR(OFFSET(#REF!,SMALL(IF(#REF!=RM시즌체크판!C42,ROW(#REF!)-20),6),)),"",(OFFSET(#REF!,SMALL(IF(#REF!=RM시즌체크판!C42,ROW(#REF!)-20),6),)))</f>
        <v/>
      </c>
      <c r="N42" s="27" t="str">
        <f>IF(ISERROR(VLOOKUP(C42,모델촬영리스트!$C:$E,3,)),"",(VLOOKUP(C42,모델촬영리스트!$C:$E,3,)))</f>
        <v/>
      </c>
      <c r="O42" s="23" t="str">
        <f>IF(ISERROR(VLOOKUP(C42,배너촬영리스트!$C:$E,3,)),"",(VLOOKUP(C42,배너촬영리스트!$C:$E,3,)))</f>
        <v/>
      </c>
      <c r="P42" s="36" t="str">
        <f>IF(ISERROR(VLOOKUP(C42,배너촬영리스트!$C:$E,2,)),"",(VLOOKUP(C42,배너촬영리스트!$C:$E,2,)))</f>
        <v/>
      </c>
    </row>
    <row r="43" spans="2:16">
      <c r="B43" s="20" t="str">
        <f t="shared" si="0"/>
        <v>RM</v>
      </c>
      <c r="C43" s="11" t="s">
        <v>235</v>
      </c>
      <c r="D43" s="12" t="e">
        <f>VLOOKUP(C43,#REF!,2,0)</f>
        <v>#REF!</v>
      </c>
      <c r="E43" s="10" t="e">
        <f>VLOOKUP(C43,#REF!,4,0)</f>
        <v>#REF!</v>
      </c>
      <c r="F43" s="37" t="e">
        <f>VLOOKUP(C43,#REF!,8,0)</f>
        <v>#REF!</v>
      </c>
      <c r="G43" s="22" t="str">
        <f>IF(ISERROR(IF(VLOOKUP(C43,#REF!,2,0)&gt;0,"등록","")),"",(IF(VLOOKUP(C43,#REF!,2,0)&gt;0,"등록","")))</f>
        <v/>
      </c>
      <c r="H43" s="33" t="str">
        <f t="array" aca="1" ref="H43" ca="1">IF(ISERROR(OFFSET(#REF!,SMALL(IF(#REF!=RM시즌체크판!C43,ROW(#REF!)-20),1),)),"",(OFFSET(#REF!,SMALL(IF(#REF!=RM시즌체크판!C43,ROW(#REF!)-20),1),)))</f>
        <v/>
      </c>
      <c r="I43" s="34" t="str">
        <f t="array" aca="1" ref="I43" ca="1">IF(ISERROR(OFFSET(#REF!,SMALL(IF(#REF!=RM시즌체크판!C43,ROW(#REF!)-20),2),)),"",(OFFSET(#REF!,SMALL(IF(#REF!=RM시즌체크판!C43,ROW(#REF!)-20),2),)))</f>
        <v/>
      </c>
      <c r="J43" s="34" t="str">
        <f t="array" aca="1" ref="J43" ca="1">IF(ISERROR(OFFSET(#REF!,SMALL(IF(#REF!=RM시즌체크판!C43,ROW(#REF!)-20),3),)),"",(OFFSET(#REF!,SMALL(IF(#REF!=RM시즌체크판!C43,ROW(#REF!)-20),3),)))</f>
        <v/>
      </c>
      <c r="K43" s="34" t="str">
        <f t="array" aca="1" ref="K43" ca="1">IF(ISERROR(OFFSET(#REF!,SMALL(IF(#REF!=RM시즌체크판!C43,ROW(#REF!)-20),4),)),"",(OFFSET(#REF!,SMALL(IF(#REF!=RM시즌체크판!C43,ROW(#REF!)-20),4),)))</f>
        <v/>
      </c>
      <c r="L43" s="34" t="str">
        <f t="array" aca="1" ref="L43" ca="1">IF(ISERROR(OFFSET(#REF!,SMALL(IF(#REF!=RM시즌체크판!C43,ROW(#REF!)-20),5),)),"",(OFFSET(#REF!,SMALL(IF(#REF!=RM시즌체크판!C43,ROW(#REF!)-20),5),)))</f>
        <v/>
      </c>
      <c r="M43" s="35" t="str">
        <f t="array" aca="1" ref="M43" ca="1">IF(ISERROR(OFFSET(#REF!,SMALL(IF(#REF!=RM시즌체크판!C43,ROW(#REF!)-20),6),)),"",(OFFSET(#REF!,SMALL(IF(#REF!=RM시즌체크판!C43,ROW(#REF!)-20),6),)))</f>
        <v/>
      </c>
      <c r="N43" s="27" t="str">
        <f>IF(ISERROR(VLOOKUP(C43,모델촬영리스트!$C:$E,3,)),"",(VLOOKUP(C43,모델촬영리스트!$C:$E,3,)))</f>
        <v/>
      </c>
      <c r="O43" s="23" t="str">
        <f>IF(ISERROR(VLOOKUP(C43,배너촬영리스트!$C:$E,3,)),"",(VLOOKUP(C43,배너촬영리스트!$C:$E,3,)))</f>
        <v/>
      </c>
      <c r="P43" s="36" t="str">
        <f>IF(ISERROR(VLOOKUP(C43,배너촬영리스트!$C:$E,2,)),"",(VLOOKUP(C43,배너촬영리스트!$C:$E,2,)))</f>
        <v/>
      </c>
    </row>
    <row r="44" spans="2:16">
      <c r="B44" s="20" t="str">
        <f t="shared" si="0"/>
        <v>RM</v>
      </c>
      <c r="C44" s="11" t="s">
        <v>10</v>
      </c>
      <c r="D44" s="12" t="e">
        <f>VLOOKUP(C44,#REF!,2,0)</f>
        <v>#REF!</v>
      </c>
      <c r="E44" s="10" t="e">
        <f>VLOOKUP(C44,#REF!,4,0)</f>
        <v>#REF!</v>
      </c>
      <c r="F44" s="37" t="e">
        <f>VLOOKUP(C44,#REF!,8,0)</f>
        <v>#REF!</v>
      </c>
      <c r="G44" s="22" t="str">
        <f>IF(ISERROR(IF(VLOOKUP(C44,#REF!,2,0)&gt;0,"등록","")),"",(IF(VLOOKUP(C44,#REF!,2,0)&gt;0,"등록","")))</f>
        <v/>
      </c>
      <c r="H44" s="33" t="str">
        <f t="array" aca="1" ref="H44" ca="1">IF(ISERROR(OFFSET(#REF!,SMALL(IF(#REF!=RM시즌체크판!C44,ROW(#REF!)-20),1),)),"",(OFFSET(#REF!,SMALL(IF(#REF!=RM시즌체크판!C44,ROW(#REF!)-20),1),)))</f>
        <v/>
      </c>
      <c r="I44" s="34" t="str">
        <f t="array" aca="1" ref="I44" ca="1">IF(ISERROR(OFFSET(#REF!,SMALL(IF(#REF!=RM시즌체크판!C44,ROW(#REF!)-20),2),)),"",(OFFSET(#REF!,SMALL(IF(#REF!=RM시즌체크판!C44,ROW(#REF!)-20),2),)))</f>
        <v/>
      </c>
      <c r="J44" s="34" t="str">
        <f t="array" aca="1" ref="J44" ca="1">IF(ISERROR(OFFSET(#REF!,SMALL(IF(#REF!=RM시즌체크판!C44,ROW(#REF!)-20),3),)),"",(OFFSET(#REF!,SMALL(IF(#REF!=RM시즌체크판!C44,ROW(#REF!)-20),3),)))</f>
        <v/>
      </c>
      <c r="K44" s="34" t="str">
        <f t="array" aca="1" ref="K44" ca="1">IF(ISERROR(OFFSET(#REF!,SMALL(IF(#REF!=RM시즌체크판!C44,ROW(#REF!)-20),4),)),"",(OFFSET(#REF!,SMALL(IF(#REF!=RM시즌체크판!C44,ROW(#REF!)-20),4),)))</f>
        <v/>
      </c>
      <c r="L44" s="34" t="str">
        <f t="array" aca="1" ref="L44" ca="1">IF(ISERROR(OFFSET(#REF!,SMALL(IF(#REF!=RM시즌체크판!C44,ROW(#REF!)-20),5),)),"",(OFFSET(#REF!,SMALL(IF(#REF!=RM시즌체크판!C44,ROW(#REF!)-20),5),)))</f>
        <v/>
      </c>
      <c r="M44" s="35" t="str">
        <f t="array" aca="1" ref="M44" ca="1">IF(ISERROR(OFFSET(#REF!,SMALL(IF(#REF!=RM시즌체크판!C44,ROW(#REF!)-20),6),)),"",(OFFSET(#REF!,SMALL(IF(#REF!=RM시즌체크판!C44,ROW(#REF!)-20),6),)))</f>
        <v/>
      </c>
      <c r="N44" s="27" t="str">
        <f>IF(ISERROR(VLOOKUP(C44,모델촬영리스트!$C:$E,3,)),"",(VLOOKUP(C44,모델촬영리스트!$C:$E,3,)))</f>
        <v/>
      </c>
      <c r="O44" s="23" t="str">
        <f>IF(ISERROR(VLOOKUP(C44,배너촬영리스트!$C:$E,3,)),"",(VLOOKUP(C44,배너촬영리스트!$C:$E,3,)))</f>
        <v/>
      </c>
      <c r="P44" s="36" t="str">
        <f>IF(ISERROR(VLOOKUP(C44,배너촬영리스트!$C:$E,2,)),"",(VLOOKUP(C44,배너촬영리스트!$C:$E,2,)))</f>
        <v/>
      </c>
    </row>
    <row r="45" spans="2:16">
      <c r="B45" s="20" t="str">
        <f t="shared" si="0"/>
        <v>RM</v>
      </c>
      <c r="C45" s="11" t="s">
        <v>11</v>
      </c>
      <c r="D45" s="12" t="e">
        <f>VLOOKUP(C45,#REF!,2,0)</f>
        <v>#REF!</v>
      </c>
      <c r="E45" s="10" t="e">
        <f>VLOOKUP(C45,#REF!,4,0)</f>
        <v>#REF!</v>
      </c>
      <c r="F45" s="37" t="e">
        <f>VLOOKUP(C45,#REF!,8,0)</f>
        <v>#REF!</v>
      </c>
      <c r="G45" s="22" t="str">
        <f>IF(ISERROR(IF(VLOOKUP(C45,#REF!,2,0)&gt;0,"등록","")),"",(IF(VLOOKUP(C45,#REF!,2,0)&gt;0,"등록","")))</f>
        <v/>
      </c>
      <c r="H45" s="33" t="str">
        <f t="array" aca="1" ref="H45" ca="1">IF(ISERROR(OFFSET(#REF!,SMALL(IF(#REF!=RM시즌체크판!C45,ROW(#REF!)-20),1),)),"",(OFFSET(#REF!,SMALL(IF(#REF!=RM시즌체크판!C45,ROW(#REF!)-20),1),)))</f>
        <v/>
      </c>
      <c r="I45" s="34" t="str">
        <f t="array" aca="1" ref="I45" ca="1">IF(ISERROR(OFFSET(#REF!,SMALL(IF(#REF!=RM시즌체크판!C45,ROW(#REF!)-20),2),)),"",(OFFSET(#REF!,SMALL(IF(#REF!=RM시즌체크판!C45,ROW(#REF!)-20),2),)))</f>
        <v/>
      </c>
      <c r="J45" s="34" t="str">
        <f t="array" aca="1" ref="J45" ca="1">IF(ISERROR(OFFSET(#REF!,SMALL(IF(#REF!=RM시즌체크판!C45,ROW(#REF!)-20),3),)),"",(OFFSET(#REF!,SMALL(IF(#REF!=RM시즌체크판!C45,ROW(#REF!)-20),3),)))</f>
        <v/>
      </c>
      <c r="K45" s="34" t="str">
        <f t="array" aca="1" ref="K45" ca="1">IF(ISERROR(OFFSET(#REF!,SMALL(IF(#REF!=RM시즌체크판!C45,ROW(#REF!)-20),4),)),"",(OFFSET(#REF!,SMALL(IF(#REF!=RM시즌체크판!C45,ROW(#REF!)-20),4),)))</f>
        <v/>
      </c>
      <c r="L45" s="34" t="str">
        <f t="array" aca="1" ref="L45" ca="1">IF(ISERROR(OFFSET(#REF!,SMALL(IF(#REF!=RM시즌체크판!C45,ROW(#REF!)-20),5),)),"",(OFFSET(#REF!,SMALL(IF(#REF!=RM시즌체크판!C45,ROW(#REF!)-20),5),)))</f>
        <v/>
      </c>
      <c r="M45" s="35" t="str">
        <f t="array" aca="1" ref="M45" ca="1">IF(ISERROR(OFFSET(#REF!,SMALL(IF(#REF!=RM시즌체크판!C45,ROW(#REF!)-20),6),)),"",(OFFSET(#REF!,SMALL(IF(#REF!=RM시즌체크판!C45,ROW(#REF!)-20),6),)))</f>
        <v/>
      </c>
      <c r="N45" s="27" t="str">
        <f>IF(ISERROR(VLOOKUP(C45,모델촬영리스트!$C:$E,3,)),"",(VLOOKUP(C45,모델촬영리스트!$C:$E,3,)))</f>
        <v/>
      </c>
      <c r="O45" s="23" t="str">
        <f>IF(ISERROR(VLOOKUP(C45,배너촬영리스트!$C:$E,3,)),"",(VLOOKUP(C45,배너촬영리스트!$C:$E,3,)))</f>
        <v/>
      </c>
      <c r="P45" s="36" t="str">
        <f>IF(ISERROR(VLOOKUP(C45,배너촬영리스트!$C:$E,2,)),"",(VLOOKUP(C45,배너촬영리스트!$C:$E,2,)))</f>
        <v/>
      </c>
    </row>
    <row r="46" spans="2:16">
      <c r="B46" s="20" t="str">
        <f t="shared" si="0"/>
        <v>RM</v>
      </c>
      <c r="C46" s="11" t="s">
        <v>12</v>
      </c>
      <c r="D46" s="12" t="e">
        <f>VLOOKUP(C46,#REF!,2,0)</f>
        <v>#REF!</v>
      </c>
      <c r="E46" s="10" t="e">
        <f>VLOOKUP(C46,#REF!,4,0)</f>
        <v>#REF!</v>
      </c>
      <c r="F46" s="37" t="e">
        <f>VLOOKUP(C46,#REF!,8,0)</f>
        <v>#REF!</v>
      </c>
      <c r="G46" s="22" t="str">
        <f>IF(ISERROR(IF(VLOOKUP(C46,#REF!,2,0)&gt;0,"등록","")),"",(IF(VLOOKUP(C46,#REF!,2,0)&gt;0,"등록","")))</f>
        <v/>
      </c>
      <c r="H46" s="33" t="str">
        <f t="array" aca="1" ref="H46" ca="1">IF(ISERROR(OFFSET(#REF!,SMALL(IF(#REF!=RM시즌체크판!C46,ROW(#REF!)-20),1),)),"",(OFFSET(#REF!,SMALL(IF(#REF!=RM시즌체크판!C46,ROW(#REF!)-20),1),)))</f>
        <v/>
      </c>
      <c r="I46" s="34" t="str">
        <f t="array" aca="1" ref="I46" ca="1">IF(ISERROR(OFFSET(#REF!,SMALL(IF(#REF!=RM시즌체크판!C46,ROW(#REF!)-20),2),)),"",(OFFSET(#REF!,SMALL(IF(#REF!=RM시즌체크판!C46,ROW(#REF!)-20),2),)))</f>
        <v/>
      </c>
      <c r="J46" s="34" t="str">
        <f t="array" aca="1" ref="J46" ca="1">IF(ISERROR(OFFSET(#REF!,SMALL(IF(#REF!=RM시즌체크판!C46,ROW(#REF!)-20),3),)),"",(OFFSET(#REF!,SMALL(IF(#REF!=RM시즌체크판!C46,ROW(#REF!)-20),3),)))</f>
        <v/>
      </c>
      <c r="K46" s="34" t="str">
        <f t="array" aca="1" ref="K46" ca="1">IF(ISERROR(OFFSET(#REF!,SMALL(IF(#REF!=RM시즌체크판!C46,ROW(#REF!)-20),4),)),"",(OFFSET(#REF!,SMALL(IF(#REF!=RM시즌체크판!C46,ROW(#REF!)-20),4),)))</f>
        <v/>
      </c>
      <c r="L46" s="34" t="str">
        <f t="array" aca="1" ref="L46" ca="1">IF(ISERROR(OFFSET(#REF!,SMALL(IF(#REF!=RM시즌체크판!C46,ROW(#REF!)-20),5),)),"",(OFFSET(#REF!,SMALL(IF(#REF!=RM시즌체크판!C46,ROW(#REF!)-20),5),)))</f>
        <v/>
      </c>
      <c r="M46" s="35" t="str">
        <f t="array" aca="1" ref="M46" ca="1">IF(ISERROR(OFFSET(#REF!,SMALL(IF(#REF!=RM시즌체크판!C46,ROW(#REF!)-20),6),)),"",(OFFSET(#REF!,SMALL(IF(#REF!=RM시즌체크판!C46,ROW(#REF!)-20),6),)))</f>
        <v/>
      </c>
      <c r="N46" s="27" t="str">
        <f>IF(ISERROR(VLOOKUP(C46,모델촬영리스트!$C:$E,3,)),"",(VLOOKUP(C46,모델촬영리스트!$C:$E,3,)))</f>
        <v/>
      </c>
      <c r="O46" s="23" t="str">
        <f>IF(ISERROR(VLOOKUP(C46,배너촬영리스트!$C:$E,3,)),"",(VLOOKUP(C46,배너촬영리스트!$C:$E,3,)))</f>
        <v/>
      </c>
      <c r="P46" s="36" t="str">
        <f>IF(ISERROR(VLOOKUP(C46,배너촬영리스트!$C:$E,2,)),"",(VLOOKUP(C46,배너촬영리스트!$C:$E,2,)))</f>
        <v/>
      </c>
    </row>
    <row r="47" spans="2:16">
      <c r="B47" s="20" t="str">
        <f t="shared" si="0"/>
        <v>RM</v>
      </c>
      <c r="C47" s="11" t="s">
        <v>17</v>
      </c>
      <c r="D47" s="12" t="e">
        <f>VLOOKUP(C47,#REF!,2,0)</f>
        <v>#REF!</v>
      </c>
      <c r="E47" s="10" t="e">
        <f>VLOOKUP(C47,#REF!,4,0)</f>
        <v>#REF!</v>
      </c>
      <c r="F47" s="37" t="e">
        <f>VLOOKUP(C47,#REF!,8,0)</f>
        <v>#REF!</v>
      </c>
      <c r="G47" s="22" t="str">
        <f>IF(ISERROR(IF(VLOOKUP(C47,#REF!,2,0)&gt;0,"등록","")),"",(IF(VLOOKUP(C47,#REF!,2,0)&gt;0,"등록","")))</f>
        <v/>
      </c>
      <c r="H47" s="33" t="str">
        <f t="array" aca="1" ref="H47" ca="1">IF(ISERROR(OFFSET(#REF!,SMALL(IF(#REF!=RM시즌체크판!C47,ROW(#REF!)-20),1),)),"",(OFFSET(#REF!,SMALL(IF(#REF!=RM시즌체크판!C47,ROW(#REF!)-20),1),)))</f>
        <v/>
      </c>
      <c r="I47" s="34" t="str">
        <f t="array" aca="1" ref="I47" ca="1">IF(ISERROR(OFFSET(#REF!,SMALL(IF(#REF!=RM시즌체크판!C47,ROW(#REF!)-20),2),)),"",(OFFSET(#REF!,SMALL(IF(#REF!=RM시즌체크판!C47,ROW(#REF!)-20),2),)))</f>
        <v/>
      </c>
      <c r="J47" s="34" t="str">
        <f t="array" aca="1" ref="J47" ca="1">IF(ISERROR(OFFSET(#REF!,SMALL(IF(#REF!=RM시즌체크판!C47,ROW(#REF!)-20),3),)),"",(OFFSET(#REF!,SMALL(IF(#REF!=RM시즌체크판!C47,ROW(#REF!)-20),3),)))</f>
        <v/>
      </c>
      <c r="K47" s="34" t="str">
        <f t="array" aca="1" ref="K47" ca="1">IF(ISERROR(OFFSET(#REF!,SMALL(IF(#REF!=RM시즌체크판!C47,ROW(#REF!)-20),4),)),"",(OFFSET(#REF!,SMALL(IF(#REF!=RM시즌체크판!C47,ROW(#REF!)-20),4),)))</f>
        <v/>
      </c>
      <c r="L47" s="34" t="str">
        <f t="array" aca="1" ref="L47" ca="1">IF(ISERROR(OFFSET(#REF!,SMALL(IF(#REF!=RM시즌체크판!C47,ROW(#REF!)-20),5),)),"",(OFFSET(#REF!,SMALL(IF(#REF!=RM시즌체크판!C47,ROW(#REF!)-20),5),)))</f>
        <v/>
      </c>
      <c r="M47" s="35" t="str">
        <f t="array" aca="1" ref="M47" ca="1">IF(ISERROR(OFFSET(#REF!,SMALL(IF(#REF!=RM시즌체크판!C47,ROW(#REF!)-20),6),)),"",(OFFSET(#REF!,SMALL(IF(#REF!=RM시즌체크판!C47,ROW(#REF!)-20),6),)))</f>
        <v/>
      </c>
      <c r="N47" s="27" t="str">
        <f>IF(ISERROR(VLOOKUP(C47,모델촬영리스트!$C:$E,3,)),"",(VLOOKUP(C47,모델촬영리스트!$C:$E,3,)))</f>
        <v/>
      </c>
      <c r="O47" s="23" t="str">
        <f>IF(ISERROR(VLOOKUP(C47,배너촬영리스트!$C:$E,3,)),"",(VLOOKUP(C47,배너촬영리스트!$C:$E,3,)))</f>
        <v/>
      </c>
      <c r="P47" s="36" t="str">
        <f>IF(ISERROR(VLOOKUP(C47,배너촬영리스트!$C:$E,2,)),"",(VLOOKUP(C47,배너촬영리스트!$C:$E,2,)))</f>
        <v/>
      </c>
    </row>
    <row r="48" spans="2:16">
      <c r="B48" s="20" t="str">
        <f t="shared" si="0"/>
        <v>RM</v>
      </c>
      <c r="C48" s="11" t="s">
        <v>18</v>
      </c>
      <c r="D48" s="12" t="e">
        <f>VLOOKUP(C48,#REF!,2,0)</f>
        <v>#REF!</v>
      </c>
      <c r="E48" s="10" t="e">
        <f>VLOOKUP(C48,#REF!,4,0)</f>
        <v>#REF!</v>
      </c>
      <c r="F48" s="37" t="e">
        <f>VLOOKUP(C48,#REF!,8,0)</f>
        <v>#REF!</v>
      </c>
      <c r="G48" s="22" t="str">
        <f>IF(ISERROR(IF(VLOOKUP(C48,#REF!,2,0)&gt;0,"등록","")),"",(IF(VLOOKUP(C48,#REF!,2,0)&gt;0,"등록","")))</f>
        <v/>
      </c>
      <c r="H48" s="33" t="str">
        <f t="array" aca="1" ref="H48" ca="1">IF(ISERROR(OFFSET(#REF!,SMALL(IF(#REF!=RM시즌체크판!C48,ROW(#REF!)-20),1),)),"",(OFFSET(#REF!,SMALL(IF(#REF!=RM시즌체크판!C48,ROW(#REF!)-20),1),)))</f>
        <v/>
      </c>
      <c r="I48" s="34" t="str">
        <f t="array" aca="1" ref="I48" ca="1">IF(ISERROR(OFFSET(#REF!,SMALL(IF(#REF!=RM시즌체크판!C48,ROW(#REF!)-20),2),)),"",(OFFSET(#REF!,SMALL(IF(#REF!=RM시즌체크판!C48,ROW(#REF!)-20),2),)))</f>
        <v/>
      </c>
      <c r="J48" s="34" t="str">
        <f t="array" aca="1" ref="J48" ca="1">IF(ISERROR(OFFSET(#REF!,SMALL(IF(#REF!=RM시즌체크판!C48,ROW(#REF!)-20),3),)),"",(OFFSET(#REF!,SMALL(IF(#REF!=RM시즌체크판!C48,ROW(#REF!)-20),3),)))</f>
        <v/>
      </c>
      <c r="K48" s="34" t="str">
        <f t="array" aca="1" ref="K48" ca="1">IF(ISERROR(OFFSET(#REF!,SMALL(IF(#REF!=RM시즌체크판!C48,ROW(#REF!)-20),4),)),"",(OFFSET(#REF!,SMALL(IF(#REF!=RM시즌체크판!C48,ROW(#REF!)-20),4),)))</f>
        <v/>
      </c>
      <c r="L48" s="34" t="str">
        <f t="array" aca="1" ref="L48" ca="1">IF(ISERROR(OFFSET(#REF!,SMALL(IF(#REF!=RM시즌체크판!C48,ROW(#REF!)-20),5),)),"",(OFFSET(#REF!,SMALL(IF(#REF!=RM시즌체크판!C48,ROW(#REF!)-20),5),)))</f>
        <v/>
      </c>
      <c r="M48" s="35" t="str">
        <f t="array" aca="1" ref="M48" ca="1">IF(ISERROR(OFFSET(#REF!,SMALL(IF(#REF!=RM시즌체크판!C48,ROW(#REF!)-20),6),)),"",(OFFSET(#REF!,SMALL(IF(#REF!=RM시즌체크판!C48,ROW(#REF!)-20),6),)))</f>
        <v/>
      </c>
      <c r="N48" s="27" t="str">
        <f>IF(ISERROR(VLOOKUP(C48,모델촬영리스트!$C:$E,3,)),"",(VLOOKUP(C48,모델촬영리스트!$C:$E,3,)))</f>
        <v/>
      </c>
      <c r="O48" s="23" t="str">
        <f>IF(ISERROR(VLOOKUP(C48,배너촬영리스트!$C:$E,3,)),"",(VLOOKUP(C48,배너촬영리스트!$C:$E,3,)))</f>
        <v/>
      </c>
      <c r="P48" s="36" t="str">
        <f>IF(ISERROR(VLOOKUP(C48,배너촬영리스트!$C:$E,2,)),"",(VLOOKUP(C48,배너촬영리스트!$C:$E,2,)))</f>
        <v/>
      </c>
    </row>
    <row r="49" spans="2:16">
      <c r="B49" s="20" t="str">
        <f t="shared" si="0"/>
        <v>RM</v>
      </c>
      <c r="C49" s="11" t="s">
        <v>19</v>
      </c>
      <c r="D49" s="12" t="e">
        <f>VLOOKUP(C49,#REF!,2,0)</f>
        <v>#REF!</v>
      </c>
      <c r="E49" s="10" t="e">
        <f>VLOOKUP(C49,#REF!,4,0)</f>
        <v>#REF!</v>
      </c>
      <c r="F49" s="37" t="e">
        <f>VLOOKUP(C49,#REF!,8,0)</f>
        <v>#REF!</v>
      </c>
      <c r="G49" s="22" t="str">
        <f>IF(ISERROR(IF(VLOOKUP(C49,#REF!,2,0)&gt;0,"등록","")),"",(IF(VLOOKUP(C49,#REF!,2,0)&gt;0,"등록","")))</f>
        <v/>
      </c>
      <c r="H49" s="33" t="str">
        <f t="array" aca="1" ref="H49" ca="1">IF(ISERROR(OFFSET(#REF!,SMALL(IF(#REF!=RM시즌체크판!C49,ROW(#REF!)-20),1),)),"",(OFFSET(#REF!,SMALL(IF(#REF!=RM시즌체크판!C49,ROW(#REF!)-20),1),)))</f>
        <v/>
      </c>
      <c r="I49" s="34" t="str">
        <f t="array" aca="1" ref="I49" ca="1">IF(ISERROR(OFFSET(#REF!,SMALL(IF(#REF!=RM시즌체크판!C49,ROW(#REF!)-20),2),)),"",(OFFSET(#REF!,SMALL(IF(#REF!=RM시즌체크판!C49,ROW(#REF!)-20),2),)))</f>
        <v/>
      </c>
      <c r="J49" s="34" t="str">
        <f t="array" aca="1" ref="J49" ca="1">IF(ISERROR(OFFSET(#REF!,SMALL(IF(#REF!=RM시즌체크판!C49,ROW(#REF!)-20),3),)),"",(OFFSET(#REF!,SMALL(IF(#REF!=RM시즌체크판!C49,ROW(#REF!)-20),3),)))</f>
        <v/>
      </c>
      <c r="K49" s="34" t="str">
        <f t="array" aca="1" ref="K49" ca="1">IF(ISERROR(OFFSET(#REF!,SMALL(IF(#REF!=RM시즌체크판!C49,ROW(#REF!)-20),4),)),"",(OFFSET(#REF!,SMALL(IF(#REF!=RM시즌체크판!C49,ROW(#REF!)-20),4),)))</f>
        <v/>
      </c>
      <c r="L49" s="34" t="str">
        <f t="array" aca="1" ref="L49" ca="1">IF(ISERROR(OFFSET(#REF!,SMALL(IF(#REF!=RM시즌체크판!C49,ROW(#REF!)-20),5),)),"",(OFFSET(#REF!,SMALL(IF(#REF!=RM시즌체크판!C49,ROW(#REF!)-20),5),)))</f>
        <v/>
      </c>
      <c r="M49" s="35" t="str">
        <f t="array" aca="1" ref="M49" ca="1">IF(ISERROR(OFFSET(#REF!,SMALL(IF(#REF!=RM시즌체크판!C49,ROW(#REF!)-20),6),)),"",(OFFSET(#REF!,SMALL(IF(#REF!=RM시즌체크판!C49,ROW(#REF!)-20),6),)))</f>
        <v/>
      </c>
      <c r="N49" s="27" t="str">
        <f>IF(ISERROR(VLOOKUP(C49,모델촬영리스트!$C:$E,3,)),"",(VLOOKUP(C49,모델촬영리스트!$C:$E,3,)))</f>
        <v/>
      </c>
      <c r="O49" s="23" t="str">
        <f>IF(ISERROR(VLOOKUP(C49,배너촬영리스트!$C:$E,3,)),"",(VLOOKUP(C49,배너촬영리스트!$C:$E,3,)))</f>
        <v/>
      </c>
      <c r="P49" s="36" t="str">
        <f>IF(ISERROR(VLOOKUP(C49,배너촬영리스트!$C:$E,2,)),"",(VLOOKUP(C49,배너촬영리스트!$C:$E,2,)))</f>
        <v/>
      </c>
    </row>
    <row r="50" spans="2:16">
      <c r="B50" s="20" t="str">
        <f t="shared" ref="B50:B113" si="1">MID(C50,1,2)</f>
        <v>RM</v>
      </c>
      <c r="C50" s="11" t="s">
        <v>20</v>
      </c>
      <c r="D50" s="12" t="e">
        <f>VLOOKUP(C50,#REF!,2,0)</f>
        <v>#REF!</v>
      </c>
      <c r="E50" s="10" t="e">
        <f>VLOOKUP(C50,#REF!,4,0)</f>
        <v>#REF!</v>
      </c>
      <c r="F50" s="37" t="e">
        <f>VLOOKUP(C50,#REF!,8,0)</f>
        <v>#REF!</v>
      </c>
      <c r="G50" s="22" t="str">
        <f>IF(ISERROR(IF(VLOOKUP(C50,#REF!,2,0)&gt;0,"등록","")),"",(IF(VLOOKUP(C50,#REF!,2,0)&gt;0,"등록","")))</f>
        <v/>
      </c>
      <c r="H50" s="33" t="str">
        <f t="array" aca="1" ref="H50" ca="1">IF(ISERROR(OFFSET(#REF!,SMALL(IF(#REF!=RM시즌체크판!C50,ROW(#REF!)-20),1),)),"",(OFFSET(#REF!,SMALL(IF(#REF!=RM시즌체크판!C50,ROW(#REF!)-20),1),)))</f>
        <v/>
      </c>
      <c r="I50" s="34" t="str">
        <f t="array" aca="1" ref="I50" ca="1">IF(ISERROR(OFFSET(#REF!,SMALL(IF(#REF!=RM시즌체크판!C50,ROW(#REF!)-20),2),)),"",(OFFSET(#REF!,SMALL(IF(#REF!=RM시즌체크판!C50,ROW(#REF!)-20),2),)))</f>
        <v/>
      </c>
      <c r="J50" s="34" t="str">
        <f t="array" aca="1" ref="J50" ca="1">IF(ISERROR(OFFSET(#REF!,SMALL(IF(#REF!=RM시즌체크판!C50,ROW(#REF!)-20),3),)),"",(OFFSET(#REF!,SMALL(IF(#REF!=RM시즌체크판!C50,ROW(#REF!)-20),3),)))</f>
        <v/>
      </c>
      <c r="K50" s="34" t="str">
        <f t="array" aca="1" ref="K50" ca="1">IF(ISERROR(OFFSET(#REF!,SMALL(IF(#REF!=RM시즌체크판!C50,ROW(#REF!)-20),4),)),"",(OFFSET(#REF!,SMALL(IF(#REF!=RM시즌체크판!C50,ROW(#REF!)-20),4),)))</f>
        <v/>
      </c>
      <c r="L50" s="34" t="str">
        <f t="array" aca="1" ref="L50" ca="1">IF(ISERROR(OFFSET(#REF!,SMALL(IF(#REF!=RM시즌체크판!C50,ROW(#REF!)-20),5),)),"",(OFFSET(#REF!,SMALL(IF(#REF!=RM시즌체크판!C50,ROW(#REF!)-20),5),)))</f>
        <v/>
      </c>
      <c r="M50" s="35" t="str">
        <f t="array" aca="1" ref="M50" ca="1">IF(ISERROR(OFFSET(#REF!,SMALL(IF(#REF!=RM시즌체크판!C50,ROW(#REF!)-20),6),)),"",(OFFSET(#REF!,SMALL(IF(#REF!=RM시즌체크판!C50,ROW(#REF!)-20),6),)))</f>
        <v/>
      </c>
      <c r="N50" s="27" t="str">
        <f>IF(ISERROR(VLOOKUP(C50,모델촬영리스트!$C:$E,3,)),"",(VLOOKUP(C50,모델촬영리스트!$C:$E,3,)))</f>
        <v/>
      </c>
      <c r="O50" s="23" t="str">
        <f>IF(ISERROR(VLOOKUP(C50,배너촬영리스트!$C:$E,3,)),"",(VLOOKUP(C50,배너촬영리스트!$C:$E,3,)))</f>
        <v/>
      </c>
      <c r="P50" s="36" t="str">
        <f>IF(ISERROR(VLOOKUP(C50,배너촬영리스트!$C:$E,2,)),"",(VLOOKUP(C50,배너촬영리스트!$C:$E,2,)))</f>
        <v/>
      </c>
    </row>
    <row r="51" spans="2:16">
      <c r="B51" s="20" t="str">
        <f t="shared" si="1"/>
        <v>RM</v>
      </c>
      <c r="C51" s="11" t="s">
        <v>21</v>
      </c>
      <c r="D51" s="12" t="e">
        <f>VLOOKUP(C51,#REF!,2,0)</f>
        <v>#REF!</v>
      </c>
      <c r="E51" s="10" t="e">
        <f>VLOOKUP(C51,#REF!,4,0)</f>
        <v>#REF!</v>
      </c>
      <c r="F51" s="37" t="e">
        <f>VLOOKUP(C51,#REF!,8,0)</f>
        <v>#REF!</v>
      </c>
      <c r="G51" s="22" t="str">
        <f>IF(ISERROR(IF(VLOOKUP(C51,#REF!,2,0)&gt;0,"등록","")),"",(IF(VLOOKUP(C51,#REF!,2,0)&gt;0,"등록","")))</f>
        <v/>
      </c>
      <c r="H51" s="33" t="str">
        <f t="array" aca="1" ref="H51" ca="1">IF(ISERROR(OFFSET(#REF!,SMALL(IF(#REF!=RM시즌체크판!C51,ROW(#REF!)-20),1),)),"",(OFFSET(#REF!,SMALL(IF(#REF!=RM시즌체크판!C51,ROW(#REF!)-20),1),)))</f>
        <v/>
      </c>
      <c r="I51" s="34" t="str">
        <f t="array" aca="1" ref="I51" ca="1">IF(ISERROR(OFFSET(#REF!,SMALL(IF(#REF!=RM시즌체크판!C51,ROW(#REF!)-20),2),)),"",(OFFSET(#REF!,SMALL(IF(#REF!=RM시즌체크판!C51,ROW(#REF!)-20),2),)))</f>
        <v/>
      </c>
      <c r="J51" s="34" t="str">
        <f t="array" aca="1" ref="J51" ca="1">IF(ISERROR(OFFSET(#REF!,SMALL(IF(#REF!=RM시즌체크판!C51,ROW(#REF!)-20),3),)),"",(OFFSET(#REF!,SMALL(IF(#REF!=RM시즌체크판!C51,ROW(#REF!)-20),3),)))</f>
        <v/>
      </c>
      <c r="K51" s="34" t="str">
        <f t="array" aca="1" ref="K51" ca="1">IF(ISERROR(OFFSET(#REF!,SMALL(IF(#REF!=RM시즌체크판!C51,ROW(#REF!)-20),4),)),"",(OFFSET(#REF!,SMALL(IF(#REF!=RM시즌체크판!C51,ROW(#REF!)-20),4),)))</f>
        <v/>
      </c>
      <c r="L51" s="34" t="str">
        <f t="array" aca="1" ref="L51" ca="1">IF(ISERROR(OFFSET(#REF!,SMALL(IF(#REF!=RM시즌체크판!C51,ROW(#REF!)-20),5),)),"",(OFFSET(#REF!,SMALL(IF(#REF!=RM시즌체크판!C51,ROW(#REF!)-20),5),)))</f>
        <v/>
      </c>
      <c r="M51" s="35" t="str">
        <f t="array" aca="1" ref="M51" ca="1">IF(ISERROR(OFFSET(#REF!,SMALL(IF(#REF!=RM시즌체크판!C51,ROW(#REF!)-20),6),)),"",(OFFSET(#REF!,SMALL(IF(#REF!=RM시즌체크판!C51,ROW(#REF!)-20),6),)))</f>
        <v/>
      </c>
      <c r="N51" s="27" t="str">
        <f>IF(ISERROR(VLOOKUP(C51,모델촬영리스트!$C:$E,3,)),"",(VLOOKUP(C51,모델촬영리스트!$C:$E,3,)))</f>
        <v/>
      </c>
      <c r="O51" s="23" t="str">
        <f>IF(ISERROR(VLOOKUP(C51,배너촬영리스트!$C:$E,3,)),"",(VLOOKUP(C51,배너촬영리스트!$C:$E,3,)))</f>
        <v/>
      </c>
      <c r="P51" s="36" t="str">
        <f>IF(ISERROR(VLOOKUP(C51,배너촬영리스트!$C:$E,2,)),"",(VLOOKUP(C51,배너촬영리스트!$C:$E,2,)))</f>
        <v/>
      </c>
    </row>
    <row r="52" spans="2:16">
      <c r="B52" s="20" t="str">
        <f t="shared" si="1"/>
        <v>RM</v>
      </c>
      <c r="C52" s="11" t="s">
        <v>22</v>
      </c>
      <c r="D52" s="12" t="e">
        <f>VLOOKUP(C52,#REF!,2,0)</f>
        <v>#REF!</v>
      </c>
      <c r="E52" s="10" t="e">
        <f>VLOOKUP(C52,#REF!,4,0)</f>
        <v>#REF!</v>
      </c>
      <c r="F52" s="37" t="e">
        <f>VLOOKUP(C52,#REF!,8,0)</f>
        <v>#REF!</v>
      </c>
      <c r="G52" s="22" t="str">
        <f>IF(ISERROR(IF(VLOOKUP(C52,#REF!,2,0)&gt;0,"등록","")),"",(IF(VLOOKUP(C52,#REF!,2,0)&gt;0,"등록","")))</f>
        <v/>
      </c>
      <c r="H52" s="33" t="str">
        <f t="array" aca="1" ref="H52" ca="1">IF(ISERROR(OFFSET(#REF!,SMALL(IF(#REF!=RM시즌체크판!C52,ROW(#REF!)-20),1),)),"",(OFFSET(#REF!,SMALL(IF(#REF!=RM시즌체크판!C52,ROW(#REF!)-20),1),)))</f>
        <v/>
      </c>
      <c r="I52" s="34" t="str">
        <f t="array" aca="1" ref="I52" ca="1">IF(ISERROR(OFFSET(#REF!,SMALL(IF(#REF!=RM시즌체크판!C52,ROW(#REF!)-20),2),)),"",(OFFSET(#REF!,SMALL(IF(#REF!=RM시즌체크판!C52,ROW(#REF!)-20),2),)))</f>
        <v/>
      </c>
      <c r="J52" s="34" t="str">
        <f t="array" aca="1" ref="J52" ca="1">IF(ISERROR(OFFSET(#REF!,SMALL(IF(#REF!=RM시즌체크판!C52,ROW(#REF!)-20),3),)),"",(OFFSET(#REF!,SMALL(IF(#REF!=RM시즌체크판!C52,ROW(#REF!)-20),3),)))</f>
        <v/>
      </c>
      <c r="K52" s="34" t="str">
        <f t="array" aca="1" ref="K52" ca="1">IF(ISERROR(OFFSET(#REF!,SMALL(IF(#REF!=RM시즌체크판!C52,ROW(#REF!)-20),4),)),"",(OFFSET(#REF!,SMALL(IF(#REF!=RM시즌체크판!C52,ROW(#REF!)-20),4),)))</f>
        <v/>
      </c>
      <c r="L52" s="34" t="str">
        <f t="array" aca="1" ref="L52" ca="1">IF(ISERROR(OFFSET(#REF!,SMALL(IF(#REF!=RM시즌체크판!C52,ROW(#REF!)-20),5),)),"",(OFFSET(#REF!,SMALL(IF(#REF!=RM시즌체크판!C52,ROW(#REF!)-20),5),)))</f>
        <v/>
      </c>
      <c r="M52" s="35" t="str">
        <f t="array" aca="1" ref="M52" ca="1">IF(ISERROR(OFFSET(#REF!,SMALL(IF(#REF!=RM시즌체크판!C52,ROW(#REF!)-20),6),)),"",(OFFSET(#REF!,SMALL(IF(#REF!=RM시즌체크판!C52,ROW(#REF!)-20),6),)))</f>
        <v/>
      </c>
      <c r="N52" s="27" t="str">
        <f>IF(ISERROR(VLOOKUP(C52,모델촬영리스트!$C:$E,3,)),"",(VLOOKUP(C52,모델촬영리스트!$C:$E,3,)))</f>
        <v/>
      </c>
      <c r="O52" s="23" t="str">
        <f>IF(ISERROR(VLOOKUP(C52,배너촬영리스트!$C:$E,3,)),"",(VLOOKUP(C52,배너촬영리스트!$C:$E,3,)))</f>
        <v/>
      </c>
      <c r="P52" s="36" t="str">
        <f>IF(ISERROR(VLOOKUP(C52,배너촬영리스트!$C:$E,2,)),"",(VLOOKUP(C52,배너촬영리스트!$C:$E,2,)))</f>
        <v/>
      </c>
    </row>
    <row r="53" spans="2:16">
      <c r="B53" s="20" t="str">
        <f t="shared" si="1"/>
        <v>RM</v>
      </c>
      <c r="C53" s="11" t="s">
        <v>23</v>
      </c>
      <c r="D53" s="12" t="e">
        <f>VLOOKUP(C53,#REF!,2,0)</f>
        <v>#REF!</v>
      </c>
      <c r="E53" s="10" t="e">
        <f>VLOOKUP(C53,#REF!,4,0)</f>
        <v>#REF!</v>
      </c>
      <c r="F53" s="37" t="e">
        <f>VLOOKUP(C53,#REF!,8,0)</f>
        <v>#REF!</v>
      </c>
      <c r="G53" s="22" t="str">
        <f>IF(ISERROR(IF(VLOOKUP(C53,#REF!,2,0)&gt;0,"등록","")),"",(IF(VLOOKUP(C53,#REF!,2,0)&gt;0,"등록","")))</f>
        <v/>
      </c>
      <c r="H53" s="33" t="str">
        <f t="array" aca="1" ref="H53" ca="1">IF(ISERROR(OFFSET(#REF!,SMALL(IF(#REF!=RM시즌체크판!C53,ROW(#REF!)-20),1),)),"",(OFFSET(#REF!,SMALL(IF(#REF!=RM시즌체크판!C53,ROW(#REF!)-20),1),)))</f>
        <v/>
      </c>
      <c r="I53" s="34" t="str">
        <f t="array" aca="1" ref="I53" ca="1">IF(ISERROR(OFFSET(#REF!,SMALL(IF(#REF!=RM시즌체크판!C53,ROW(#REF!)-20),2),)),"",(OFFSET(#REF!,SMALL(IF(#REF!=RM시즌체크판!C53,ROW(#REF!)-20),2),)))</f>
        <v/>
      </c>
      <c r="J53" s="34" t="str">
        <f t="array" aca="1" ref="J53" ca="1">IF(ISERROR(OFFSET(#REF!,SMALL(IF(#REF!=RM시즌체크판!C53,ROW(#REF!)-20),3),)),"",(OFFSET(#REF!,SMALL(IF(#REF!=RM시즌체크판!C53,ROW(#REF!)-20),3),)))</f>
        <v/>
      </c>
      <c r="K53" s="34" t="str">
        <f t="array" aca="1" ref="K53" ca="1">IF(ISERROR(OFFSET(#REF!,SMALL(IF(#REF!=RM시즌체크판!C53,ROW(#REF!)-20),4),)),"",(OFFSET(#REF!,SMALL(IF(#REF!=RM시즌체크판!C53,ROW(#REF!)-20),4),)))</f>
        <v/>
      </c>
      <c r="L53" s="34" t="str">
        <f t="array" aca="1" ref="L53" ca="1">IF(ISERROR(OFFSET(#REF!,SMALL(IF(#REF!=RM시즌체크판!C53,ROW(#REF!)-20),5),)),"",(OFFSET(#REF!,SMALL(IF(#REF!=RM시즌체크판!C53,ROW(#REF!)-20),5),)))</f>
        <v/>
      </c>
      <c r="M53" s="35" t="str">
        <f t="array" aca="1" ref="M53" ca="1">IF(ISERROR(OFFSET(#REF!,SMALL(IF(#REF!=RM시즌체크판!C53,ROW(#REF!)-20),6),)),"",(OFFSET(#REF!,SMALL(IF(#REF!=RM시즌체크판!C53,ROW(#REF!)-20),6),)))</f>
        <v/>
      </c>
      <c r="N53" s="27" t="str">
        <f>IF(ISERROR(VLOOKUP(C53,모델촬영리스트!$C:$E,3,)),"",(VLOOKUP(C53,모델촬영리스트!$C:$E,3,)))</f>
        <v/>
      </c>
      <c r="O53" s="23" t="str">
        <f>IF(ISERROR(VLOOKUP(C53,배너촬영리스트!$C:$E,3,)),"",(VLOOKUP(C53,배너촬영리스트!$C:$E,3,)))</f>
        <v/>
      </c>
      <c r="P53" s="36" t="str">
        <f>IF(ISERROR(VLOOKUP(C53,배너촬영리스트!$C:$E,2,)),"",(VLOOKUP(C53,배너촬영리스트!$C:$E,2,)))</f>
        <v/>
      </c>
    </row>
    <row r="54" spans="2:16">
      <c r="B54" s="20" t="str">
        <f t="shared" si="1"/>
        <v>RM</v>
      </c>
      <c r="C54" s="11" t="s">
        <v>24</v>
      </c>
      <c r="D54" s="12" t="e">
        <f>VLOOKUP(C54,#REF!,2,0)</f>
        <v>#REF!</v>
      </c>
      <c r="E54" s="10" t="e">
        <f>VLOOKUP(C54,#REF!,4,0)</f>
        <v>#REF!</v>
      </c>
      <c r="F54" s="37" t="e">
        <f>VLOOKUP(C54,#REF!,8,0)</f>
        <v>#REF!</v>
      </c>
      <c r="G54" s="22" t="str">
        <f>IF(ISERROR(IF(VLOOKUP(C54,#REF!,2,0)&gt;0,"등록","")),"",(IF(VLOOKUP(C54,#REF!,2,0)&gt;0,"등록","")))</f>
        <v/>
      </c>
      <c r="H54" s="33" t="str">
        <f t="array" aca="1" ref="H54" ca="1">IF(ISERROR(OFFSET(#REF!,SMALL(IF(#REF!=RM시즌체크판!C54,ROW(#REF!)-20),1),)),"",(OFFSET(#REF!,SMALL(IF(#REF!=RM시즌체크판!C54,ROW(#REF!)-20),1),)))</f>
        <v/>
      </c>
      <c r="I54" s="34" t="str">
        <f t="array" aca="1" ref="I54" ca="1">IF(ISERROR(OFFSET(#REF!,SMALL(IF(#REF!=RM시즌체크판!C54,ROW(#REF!)-20),2),)),"",(OFFSET(#REF!,SMALL(IF(#REF!=RM시즌체크판!C54,ROW(#REF!)-20),2),)))</f>
        <v/>
      </c>
      <c r="J54" s="34" t="str">
        <f t="array" aca="1" ref="J54" ca="1">IF(ISERROR(OFFSET(#REF!,SMALL(IF(#REF!=RM시즌체크판!C54,ROW(#REF!)-20),3),)),"",(OFFSET(#REF!,SMALL(IF(#REF!=RM시즌체크판!C54,ROW(#REF!)-20),3),)))</f>
        <v/>
      </c>
      <c r="K54" s="34" t="str">
        <f t="array" aca="1" ref="K54" ca="1">IF(ISERROR(OFFSET(#REF!,SMALL(IF(#REF!=RM시즌체크판!C54,ROW(#REF!)-20),4),)),"",(OFFSET(#REF!,SMALL(IF(#REF!=RM시즌체크판!C54,ROW(#REF!)-20),4),)))</f>
        <v/>
      </c>
      <c r="L54" s="34" t="str">
        <f t="array" aca="1" ref="L54" ca="1">IF(ISERROR(OFFSET(#REF!,SMALL(IF(#REF!=RM시즌체크판!C54,ROW(#REF!)-20),5),)),"",(OFFSET(#REF!,SMALL(IF(#REF!=RM시즌체크판!C54,ROW(#REF!)-20),5),)))</f>
        <v/>
      </c>
      <c r="M54" s="35" t="str">
        <f t="array" aca="1" ref="M54" ca="1">IF(ISERROR(OFFSET(#REF!,SMALL(IF(#REF!=RM시즌체크판!C54,ROW(#REF!)-20),6),)),"",(OFFSET(#REF!,SMALL(IF(#REF!=RM시즌체크판!C54,ROW(#REF!)-20),6),)))</f>
        <v/>
      </c>
      <c r="N54" s="27" t="str">
        <f>IF(ISERROR(VLOOKUP(C54,모델촬영리스트!$C:$E,3,)),"",(VLOOKUP(C54,모델촬영리스트!$C:$E,3,)))</f>
        <v/>
      </c>
      <c r="O54" s="23" t="str">
        <f>IF(ISERROR(VLOOKUP(C54,배너촬영리스트!$C:$E,3,)),"",(VLOOKUP(C54,배너촬영리스트!$C:$E,3,)))</f>
        <v/>
      </c>
      <c r="P54" s="36" t="str">
        <f>IF(ISERROR(VLOOKUP(C54,배너촬영리스트!$C:$E,2,)),"",(VLOOKUP(C54,배너촬영리스트!$C:$E,2,)))</f>
        <v/>
      </c>
    </row>
    <row r="55" spans="2:16">
      <c r="B55" s="20" t="str">
        <f t="shared" si="1"/>
        <v>RM</v>
      </c>
      <c r="C55" s="11" t="s">
        <v>25</v>
      </c>
      <c r="D55" s="12" t="e">
        <f>VLOOKUP(C55,#REF!,2,0)</f>
        <v>#REF!</v>
      </c>
      <c r="E55" s="10" t="e">
        <f>VLOOKUP(C55,#REF!,4,0)</f>
        <v>#REF!</v>
      </c>
      <c r="F55" s="37" t="e">
        <f>VLOOKUP(C55,#REF!,8,0)</f>
        <v>#REF!</v>
      </c>
      <c r="G55" s="22" t="str">
        <f>IF(ISERROR(IF(VLOOKUP(C55,#REF!,2,0)&gt;0,"등록","")),"",(IF(VLOOKUP(C55,#REF!,2,0)&gt;0,"등록","")))</f>
        <v/>
      </c>
      <c r="H55" s="33" t="str">
        <f t="array" aca="1" ref="H55" ca="1">IF(ISERROR(OFFSET(#REF!,SMALL(IF(#REF!=RM시즌체크판!C55,ROW(#REF!)-20),1),)),"",(OFFSET(#REF!,SMALL(IF(#REF!=RM시즌체크판!C55,ROW(#REF!)-20),1),)))</f>
        <v/>
      </c>
      <c r="I55" s="34" t="str">
        <f t="array" aca="1" ref="I55" ca="1">IF(ISERROR(OFFSET(#REF!,SMALL(IF(#REF!=RM시즌체크판!C55,ROW(#REF!)-20),2),)),"",(OFFSET(#REF!,SMALL(IF(#REF!=RM시즌체크판!C55,ROW(#REF!)-20),2),)))</f>
        <v/>
      </c>
      <c r="J55" s="34" t="str">
        <f t="array" aca="1" ref="J55" ca="1">IF(ISERROR(OFFSET(#REF!,SMALL(IF(#REF!=RM시즌체크판!C55,ROW(#REF!)-20),3),)),"",(OFFSET(#REF!,SMALL(IF(#REF!=RM시즌체크판!C55,ROW(#REF!)-20),3),)))</f>
        <v/>
      </c>
      <c r="K55" s="34" t="str">
        <f t="array" aca="1" ref="K55" ca="1">IF(ISERROR(OFFSET(#REF!,SMALL(IF(#REF!=RM시즌체크판!C55,ROW(#REF!)-20),4),)),"",(OFFSET(#REF!,SMALL(IF(#REF!=RM시즌체크판!C55,ROW(#REF!)-20),4),)))</f>
        <v/>
      </c>
      <c r="L55" s="34" t="str">
        <f t="array" aca="1" ref="L55" ca="1">IF(ISERROR(OFFSET(#REF!,SMALL(IF(#REF!=RM시즌체크판!C55,ROW(#REF!)-20),5),)),"",(OFFSET(#REF!,SMALL(IF(#REF!=RM시즌체크판!C55,ROW(#REF!)-20),5),)))</f>
        <v/>
      </c>
      <c r="M55" s="35" t="str">
        <f t="array" aca="1" ref="M55" ca="1">IF(ISERROR(OFFSET(#REF!,SMALL(IF(#REF!=RM시즌체크판!C55,ROW(#REF!)-20),6),)),"",(OFFSET(#REF!,SMALL(IF(#REF!=RM시즌체크판!C55,ROW(#REF!)-20),6),)))</f>
        <v/>
      </c>
      <c r="N55" s="27" t="str">
        <f>IF(ISERROR(VLOOKUP(C55,모델촬영리스트!$C:$E,3,)),"",(VLOOKUP(C55,모델촬영리스트!$C:$E,3,)))</f>
        <v/>
      </c>
      <c r="O55" s="23" t="str">
        <f>IF(ISERROR(VLOOKUP(C55,배너촬영리스트!$C:$E,3,)),"",(VLOOKUP(C55,배너촬영리스트!$C:$E,3,)))</f>
        <v/>
      </c>
      <c r="P55" s="36" t="str">
        <f>IF(ISERROR(VLOOKUP(C55,배너촬영리스트!$C:$E,2,)),"",(VLOOKUP(C55,배너촬영리스트!$C:$E,2,)))</f>
        <v/>
      </c>
    </row>
    <row r="56" spans="2:16">
      <c r="B56" s="20" t="str">
        <f t="shared" si="1"/>
        <v>RM</v>
      </c>
      <c r="C56" s="11" t="s">
        <v>46</v>
      </c>
      <c r="D56" s="12" t="e">
        <f>VLOOKUP(C56,#REF!,2,0)</f>
        <v>#REF!</v>
      </c>
      <c r="E56" s="10" t="e">
        <f>VLOOKUP(C56,#REF!,4,0)</f>
        <v>#REF!</v>
      </c>
      <c r="F56" s="37" t="e">
        <f>VLOOKUP(C56,#REF!,8,0)</f>
        <v>#REF!</v>
      </c>
      <c r="G56" s="22" t="str">
        <f>IF(ISERROR(IF(VLOOKUP(C56,#REF!,2,0)&gt;0,"등록","")),"",(IF(VLOOKUP(C56,#REF!,2,0)&gt;0,"등록","")))</f>
        <v/>
      </c>
      <c r="H56" s="33" t="str">
        <f t="array" aca="1" ref="H56" ca="1">IF(ISERROR(OFFSET(#REF!,SMALL(IF(#REF!=RM시즌체크판!C56,ROW(#REF!)-20),1),)),"",(OFFSET(#REF!,SMALL(IF(#REF!=RM시즌체크판!C56,ROW(#REF!)-20),1),)))</f>
        <v/>
      </c>
      <c r="I56" s="34" t="str">
        <f t="array" aca="1" ref="I56" ca="1">IF(ISERROR(OFFSET(#REF!,SMALL(IF(#REF!=RM시즌체크판!C56,ROW(#REF!)-20),2),)),"",(OFFSET(#REF!,SMALL(IF(#REF!=RM시즌체크판!C56,ROW(#REF!)-20),2),)))</f>
        <v/>
      </c>
      <c r="J56" s="34" t="str">
        <f t="array" aca="1" ref="J56" ca="1">IF(ISERROR(OFFSET(#REF!,SMALL(IF(#REF!=RM시즌체크판!C56,ROW(#REF!)-20),3),)),"",(OFFSET(#REF!,SMALL(IF(#REF!=RM시즌체크판!C56,ROW(#REF!)-20),3),)))</f>
        <v/>
      </c>
      <c r="K56" s="34" t="str">
        <f t="array" aca="1" ref="K56" ca="1">IF(ISERROR(OFFSET(#REF!,SMALL(IF(#REF!=RM시즌체크판!C56,ROW(#REF!)-20),4),)),"",(OFFSET(#REF!,SMALL(IF(#REF!=RM시즌체크판!C56,ROW(#REF!)-20),4),)))</f>
        <v/>
      </c>
      <c r="L56" s="34" t="str">
        <f t="array" aca="1" ref="L56" ca="1">IF(ISERROR(OFFSET(#REF!,SMALL(IF(#REF!=RM시즌체크판!C56,ROW(#REF!)-20),5),)),"",(OFFSET(#REF!,SMALL(IF(#REF!=RM시즌체크판!C56,ROW(#REF!)-20),5),)))</f>
        <v/>
      </c>
      <c r="M56" s="35" t="str">
        <f t="array" aca="1" ref="M56" ca="1">IF(ISERROR(OFFSET(#REF!,SMALL(IF(#REF!=RM시즌체크판!C56,ROW(#REF!)-20),6),)),"",(OFFSET(#REF!,SMALL(IF(#REF!=RM시즌체크판!C56,ROW(#REF!)-20),6),)))</f>
        <v/>
      </c>
      <c r="N56" s="27" t="str">
        <f>IF(ISERROR(VLOOKUP(C56,모델촬영리스트!$C:$E,3,)),"",(VLOOKUP(C56,모델촬영리스트!$C:$E,3,)))</f>
        <v/>
      </c>
      <c r="O56" s="23" t="str">
        <f>IF(ISERROR(VLOOKUP(C56,배너촬영리스트!$C:$E,3,)),"",(VLOOKUP(C56,배너촬영리스트!$C:$E,3,)))</f>
        <v/>
      </c>
      <c r="P56" s="36" t="str">
        <f>IF(ISERROR(VLOOKUP(C56,배너촬영리스트!$C:$E,2,)),"",(VLOOKUP(C56,배너촬영리스트!$C:$E,2,)))</f>
        <v/>
      </c>
    </row>
    <row r="57" spans="2:16">
      <c r="B57" s="20" t="str">
        <f t="shared" si="1"/>
        <v>RM</v>
      </c>
      <c r="C57" s="11" t="s">
        <v>47</v>
      </c>
      <c r="D57" s="12" t="e">
        <f>VLOOKUP(C57,#REF!,2,0)</f>
        <v>#REF!</v>
      </c>
      <c r="E57" s="10" t="e">
        <f>VLOOKUP(C57,#REF!,4,0)</f>
        <v>#REF!</v>
      </c>
      <c r="F57" s="37" t="e">
        <f>VLOOKUP(C57,#REF!,8,0)</f>
        <v>#REF!</v>
      </c>
      <c r="G57" s="22" t="str">
        <f>IF(ISERROR(IF(VLOOKUP(C57,#REF!,2,0)&gt;0,"등록","")),"",(IF(VLOOKUP(C57,#REF!,2,0)&gt;0,"등록","")))</f>
        <v/>
      </c>
      <c r="H57" s="33" t="str">
        <f t="array" aca="1" ref="H57" ca="1">IF(ISERROR(OFFSET(#REF!,SMALL(IF(#REF!=RM시즌체크판!C57,ROW(#REF!)-20),1),)),"",(OFFSET(#REF!,SMALL(IF(#REF!=RM시즌체크판!C57,ROW(#REF!)-20),1),)))</f>
        <v/>
      </c>
      <c r="I57" s="34" t="str">
        <f t="array" aca="1" ref="I57" ca="1">IF(ISERROR(OFFSET(#REF!,SMALL(IF(#REF!=RM시즌체크판!C57,ROW(#REF!)-20),2),)),"",(OFFSET(#REF!,SMALL(IF(#REF!=RM시즌체크판!C57,ROW(#REF!)-20),2),)))</f>
        <v/>
      </c>
      <c r="J57" s="34" t="str">
        <f t="array" aca="1" ref="J57" ca="1">IF(ISERROR(OFFSET(#REF!,SMALL(IF(#REF!=RM시즌체크판!C57,ROW(#REF!)-20),3),)),"",(OFFSET(#REF!,SMALL(IF(#REF!=RM시즌체크판!C57,ROW(#REF!)-20),3),)))</f>
        <v/>
      </c>
      <c r="K57" s="34" t="str">
        <f t="array" aca="1" ref="K57" ca="1">IF(ISERROR(OFFSET(#REF!,SMALL(IF(#REF!=RM시즌체크판!C57,ROW(#REF!)-20),4),)),"",(OFFSET(#REF!,SMALL(IF(#REF!=RM시즌체크판!C57,ROW(#REF!)-20),4),)))</f>
        <v/>
      </c>
      <c r="L57" s="34" t="str">
        <f t="array" aca="1" ref="L57" ca="1">IF(ISERROR(OFFSET(#REF!,SMALL(IF(#REF!=RM시즌체크판!C57,ROW(#REF!)-20),5),)),"",(OFFSET(#REF!,SMALL(IF(#REF!=RM시즌체크판!C57,ROW(#REF!)-20),5),)))</f>
        <v/>
      </c>
      <c r="M57" s="35" t="str">
        <f t="array" aca="1" ref="M57" ca="1">IF(ISERROR(OFFSET(#REF!,SMALL(IF(#REF!=RM시즌체크판!C57,ROW(#REF!)-20),6),)),"",(OFFSET(#REF!,SMALL(IF(#REF!=RM시즌체크판!C57,ROW(#REF!)-20),6),)))</f>
        <v/>
      </c>
      <c r="N57" s="27" t="str">
        <f>IF(ISERROR(VLOOKUP(C57,모델촬영리스트!$C:$E,3,)),"",(VLOOKUP(C57,모델촬영리스트!$C:$E,3,)))</f>
        <v/>
      </c>
      <c r="O57" s="23" t="str">
        <f>IF(ISERROR(VLOOKUP(C57,배너촬영리스트!$C:$E,3,)),"",(VLOOKUP(C57,배너촬영리스트!$C:$E,3,)))</f>
        <v/>
      </c>
      <c r="P57" s="36" t="str">
        <f>IF(ISERROR(VLOOKUP(C57,배너촬영리스트!$C:$E,2,)),"",(VLOOKUP(C57,배너촬영리스트!$C:$E,2,)))</f>
        <v/>
      </c>
    </row>
    <row r="58" spans="2:16">
      <c r="B58" s="20" t="str">
        <f t="shared" si="1"/>
        <v>RM</v>
      </c>
      <c r="C58" s="11" t="s">
        <v>48</v>
      </c>
      <c r="D58" s="12" t="e">
        <f>VLOOKUP(C58,#REF!,2,0)</f>
        <v>#REF!</v>
      </c>
      <c r="E58" s="10" t="e">
        <f>VLOOKUP(C58,#REF!,4,0)</f>
        <v>#REF!</v>
      </c>
      <c r="F58" s="37" t="e">
        <f>VLOOKUP(C58,#REF!,8,0)</f>
        <v>#REF!</v>
      </c>
      <c r="G58" s="22" t="str">
        <f>IF(ISERROR(IF(VLOOKUP(C58,#REF!,2,0)&gt;0,"등록","")),"",(IF(VLOOKUP(C58,#REF!,2,0)&gt;0,"등록","")))</f>
        <v/>
      </c>
      <c r="H58" s="33" t="str">
        <f t="array" aca="1" ref="H58" ca="1">IF(ISERROR(OFFSET(#REF!,SMALL(IF(#REF!=RM시즌체크판!C58,ROW(#REF!)-20),1),)),"",(OFFSET(#REF!,SMALL(IF(#REF!=RM시즌체크판!C58,ROW(#REF!)-20),1),)))</f>
        <v/>
      </c>
      <c r="I58" s="34" t="str">
        <f t="array" aca="1" ref="I58" ca="1">IF(ISERROR(OFFSET(#REF!,SMALL(IF(#REF!=RM시즌체크판!C58,ROW(#REF!)-20),2),)),"",(OFFSET(#REF!,SMALL(IF(#REF!=RM시즌체크판!C58,ROW(#REF!)-20),2),)))</f>
        <v/>
      </c>
      <c r="J58" s="34" t="str">
        <f t="array" aca="1" ref="J58" ca="1">IF(ISERROR(OFFSET(#REF!,SMALL(IF(#REF!=RM시즌체크판!C58,ROW(#REF!)-20),3),)),"",(OFFSET(#REF!,SMALL(IF(#REF!=RM시즌체크판!C58,ROW(#REF!)-20),3),)))</f>
        <v/>
      </c>
      <c r="K58" s="34" t="str">
        <f t="array" aca="1" ref="K58" ca="1">IF(ISERROR(OFFSET(#REF!,SMALL(IF(#REF!=RM시즌체크판!C58,ROW(#REF!)-20),4),)),"",(OFFSET(#REF!,SMALL(IF(#REF!=RM시즌체크판!C58,ROW(#REF!)-20),4),)))</f>
        <v/>
      </c>
      <c r="L58" s="34" t="str">
        <f t="array" aca="1" ref="L58" ca="1">IF(ISERROR(OFFSET(#REF!,SMALL(IF(#REF!=RM시즌체크판!C58,ROW(#REF!)-20),5),)),"",(OFFSET(#REF!,SMALL(IF(#REF!=RM시즌체크판!C58,ROW(#REF!)-20),5),)))</f>
        <v/>
      </c>
      <c r="M58" s="35" t="str">
        <f t="array" aca="1" ref="M58" ca="1">IF(ISERROR(OFFSET(#REF!,SMALL(IF(#REF!=RM시즌체크판!C58,ROW(#REF!)-20),6),)),"",(OFFSET(#REF!,SMALL(IF(#REF!=RM시즌체크판!C58,ROW(#REF!)-20),6),)))</f>
        <v/>
      </c>
      <c r="N58" s="27" t="str">
        <f>IF(ISERROR(VLOOKUP(C58,모델촬영리스트!$C:$E,3,)),"",(VLOOKUP(C58,모델촬영리스트!$C:$E,3,)))</f>
        <v/>
      </c>
      <c r="O58" s="23" t="str">
        <f>IF(ISERROR(VLOOKUP(C58,배너촬영리스트!$C:$E,3,)),"",(VLOOKUP(C58,배너촬영리스트!$C:$E,3,)))</f>
        <v/>
      </c>
      <c r="P58" s="36" t="str">
        <f>IF(ISERROR(VLOOKUP(C58,배너촬영리스트!$C:$E,2,)),"",(VLOOKUP(C58,배너촬영리스트!$C:$E,2,)))</f>
        <v/>
      </c>
    </row>
    <row r="59" spans="2:16">
      <c r="B59" s="20" t="str">
        <f t="shared" si="1"/>
        <v>RM</v>
      </c>
      <c r="C59" s="11" t="s">
        <v>49</v>
      </c>
      <c r="D59" s="12" t="e">
        <f>VLOOKUP(C59,#REF!,2,0)</f>
        <v>#REF!</v>
      </c>
      <c r="E59" s="10" t="e">
        <f>VLOOKUP(C59,#REF!,4,0)</f>
        <v>#REF!</v>
      </c>
      <c r="F59" s="37" t="e">
        <f>VLOOKUP(C59,#REF!,8,0)</f>
        <v>#REF!</v>
      </c>
      <c r="G59" s="22" t="str">
        <f>IF(ISERROR(IF(VLOOKUP(C59,#REF!,2,0)&gt;0,"등록","")),"",(IF(VLOOKUP(C59,#REF!,2,0)&gt;0,"등록","")))</f>
        <v/>
      </c>
      <c r="H59" s="33" t="str">
        <f t="array" aca="1" ref="H59" ca="1">IF(ISERROR(OFFSET(#REF!,SMALL(IF(#REF!=RM시즌체크판!C59,ROW(#REF!)-20),1),)),"",(OFFSET(#REF!,SMALL(IF(#REF!=RM시즌체크판!C59,ROW(#REF!)-20),1),)))</f>
        <v/>
      </c>
      <c r="I59" s="34" t="str">
        <f t="array" aca="1" ref="I59" ca="1">IF(ISERROR(OFFSET(#REF!,SMALL(IF(#REF!=RM시즌체크판!C59,ROW(#REF!)-20),2),)),"",(OFFSET(#REF!,SMALL(IF(#REF!=RM시즌체크판!C59,ROW(#REF!)-20),2),)))</f>
        <v/>
      </c>
      <c r="J59" s="34" t="str">
        <f t="array" aca="1" ref="J59" ca="1">IF(ISERROR(OFFSET(#REF!,SMALL(IF(#REF!=RM시즌체크판!C59,ROW(#REF!)-20),3),)),"",(OFFSET(#REF!,SMALL(IF(#REF!=RM시즌체크판!C59,ROW(#REF!)-20),3),)))</f>
        <v/>
      </c>
      <c r="K59" s="34" t="str">
        <f t="array" aca="1" ref="K59" ca="1">IF(ISERROR(OFFSET(#REF!,SMALL(IF(#REF!=RM시즌체크판!C59,ROW(#REF!)-20),4),)),"",(OFFSET(#REF!,SMALL(IF(#REF!=RM시즌체크판!C59,ROW(#REF!)-20),4),)))</f>
        <v/>
      </c>
      <c r="L59" s="34" t="str">
        <f t="array" aca="1" ref="L59" ca="1">IF(ISERROR(OFFSET(#REF!,SMALL(IF(#REF!=RM시즌체크판!C59,ROW(#REF!)-20),5),)),"",(OFFSET(#REF!,SMALL(IF(#REF!=RM시즌체크판!C59,ROW(#REF!)-20),5),)))</f>
        <v/>
      </c>
      <c r="M59" s="35" t="str">
        <f t="array" aca="1" ref="M59" ca="1">IF(ISERROR(OFFSET(#REF!,SMALL(IF(#REF!=RM시즌체크판!C59,ROW(#REF!)-20),6),)),"",(OFFSET(#REF!,SMALL(IF(#REF!=RM시즌체크판!C59,ROW(#REF!)-20),6),)))</f>
        <v/>
      </c>
      <c r="N59" s="27" t="str">
        <f>IF(ISERROR(VLOOKUP(C59,모델촬영리스트!$C:$E,3,)),"",(VLOOKUP(C59,모델촬영리스트!$C:$E,3,)))</f>
        <v/>
      </c>
      <c r="O59" s="23" t="str">
        <f>IF(ISERROR(VLOOKUP(C59,배너촬영리스트!$C:$E,3,)),"",(VLOOKUP(C59,배너촬영리스트!$C:$E,3,)))</f>
        <v/>
      </c>
      <c r="P59" s="36" t="str">
        <f>IF(ISERROR(VLOOKUP(C59,배너촬영리스트!$C:$E,2,)),"",(VLOOKUP(C59,배너촬영리스트!$C:$E,2,)))</f>
        <v/>
      </c>
    </row>
    <row r="60" spans="2:16">
      <c r="B60" s="20" t="str">
        <f t="shared" si="1"/>
        <v>RM</v>
      </c>
      <c r="C60" s="11" t="s">
        <v>50</v>
      </c>
      <c r="D60" s="12" t="e">
        <f>VLOOKUP(C60,#REF!,2,0)</f>
        <v>#REF!</v>
      </c>
      <c r="E60" s="10" t="e">
        <f>VLOOKUP(C60,#REF!,4,0)</f>
        <v>#REF!</v>
      </c>
      <c r="F60" s="37" t="e">
        <f>VLOOKUP(C60,#REF!,8,0)</f>
        <v>#REF!</v>
      </c>
      <c r="G60" s="22" t="str">
        <f>IF(ISERROR(IF(VLOOKUP(C60,#REF!,2,0)&gt;0,"등록","")),"",(IF(VLOOKUP(C60,#REF!,2,0)&gt;0,"등록","")))</f>
        <v/>
      </c>
      <c r="H60" s="33" t="str">
        <f t="array" aca="1" ref="H60" ca="1">IF(ISERROR(OFFSET(#REF!,SMALL(IF(#REF!=RM시즌체크판!C60,ROW(#REF!)-20),1),)),"",(OFFSET(#REF!,SMALL(IF(#REF!=RM시즌체크판!C60,ROW(#REF!)-20),1),)))</f>
        <v/>
      </c>
      <c r="I60" s="34" t="str">
        <f t="array" aca="1" ref="I60" ca="1">IF(ISERROR(OFFSET(#REF!,SMALL(IF(#REF!=RM시즌체크판!C60,ROW(#REF!)-20),2),)),"",(OFFSET(#REF!,SMALL(IF(#REF!=RM시즌체크판!C60,ROW(#REF!)-20),2),)))</f>
        <v/>
      </c>
      <c r="J60" s="34" t="str">
        <f t="array" aca="1" ref="J60" ca="1">IF(ISERROR(OFFSET(#REF!,SMALL(IF(#REF!=RM시즌체크판!C60,ROW(#REF!)-20),3),)),"",(OFFSET(#REF!,SMALL(IF(#REF!=RM시즌체크판!C60,ROW(#REF!)-20),3),)))</f>
        <v/>
      </c>
      <c r="K60" s="34" t="str">
        <f t="array" aca="1" ref="K60" ca="1">IF(ISERROR(OFFSET(#REF!,SMALL(IF(#REF!=RM시즌체크판!C60,ROW(#REF!)-20),4),)),"",(OFFSET(#REF!,SMALL(IF(#REF!=RM시즌체크판!C60,ROW(#REF!)-20),4),)))</f>
        <v/>
      </c>
      <c r="L60" s="34" t="str">
        <f t="array" aca="1" ref="L60" ca="1">IF(ISERROR(OFFSET(#REF!,SMALL(IF(#REF!=RM시즌체크판!C60,ROW(#REF!)-20),5),)),"",(OFFSET(#REF!,SMALL(IF(#REF!=RM시즌체크판!C60,ROW(#REF!)-20),5),)))</f>
        <v/>
      </c>
      <c r="M60" s="35" t="str">
        <f t="array" aca="1" ref="M60" ca="1">IF(ISERROR(OFFSET(#REF!,SMALL(IF(#REF!=RM시즌체크판!C60,ROW(#REF!)-20),6),)),"",(OFFSET(#REF!,SMALL(IF(#REF!=RM시즌체크판!C60,ROW(#REF!)-20),6),)))</f>
        <v/>
      </c>
      <c r="N60" s="27" t="str">
        <f>IF(ISERROR(VLOOKUP(C60,모델촬영리스트!$C:$E,3,)),"",(VLOOKUP(C60,모델촬영리스트!$C:$E,3,)))</f>
        <v/>
      </c>
      <c r="O60" s="23" t="str">
        <f>IF(ISERROR(VLOOKUP(C60,배너촬영리스트!$C:$E,3,)),"",(VLOOKUP(C60,배너촬영리스트!$C:$E,3,)))</f>
        <v/>
      </c>
      <c r="P60" s="36" t="str">
        <f>IF(ISERROR(VLOOKUP(C60,배너촬영리스트!$C:$E,2,)),"",(VLOOKUP(C60,배너촬영리스트!$C:$E,2,)))</f>
        <v/>
      </c>
    </row>
    <row r="61" spans="2:16">
      <c r="B61" s="20" t="str">
        <f t="shared" si="1"/>
        <v>RM</v>
      </c>
      <c r="C61" s="11" t="s">
        <v>64</v>
      </c>
      <c r="D61" s="12" t="e">
        <f>VLOOKUP(C61,#REF!,2,0)</f>
        <v>#REF!</v>
      </c>
      <c r="E61" s="10" t="e">
        <f>VLOOKUP(C61,#REF!,4,0)</f>
        <v>#REF!</v>
      </c>
      <c r="F61" s="37" t="e">
        <f>VLOOKUP(C61,#REF!,8,0)</f>
        <v>#REF!</v>
      </c>
      <c r="G61" s="22" t="str">
        <f>IF(ISERROR(IF(VLOOKUP(C61,#REF!,2,0)&gt;0,"등록","")),"",(IF(VLOOKUP(C61,#REF!,2,0)&gt;0,"등록","")))</f>
        <v/>
      </c>
      <c r="H61" s="33" t="str">
        <f t="array" aca="1" ref="H61" ca="1">IF(ISERROR(OFFSET(#REF!,SMALL(IF(#REF!=RM시즌체크판!C61,ROW(#REF!)-20),1),)),"",(OFFSET(#REF!,SMALL(IF(#REF!=RM시즌체크판!C61,ROW(#REF!)-20),1),)))</f>
        <v/>
      </c>
      <c r="I61" s="34" t="str">
        <f t="array" aca="1" ref="I61" ca="1">IF(ISERROR(OFFSET(#REF!,SMALL(IF(#REF!=RM시즌체크판!C61,ROW(#REF!)-20),2),)),"",(OFFSET(#REF!,SMALL(IF(#REF!=RM시즌체크판!C61,ROW(#REF!)-20),2),)))</f>
        <v/>
      </c>
      <c r="J61" s="34" t="str">
        <f t="array" aca="1" ref="J61" ca="1">IF(ISERROR(OFFSET(#REF!,SMALL(IF(#REF!=RM시즌체크판!C61,ROW(#REF!)-20),3),)),"",(OFFSET(#REF!,SMALL(IF(#REF!=RM시즌체크판!C61,ROW(#REF!)-20),3),)))</f>
        <v/>
      </c>
      <c r="K61" s="34" t="str">
        <f t="array" aca="1" ref="K61" ca="1">IF(ISERROR(OFFSET(#REF!,SMALL(IF(#REF!=RM시즌체크판!C61,ROW(#REF!)-20),4),)),"",(OFFSET(#REF!,SMALL(IF(#REF!=RM시즌체크판!C61,ROW(#REF!)-20),4),)))</f>
        <v/>
      </c>
      <c r="L61" s="34" t="str">
        <f t="array" aca="1" ref="L61" ca="1">IF(ISERROR(OFFSET(#REF!,SMALL(IF(#REF!=RM시즌체크판!C61,ROW(#REF!)-20),5),)),"",(OFFSET(#REF!,SMALL(IF(#REF!=RM시즌체크판!C61,ROW(#REF!)-20),5),)))</f>
        <v/>
      </c>
      <c r="M61" s="35" t="str">
        <f t="array" aca="1" ref="M61" ca="1">IF(ISERROR(OFFSET(#REF!,SMALL(IF(#REF!=RM시즌체크판!C61,ROW(#REF!)-20),6),)),"",(OFFSET(#REF!,SMALL(IF(#REF!=RM시즌체크판!C61,ROW(#REF!)-20),6),)))</f>
        <v/>
      </c>
      <c r="N61" s="27" t="str">
        <f>IF(ISERROR(VLOOKUP(C61,모델촬영리스트!$C:$E,3,)),"",(VLOOKUP(C61,모델촬영리스트!$C:$E,3,)))</f>
        <v/>
      </c>
      <c r="O61" s="23" t="str">
        <f>IF(ISERROR(VLOOKUP(C61,배너촬영리스트!$C:$E,3,)),"",(VLOOKUP(C61,배너촬영리스트!$C:$E,3,)))</f>
        <v/>
      </c>
      <c r="P61" s="36" t="str">
        <f>IF(ISERROR(VLOOKUP(C61,배너촬영리스트!$C:$E,2,)),"",(VLOOKUP(C61,배너촬영리스트!$C:$E,2,)))</f>
        <v/>
      </c>
    </row>
    <row r="62" spans="2:16">
      <c r="B62" s="20" t="str">
        <f t="shared" si="1"/>
        <v>RM</v>
      </c>
      <c r="C62" s="11" t="s">
        <v>65</v>
      </c>
      <c r="D62" s="12" t="e">
        <f>VLOOKUP(C62,#REF!,2,0)</f>
        <v>#REF!</v>
      </c>
      <c r="E62" s="10" t="e">
        <f>VLOOKUP(C62,#REF!,4,0)</f>
        <v>#REF!</v>
      </c>
      <c r="F62" s="37" t="e">
        <f>VLOOKUP(C62,#REF!,8,0)</f>
        <v>#REF!</v>
      </c>
      <c r="G62" s="22" t="str">
        <f>IF(ISERROR(IF(VLOOKUP(C62,#REF!,2,0)&gt;0,"등록","")),"",(IF(VLOOKUP(C62,#REF!,2,0)&gt;0,"등록","")))</f>
        <v/>
      </c>
      <c r="H62" s="33" t="str">
        <f t="array" aca="1" ref="H62" ca="1">IF(ISERROR(OFFSET(#REF!,SMALL(IF(#REF!=RM시즌체크판!C62,ROW(#REF!)-20),1),)),"",(OFFSET(#REF!,SMALL(IF(#REF!=RM시즌체크판!C62,ROW(#REF!)-20),1),)))</f>
        <v/>
      </c>
      <c r="I62" s="34" t="str">
        <f t="array" aca="1" ref="I62" ca="1">IF(ISERROR(OFFSET(#REF!,SMALL(IF(#REF!=RM시즌체크판!C62,ROW(#REF!)-20),2),)),"",(OFFSET(#REF!,SMALL(IF(#REF!=RM시즌체크판!C62,ROW(#REF!)-20),2),)))</f>
        <v/>
      </c>
      <c r="J62" s="34" t="str">
        <f t="array" aca="1" ref="J62" ca="1">IF(ISERROR(OFFSET(#REF!,SMALL(IF(#REF!=RM시즌체크판!C62,ROW(#REF!)-20),3),)),"",(OFFSET(#REF!,SMALL(IF(#REF!=RM시즌체크판!C62,ROW(#REF!)-20),3),)))</f>
        <v/>
      </c>
      <c r="K62" s="34" t="str">
        <f t="array" aca="1" ref="K62" ca="1">IF(ISERROR(OFFSET(#REF!,SMALL(IF(#REF!=RM시즌체크판!C62,ROW(#REF!)-20),4),)),"",(OFFSET(#REF!,SMALL(IF(#REF!=RM시즌체크판!C62,ROW(#REF!)-20),4),)))</f>
        <v/>
      </c>
      <c r="L62" s="34" t="str">
        <f t="array" aca="1" ref="L62" ca="1">IF(ISERROR(OFFSET(#REF!,SMALL(IF(#REF!=RM시즌체크판!C62,ROW(#REF!)-20),5),)),"",(OFFSET(#REF!,SMALL(IF(#REF!=RM시즌체크판!C62,ROW(#REF!)-20),5),)))</f>
        <v/>
      </c>
      <c r="M62" s="35" t="str">
        <f t="array" aca="1" ref="M62" ca="1">IF(ISERROR(OFFSET(#REF!,SMALL(IF(#REF!=RM시즌체크판!C62,ROW(#REF!)-20),6),)),"",(OFFSET(#REF!,SMALL(IF(#REF!=RM시즌체크판!C62,ROW(#REF!)-20),6),)))</f>
        <v/>
      </c>
      <c r="N62" s="27" t="str">
        <f>IF(ISERROR(VLOOKUP(C62,모델촬영리스트!$C:$E,3,)),"",(VLOOKUP(C62,모델촬영리스트!$C:$E,3,)))</f>
        <v/>
      </c>
      <c r="O62" s="23" t="str">
        <f>IF(ISERROR(VLOOKUP(C62,배너촬영리스트!$C:$E,3,)),"",(VLOOKUP(C62,배너촬영리스트!$C:$E,3,)))</f>
        <v/>
      </c>
      <c r="P62" s="36" t="str">
        <f>IF(ISERROR(VLOOKUP(C62,배너촬영리스트!$C:$E,2,)),"",(VLOOKUP(C62,배너촬영리스트!$C:$E,2,)))</f>
        <v/>
      </c>
    </row>
    <row r="63" spans="2:16">
      <c r="B63" s="20" t="str">
        <f t="shared" si="1"/>
        <v>RM</v>
      </c>
      <c r="C63" s="11" t="s">
        <v>66</v>
      </c>
      <c r="D63" s="12" t="e">
        <f>VLOOKUP(C63,#REF!,2,0)</f>
        <v>#REF!</v>
      </c>
      <c r="E63" s="10" t="e">
        <f>VLOOKUP(C63,#REF!,4,0)</f>
        <v>#REF!</v>
      </c>
      <c r="F63" s="37" t="e">
        <f>VLOOKUP(C63,#REF!,8,0)</f>
        <v>#REF!</v>
      </c>
      <c r="G63" s="22" t="str">
        <f>IF(ISERROR(IF(VLOOKUP(C63,#REF!,2,0)&gt;0,"등록","")),"",(IF(VLOOKUP(C63,#REF!,2,0)&gt;0,"등록","")))</f>
        <v/>
      </c>
      <c r="H63" s="33" t="str">
        <f t="array" aca="1" ref="H63" ca="1">IF(ISERROR(OFFSET(#REF!,SMALL(IF(#REF!=RM시즌체크판!C63,ROW(#REF!)-20),1),)),"",(OFFSET(#REF!,SMALL(IF(#REF!=RM시즌체크판!C63,ROW(#REF!)-20),1),)))</f>
        <v/>
      </c>
      <c r="I63" s="34" t="str">
        <f t="array" aca="1" ref="I63" ca="1">IF(ISERROR(OFFSET(#REF!,SMALL(IF(#REF!=RM시즌체크판!C63,ROW(#REF!)-20),2),)),"",(OFFSET(#REF!,SMALL(IF(#REF!=RM시즌체크판!C63,ROW(#REF!)-20),2),)))</f>
        <v/>
      </c>
      <c r="J63" s="34" t="str">
        <f t="array" aca="1" ref="J63" ca="1">IF(ISERROR(OFFSET(#REF!,SMALL(IF(#REF!=RM시즌체크판!C63,ROW(#REF!)-20),3),)),"",(OFFSET(#REF!,SMALL(IF(#REF!=RM시즌체크판!C63,ROW(#REF!)-20),3),)))</f>
        <v/>
      </c>
      <c r="K63" s="34" t="str">
        <f t="array" aca="1" ref="K63" ca="1">IF(ISERROR(OFFSET(#REF!,SMALL(IF(#REF!=RM시즌체크판!C63,ROW(#REF!)-20),4),)),"",(OFFSET(#REF!,SMALL(IF(#REF!=RM시즌체크판!C63,ROW(#REF!)-20),4),)))</f>
        <v/>
      </c>
      <c r="L63" s="34" t="str">
        <f t="array" aca="1" ref="L63" ca="1">IF(ISERROR(OFFSET(#REF!,SMALL(IF(#REF!=RM시즌체크판!C63,ROW(#REF!)-20),5),)),"",(OFFSET(#REF!,SMALL(IF(#REF!=RM시즌체크판!C63,ROW(#REF!)-20),5),)))</f>
        <v/>
      </c>
      <c r="M63" s="35" t="str">
        <f t="array" aca="1" ref="M63" ca="1">IF(ISERROR(OFFSET(#REF!,SMALL(IF(#REF!=RM시즌체크판!C63,ROW(#REF!)-20),6),)),"",(OFFSET(#REF!,SMALL(IF(#REF!=RM시즌체크판!C63,ROW(#REF!)-20),6),)))</f>
        <v/>
      </c>
      <c r="N63" s="27" t="str">
        <f>IF(ISERROR(VLOOKUP(C63,모델촬영리스트!$C:$E,3,)),"",(VLOOKUP(C63,모델촬영리스트!$C:$E,3,)))</f>
        <v/>
      </c>
      <c r="O63" s="23" t="str">
        <f>IF(ISERROR(VLOOKUP(C63,배너촬영리스트!$C:$E,3,)),"",(VLOOKUP(C63,배너촬영리스트!$C:$E,3,)))</f>
        <v/>
      </c>
      <c r="P63" s="36" t="str">
        <f>IF(ISERROR(VLOOKUP(C63,배너촬영리스트!$C:$E,2,)),"",(VLOOKUP(C63,배너촬영리스트!$C:$E,2,)))</f>
        <v/>
      </c>
    </row>
    <row r="64" spans="2:16">
      <c r="B64" s="20" t="str">
        <f t="shared" si="1"/>
        <v>RM</v>
      </c>
      <c r="C64" s="11" t="s">
        <v>67</v>
      </c>
      <c r="D64" s="12" t="e">
        <f>VLOOKUP(C64,#REF!,2,0)</f>
        <v>#REF!</v>
      </c>
      <c r="E64" s="10" t="e">
        <f>VLOOKUP(C64,#REF!,4,0)</f>
        <v>#REF!</v>
      </c>
      <c r="F64" s="37" t="e">
        <f>VLOOKUP(C64,#REF!,8,0)</f>
        <v>#REF!</v>
      </c>
      <c r="G64" s="22" t="str">
        <f>IF(ISERROR(IF(VLOOKUP(C64,#REF!,2,0)&gt;0,"등록","")),"",(IF(VLOOKUP(C64,#REF!,2,0)&gt;0,"등록","")))</f>
        <v/>
      </c>
      <c r="H64" s="33" t="str">
        <f t="array" aca="1" ref="H64" ca="1">IF(ISERROR(OFFSET(#REF!,SMALL(IF(#REF!=RM시즌체크판!C64,ROW(#REF!)-20),1),)),"",(OFFSET(#REF!,SMALL(IF(#REF!=RM시즌체크판!C64,ROW(#REF!)-20),1),)))</f>
        <v/>
      </c>
      <c r="I64" s="34" t="str">
        <f t="array" aca="1" ref="I64" ca="1">IF(ISERROR(OFFSET(#REF!,SMALL(IF(#REF!=RM시즌체크판!C64,ROW(#REF!)-20),2),)),"",(OFFSET(#REF!,SMALL(IF(#REF!=RM시즌체크판!C64,ROW(#REF!)-20),2),)))</f>
        <v/>
      </c>
      <c r="J64" s="34" t="str">
        <f t="array" aca="1" ref="J64" ca="1">IF(ISERROR(OFFSET(#REF!,SMALL(IF(#REF!=RM시즌체크판!C64,ROW(#REF!)-20),3),)),"",(OFFSET(#REF!,SMALL(IF(#REF!=RM시즌체크판!C64,ROW(#REF!)-20),3),)))</f>
        <v/>
      </c>
      <c r="K64" s="34" t="str">
        <f t="array" aca="1" ref="K64" ca="1">IF(ISERROR(OFFSET(#REF!,SMALL(IF(#REF!=RM시즌체크판!C64,ROW(#REF!)-20),4),)),"",(OFFSET(#REF!,SMALL(IF(#REF!=RM시즌체크판!C64,ROW(#REF!)-20),4),)))</f>
        <v/>
      </c>
      <c r="L64" s="34" t="str">
        <f t="array" aca="1" ref="L64" ca="1">IF(ISERROR(OFFSET(#REF!,SMALL(IF(#REF!=RM시즌체크판!C64,ROW(#REF!)-20),5),)),"",(OFFSET(#REF!,SMALL(IF(#REF!=RM시즌체크판!C64,ROW(#REF!)-20),5),)))</f>
        <v/>
      </c>
      <c r="M64" s="35" t="str">
        <f t="array" aca="1" ref="M64" ca="1">IF(ISERROR(OFFSET(#REF!,SMALL(IF(#REF!=RM시즌체크판!C64,ROW(#REF!)-20),6),)),"",(OFFSET(#REF!,SMALL(IF(#REF!=RM시즌체크판!C64,ROW(#REF!)-20),6),)))</f>
        <v/>
      </c>
      <c r="N64" s="27" t="str">
        <f>IF(ISERROR(VLOOKUP(C64,모델촬영리스트!$C:$E,3,)),"",(VLOOKUP(C64,모델촬영리스트!$C:$E,3,)))</f>
        <v/>
      </c>
      <c r="O64" s="23" t="str">
        <f>IF(ISERROR(VLOOKUP(C64,배너촬영리스트!$C:$E,3,)),"",(VLOOKUP(C64,배너촬영리스트!$C:$E,3,)))</f>
        <v/>
      </c>
      <c r="P64" s="36" t="str">
        <f>IF(ISERROR(VLOOKUP(C64,배너촬영리스트!$C:$E,2,)),"",(VLOOKUP(C64,배너촬영리스트!$C:$E,2,)))</f>
        <v/>
      </c>
    </row>
    <row r="65" spans="2:16">
      <c r="B65" s="20" t="str">
        <f t="shared" si="1"/>
        <v>RM</v>
      </c>
      <c r="C65" s="11" t="s">
        <v>68</v>
      </c>
      <c r="D65" s="12" t="e">
        <f>VLOOKUP(C65,#REF!,2,0)</f>
        <v>#REF!</v>
      </c>
      <c r="E65" s="10" t="e">
        <f>VLOOKUP(C65,#REF!,4,0)</f>
        <v>#REF!</v>
      </c>
      <c r="F65" s="37" t="e">
        <f>VLOOKUP(C65,#REF!,8,0)</f>
        <v>#REF!</v>
      </c>
      <c r="G65" s="22" t="str">
        <f>IF(ISERROR(IF(VLOOKUP(C65,#REF!,2,0)&gt;0,"등록","")),"",(IF(VLOOKUP(C65,#REF!,2,0)&gt;0,"등록","")))</f>
        <v/>
      </c>
      <c r="H65" s="33" t="str">
        <f t="array" aca="1" ref="H65" ca="1">IF(ISERROR(OFFSET(#REF!,SMALL(IF(#REF!=RM시즌체크판!C65,ROW(#REF!)-20),1),)),"",(OFFSET(#REF!,SMALL(IF(#REF!=RM시즌체크판!C65,ROW(#REF!)-20),1),)))</f>
        <v/>
      </c>
      <c r="I65" s="34" t="str">
        <f t="array" aca="1" ref="I65" ca="1">IF(ISERROR(OFFSET(#REF!,SMALL(IF(#REF!=RM시즌체크판!C65,ROW(#REF!)-20),2),)),"",(OFFSET(#REF!,SMALL(IF(#REF!=RM시즌체크판!C65,ROW(#REF!)-20),2),)))</f>
        <v/>
      </c>
      <c r="J65" s="34" t="str">
        <f t="array" aca="1" ref="J65" ca="1">IF(ISERROR(OFFSET(#REF!,SMALL(IF(#REF!=RM시즌체크판!C65,ROW(#REF!)-20),3),)),"",(OFFSET(#REF!,SMALL(IF(#REF!=RM시즌체크판!C65,ROW(#REF!)-20),3),)))</f>
        <v/>
      </c>
      <c r="K65" s="34" t="str">
        <f t="array" aca="1" ref="K65" ca="1">IF(ISERROR(OFFSET(#REF!,SMALL(IF(#REF!=RM시즌체크판!C65,ROW(#REF!)-20),4),)),"",(OFFSET(#REF!,SMALL(IF(#REF!=RM시즌체크판!C65,ROW(#REF!)-20),4),)))</f>
        <v/>
      </c>
      <c r="L65" s="34" t="str">
        <f t="array" aca="1" ref="L65" ca="1">IF(ISERROR(OFFSET(#REF!,SMALL(IF(#REF!=RM시즌체크판!C65,ROW(#REF!)-20),5),)),"",(OFFSET(#REF!,SMALL(IF(#REF!=RM시즌체크판!C65,ROW(#REF!)-20),5),)))</f>
        <v/>
      </c>
      <c r="M65" s="35" t="str">
        <f t="array" aca="1" ref="M65" ca="1">IF(ISERROR(OFFSET(#REF!,SMALL(IF(#REF!=RM시즌체크판!C65,ROW(#REF!)-20),6),)),"",(OFFSET(#REF!,SMALL(IF(#REF!=RM시즌체크판!C65,ROW(#REF!)-20),6),)))</f>
        <v/>
      </c>
      <c r="N65" s="27" t="str">
        <f>IF(ISERROR(VLOOKUP(C65,모델촬영리스트!$C:$E,3,)),"",(VLOOKUP(C65,모델촬영리스트!$C:$E,3,)))</f>
        <v/>
      </c>
      <c r="O65" s="23" t="str">
        <f>IF(ISERROR(VLOOKUP(C65,배너촬영리스트!$C:$E,3,)),"",(VLOOKUP(C65,배너촬영리스트!$C:$E,3,)))</f>
        <v/>
      </c>
      <c r="P65" s="36" t="str">
        <f>IF(ISERROR(VLOOKUP(C65,배너촬영리스트!$C:$E,2,)),"",(VLOOKUP(C65,배너촬영리스트!$C:$E,2,)))</f>
        <v/>
      </c>
    </row>
    <row r="66" spans="2:16">
      <c r="B66" s="20" t="str">
        <f t="shared" si="1"/>
        <v>RM</v>
      </c>
      <c r="C66" s="11" t="s">
        <v>69</v>
      </c>
      <c r="D66" s="12" t="e">
        <f>VLOOKUP(C66,#REF!,2,0)</f>
        <v>#REF!</v>
      </c>
      <c r="E66" s="10" t="e">
        <f>VLOOKUP(C66,#REF!,4,0)</f>
        <v>#REF!</v>
      </c>
      <c r="F66" s="37" t="e">
        <f>VLOOKUP(C66,#REF!,8,0)</f>
        <v>#REF!</v>
      </c>
      <c r="G66" s="22" t="str">
        <f>IF(ISERROR(IF(VLOOKUP(C66,#REF!,2,0)&gt;0,"등록","")),"",(IF(VLOOKUP(C66,#REF!,2,0)&gt;0,"등록","")))</f>
        <v/>
      </c>
      <c r="H66" s="33" t="str">
        <f t="array" aca="1" ref="H66" ca="1">IF(ISERROR(OFFSET(#REF!,SMALL(IF(#REF!=RM시즌체크판!C66,ROW(#REF!)-20),1),)),"",(OFFSET(#REF!,SMALL(IF(#REF!=RM시즌체크판!C66,ROW(#REF!)-20),1),)))</f>
        <v/>
      </c>
      <c r="I66" s="34" t="str">
        <f t="array" aca="1" ref="I66" ca="1">IF(ISERROR(OFFSET(#REF!,SMALL(IF(#REF!=RM시즌체크판!C66,ROW(#REF!)-20),2),)),"",(OFFSET(#REF!,SMALL(IF(#REF!=RM시즌체크판!C66,ROW(#REF!)-20),2),)))</f>
        <v/>
      </c>
      <c r="J66" s="34" t="str">
        <f t="array" aca="1" ref="J66" ca="1">IF(ISERROR(OFFSET(#REF!,SMALL(IF(#REF!=RM시즌체크판!C66,ROW(#REF!)-20),3),)),"",(OFFSET(#REF!,SMALL(IF(#REF!=RM시즌체크판!C66,ROW(#REF!)-20),3),)))</f>
        <v/>
      </c>
      <c r="K66" s="34" t="str">
        <f t="array" aca="1" ref="K66" ca="1">IF(ISERROR(OFFSET(#REF!,SMALL(IF(#REF!=RM시즌체크판!C66,ROW(#REF!)-20),4),)),"",(OFFSET(#REF!,SMALL(IF(#REF!=RM시즌체크판!C66,ROW(#REF!)-20),4),)))</f>
        <v/>
      </c>
      <c r="L66" s="34" t="str">
        <f t="array" aca="1" ref="L66" ca="1">IF(ISERROR(OFFSET(#REF!,SMALL(IF(#REF!=RM시즌체크판!C66,ROW(#REF!)-20),5),)),"",(OFFSET(#REF!,SMALL(IF(#REF!=RM시즌체크판!C66,ROW(#REF!)-20),5),)))</f>
        <v/>
      </c>
      <c r="M66" s="35" t="str">
        <f t="array" aca="1" ref="M66" ca="1">IF(ISERROR(OFFSET(#REF!,SMALL(IF(#REF!=RM시즌체크판!C66,ROW(#REF!)-20),6),)),"",(OFFSET(#REF!,SMALL(IF(#REF!=RM시즌체크판!C66,ROW(#REF!)-20),6),)))</f>
        <v/>
      </c>
      <c r="N66" s="27" t="str">
        <f>IF(ISERROR(VLOOKUP(C66,모델촬영리스트!$C:$E,3,)),"",(VLOOKUP(C66,모델촬영리스트!$C:$E,3,)))</f>
        <v/>
      </c>
      <c r="O66" s="23" t="str">
        <f>IF(ISERROR(VLOOKUP(C66,배너촬영리스트!$C:$E,3,)),"",(VLOOKUP(C66,배너촬영리스트!$C:$E,3,)))</f>
        <v/>
      </c>
      <c r="P66" s="36" t="str">
        <f>IF(ISERROR(VLOOKUP(C66,배너촬영리스트!$C:$E,2,)),"",(VLOOKUP(C66,배너촬영리스트!$C:$E,2,)))</f>
        <v/>
      </c>
    </row>
    <row r="67" spans="2:16">
      <c r="B67" s="20" t="str">
        <f t="shared" si="1"/>
        <v>RM</v>
      </c>
      <c r="C67" s="11" t="s">
        <v>70</v>
      </c>
      <c r="D67" s="12" t="e">
        <f>VLOOKUP(C67,#REF!,2,0)</f>
        <v>#REF!</v>
      </c>
      <c r="E67" s="10" t="e">
        <f>VLOOKUP(C67,#REF!,4,0)</f>
        <v>#REF!</v>
      </c>
      <c r="F67" s="37" t="e">
        <f>VLOOKUP(C67,#REF!,8,0)</f>
        <v>#REF!</v>
      </c>
      <c r="G67" s="22" t="str">
        <f>IF(ISERROR(IF(VLOOKUP(C67,#REF!,2,0)&gt;0,"등록","")),"",(IF(VLOOKUP(C67,#REF!,2,0)&gt;0,"등록","")))</f>
        <v/>
      </c>
      <c r="H67" s="33" t="str">
        <f t="array" aca="1" ref="H67" ca="1">IF(ISERROR(OFFSET(#REF!,SMALL(IF(#REF!=RM시즌체크판!C67,ROW(#REF!)-20),1),)),"",(OFFSET(#REF!,SMALL(IF(#REF!=RM시즌체크판!C67,ROW(#REF!)-20),1),)))</f>
        <v/>
      </c>
      <c r="I67" s="34" t="str">
        <f t="array" aca="1" ref="I67" ca="1">IF(ISERROR(OFFSET(#REF!,SMALL(IF(#REF!=RM시즌체크판!C67,ROW(#REF!)-20),2),)),"",(OFFSET(#REF!,SMALL(IF(#REF!=RM시즌체크판!C67,ROW(#REF!)-20),2),)))</f>
        <v/>
      </c>
      <c r="J67" s="34" t="str">
        <f t="array" aca="1" ref="J67" ca="1">IF(ISERROR(OFFSET(#REF!,SMALL(IF(#REF!=RM시즌체크판!C67,ROW(#REF!)-20),3),)),"",(OFFSET(#REF!,SMALL(IF(#REF!=RM시즌체크판!C67,ROW(#REF!)-20),3),)))</f>
        <v/>
      </c>
      <c r="K67" s="34" t="str">
        <f t="array" aca="1" ref="K67" ca="1">IF(ISERROR(OFFSET(#REF!,SMALL(IF(#REF!=RM시즌체크판!C67,ROW(#REF!)-20),4),)),"",(OFFSET(#REF!,SMALL(IF(#REF!=RM시즌체크판!C67,ROW(#REF!)-20),4),)))</f>
        <v/>
      </c>
      <c r="L67" s="34" t="str">
        <f t="array" aca="1" ref="L67" ca="1">IF(ISERROR(OFFSET(#REF!,SMALL(IF(#REF!=RM시즌체크판!C67,ROW(#REF!)-20),5),)),"",(OFFSET(#REF!,SMALL(IF(#REF!=RM시즌체크판!C67,ROW(#REF!)-20),5),)))</f>
        <v/>
      </c>
      <c r="M67" s="35" t="str">
        <f t="array" aca="1" ref="M67" ca="1">IF(ISERROR(OFFSET(#REF!,SMALL(IF(#REF!=RM시즌체크판!C67,ROW(#REF!)-20),6),)),"",(OFFSET(#REF!,SMALL(IF(#REF!=RM시즌체크판!C67,ROW(#REF!)-20),6),)))</f>
        <v/>
      </c>
      <c r="N67" s="27" t="str">
        <f>IF(ISERROR(VLOOKUP(C67,모델촬영리스트!$C:$E,3,)),"",(VLOOKUP(C67,모델촬영리스트!$C:$E,3,)))</f>
        <v/>
      </c>
      <c r="O67" s="23" t="str">
        <f>IF(ISERROR(VLOOKUP(C67,배너촬영리스트!$C:$E,3,)),"",(VLOOKUP(C67,배너촬영리스트!$C:$E,3,)))</f>
        <v/>
      </c>
      <c r="P67" s="36" t="str">
        <f>IF(ISERROR(VLOOKUP(C67,배너촬영리스트!$C:$E,2,)),"",(VLOOKUP(C67,배너촬영리스트!$C:$E,2,)))</f>
        <v/>
      </c>
    </row>
    <row r="68" spans="2:16">
      <c r="B68" s="20" t="str">
        <f t="shared" si="1"/>
        <v>RM</v>
      </c>
      <c r="C68" s="11" t="s">
        <v>79</v>
      </c>
      <c r="D68" s="12" t="e">
        <f>VLOOKUP(C68,#REF!,2,0)</f>
        <v>#REF!</v>
      </c>
      <c r="E68" s="10" t="e">
        <f>VLOOKUP(C68,#REF!,4,0)</f>
        <v>#REF!</v>
      </c>
      <c r="F68" s="37" t="e">
        <f>VLOOKUP(C68,#REF!,8,0)</f>
        <v>#REF!</v>
      </c>
      <c r="G68" s="22" t="str">
        <f>IF(ISERROR(IF(VLOOKUP(C68,#REF!,2,0)&gt;0,"등록","")),"",(IF(VLOOKUP(C68,#REF!,2,0)&gt;0,"등록","")))</f>
        <v/>
      </c>
      <c r="H68" s="33" t="str">
        <f t="array" aca="1" ref="H68" ca="1">IF(ISERROR(OFFSET(#REF!,SMALL(IF(#REF!=RM시즌체크판!C68,ROW(#REF!)-20),1),)),"",(OFFSET(#REF!,SMALL(IF(#REF!=RM시즌체크판!C68,ROW(#REF!)-20),1),)))</f>
        <v/>
      </c>
      <c r="I68" s="34" t="str">
        <f t="array" aca="1" ref="I68" ca="1">IF(ISERROR(OFFSET(#REF!,SMALL(IF(#REF!=RM시즌체크판!C68,ROW(#REF!)-20),2),)),"",(OFFSET(#REF!,SMALL(IF(#REF!=RM시즌체크판!C68,ROW(#REF!)-20),2),)))</f>
        <v/>
      </c>
      <c r="J68" s="34" t="str">
        <f t="array" aca="1" ref="J68" ca="1">IF(ISERROR(OFFSET(#REF!,SMALL(IF(#REF!=RM시즌체크판!C68,ROW(#REF!)-20),3),)),"",(OFFSET(#REF!,SMALL(IF(#REF!=RM시즌체크판!C68,ROW(#REF!)-20),3),)))</f>
        <v/>
      </c>
      <c r="K68" s="34" t="str">
        <f t="array" aca="1" ref="K68" ca="1">IF(ISERROR(OFFSET(#REF!,SMALL(IF(#REF!=RM시즌체크판!C68,ROW(#REF!)-20),4),)),"",(OFFSET(#REF!,SMALL(IF(#REF!=RM시즌체크판!C68,ROW(#REF!)-20),4),)))</f>
        <v/>
      </c>
      <c r="L68" s="34" t="str">
        <f t="array" aca="1" ref="L68" ca="1">IF(ISERROR(OFFSET(#REF!,SMALL(IF(#REF!=RM시즌체크판!C68,ROW(#REF!)-20),5),)),"",(OFFSET(#REF!,SMALL(IF(#REF!=RM시즌체크판!C68,ROW(#REF!)-20),5),)))</f>
        <v/>
      </c>
      <c r="M68" s="35" t="str">
        <f t="array" aca="1" ref="M68" ca="1">IF(ISERROR(OFFSET(#REF!,SMALL(IF(#REF!=RM시즌체크판!C68,ROW(#REF!)-20),6),)),"",(OFFSET(#REF!,SMALL(IF(#REF!=RM시즌체크판!C68,ROW(#REF!)-20),6),)))</f>
        <v/>
      </c>
      <c r="N68" s="27" t="str">
        <f>IF(ISERROR(VLOOKUP(C68,모델촬영리스트!$C:$E,3,)),"",(VLOOKUP(C68,모델촬영리스트!$C:$E,3,)))</f>
        <v/>
      </c>
      <c r="O68" s="23" t="str">
        <f>IF(ISERROR(VLOOKUP(C68,배너촬영리스트!$C:$E,3,)),"",(VLOOKUP(C68,배너촬영리스트!$C:$E,3,)))</f>
        <v/>
      </c>
      <c r="P68" s="36" t="str">
        <f>IF(ISERROR(VLOOKUP(C68,배너촬영리스트!$C:$E,2,)),"",(VLOOKUP(C68,배너촬영리스트!$C:$E,2,)))</f>
        <v/>
      </c>
    </row>
    <row r="69" spans="2:16">
      <c r="B69" s="20" t="str">
        <f t="shared" si="1"/>
        <v>RM</v>
      </c>
      <c r="C69" s="11" t="s">
        <v>80</v>
      </c>
      <c r="D69" s="12" t="e">
        <f>VLOOKUP(C69,#REF!,2,0)</f>
        <v>#REF!</v>
      </c>
      <c r="E69" s="10" t="e">
        <f>VLOOKUP(C69,#REF!,4,0)</f>
        <v>#REF!</v>
      </c>
      <c r="F69" s="37" t="e">
        <f>VLOOKUP(C69,#REF!,8,0)</f>
        <v>#REF!</v>
      </c>
      <c r="G69" s="22" t="str">
        <f>IF(ISERROR(IF(VLOOKUP(C69,#REF!,2,0)&gt;0,"등록","")),"",(IF(VLOOKUP(C69,#REF!,2,0)&gt;0,"등록","")))</f>
        <v/>
      </c>
      <c r="H69" s="33" t="str">
        <f t="array" aca="1" ref="H69" ca="1">IF(ISERROR(OFFSET(#REF!,SMALL(IF(#REF!=RM시즌체크판!C69,ROW(#REF!)-20),1),)),"",(OFFSET(#REF!,SMALL(IF(#REF!=RM시즌체크판!C69,ROW(#REF!)-20),1),)))</f>
        <v/>
      </c>
      <c r="I69" s="34" t="str">
        <f t="array" aca="1" ref="I69" ca="1">IF(ISERROR(OFFSET(#REF!,SMALL(IF(#REF!=RM시즌체크판!C69,ROW(#REF!)-20),2),)),"",(OFFSET(#REF!,SMALL(IF(#REF!=RM시즌체크판!C69,ROW(#REF!)-20),2),)))</f>
        <v/>
      </c>
      <c r="J69" s="34" t="str">
        <f t="array" aca="1" ref="J69" ca="1">IF(ISERROR(OFFSET(#REF!,SMALL(IF(#REF!=RM시즌체크판!C69,ROW(#REF!)-20),3),)),"",(OFFSET(#REF!,SMALL(IF(#REF!=RM시즌체크판!C69,ROW(#REF!)-20),3),)))</f>
        <v/>
      </c>
      <c r="K69" s="34" t="str">
        <f t="array" aca="1" ref="K69" ca="1">IF(ISERROR(OFFSET(#REF!,SMALL(IF(#REF!=RM시즌체크판!C69,ROW(#REF!)-20),4),)),"",(OFFSET(#REF!,SMALL(IF(#REF!=RM시즌체크판!C69,ROW(#REF!)-20),4),)))</f>
        <v/>
      </c>
      <c r="L69" s="34" t="str">
        <f t="array" aca="1" ref="L69" ca="1">IF(ISERROR(OFFSET(#REF!,SMALL(IF(#REF!=RM시즌체크판!C69,ROW(#REF!)-20),5),)),"",(OFFSET(#REF!,SMALL(IF(#REF!=RM시즌체크판!C69,ROW(#REF!)-20),5),)))</f>
        <v/>
      </c>
      <c r="M69" s="35" t="str">
        <f t="array" aca="1" ref="M69" ca="1">IF(ISERROR(OFFSET(#REF!,SMALL(IF(#REF!=RM시즌체크판!C69,ROW(#REF!)-20),6),)),"",(OFFSET(#REF!,SMALL(IF(#REF!=RM시즌체크판!C69,ROW(#REF!)-20),6),)))</f>
        <v/>
      </c>
      <c r="N69" s="27" t="str">
        <f>IF(ISERROR(VLOOKUP(C69,모델촬영리스트!$C:$E,3,)),"",(VLOOKUP(C69,모델촬영리스트!$C:$E,3,)))</f>
        <v/>
      </c>
      <c r="O69" s="23" t="str">
        <f>IF(ISERROR(VLOOKUP(C69,배너촬영리스트!$C:$E,3,)),"",(VLOOKUP(C69,배너촬영리스트!$C:$E,3,)))</f>
        <v/>
      </c>
      <c r="P69" s="36" t="str">
        <f>IF(ISERROR(VLOOKUP(C69,배너촬영리스트!$C:$E,2,)),"",(VLOOKUP(C69,배너촬영리스트!$C:$E,2,)))</f>
        <v/>
      </c>
    </row>
    <row r="70" spans="2:16">
      <c r="B70" s="20" t="str">
        <f t="shared" si="1"/>
        <v>RM</v>
      </c>
      <c r="C70" s="11" t="s">
        <v>81</v>
      </c>
      <c r="D70" s="12" t="e">
        <f>VLOOKUP(C70,#REF!,2,0)</f>
        <v>#REF!</v>
      </c>
      <c r="E70" s="10" t="e">
        <f>VLOOKUP(C70,#REF!,4,0)</f>
        <v>#REF!</v>
      </c>
      <c r="F70" s="37" t="e">
        <f>VLOOKUP(C70,#REF!,8,0)</f>
        <v>#REF!</v>
      </c>
      <c r="G70" s="22" t="str">
        <f>IF(ISERROR(IF(VLOOKUP(C70,#REF!,2,0)&gt;0,"등록","")),"",(IF(VLOOKUP(C70,#REF!,2,0)&gt;0,"등록","")))</f>
        <v/>
      </c>
      <c r="H70" s="33" t="str">
        <f t="array" aca="1" ref="H70" ca="1">IF(ISERROR(OFFSET(#REF!,SMALL(IF(#REF!=RM시즌체크판!C70,ROW(#REF!)-20),1),)),"",(OFFSET(#REF!,SMALL(IF(#REF!=RM시즌체크판!C70,ROW(#REF!)-20),1),)))</f>
        <v/>
      </c>
      <c r="I70" s="34" t="str">
        <f t="array" aca="1" ref="I70" ca="1">IF(ISERROR(OFFSET(#REF!,SMALL(IF(#REF!=RM시즌체크판!C70,ROW(#REF!)-20),2),)),"",(OFFSET(#REF!,SMALL(IF(#REF!=RM시즌체크판!C70,ROW(#REF!)-20),2),)))</f>
        <v/>
      </c>
      <c r="J70" s="34" t="str">
        <f t="array" aca="1" ref="J70" ca="1">IF(ISERROR(OFFSET(#REF!,SMALL(IF(#REF!=RM시즌체크판!C70,ROW(#REF!)-20),3),)),"",(OFFSET(#REF!,SMALL(IF(#REF!=RM시즌체크판!C70,ROW(#REF!)-20),3),)))</f>
        <v/>
      </c>
      <c r="K70" s="34" t="str">
        <f t="array" aca="1" ref="K70" ca="1">IF(ISERROR(OFFSET(#REF!,SMALL(IF(#REF!=RM시즌체크판!C70,ROW(#REF!)-20),4),)),"",(OFFSET(#REF!,SMALL(IF(#REF!=RM시즌체크판!C70,ROW(#REF!)-20),4),)))</f>
        <v/>
      </c>
      <c r="L70" s="34" t="str">
        <f t="array" aca="1" ref="L70" ca="1">IF(ISERROR(OFFSET(#REF!,SMALL(IF(#REF!=RM시즌체크판!C70,ROW(#REF!)-20),5),)),"",(OFFSET(#REF!,SMALL(IF(#REF!=RM시즌체크판!C70,ROW(#REF!)-20),5),)))</f>
        <v/>
      </c>
      <c r="M70" s="35" t="str">
        <f t="array" aca="1" ref="M70" ca="1">IF(ISERROR(OFFSET(#REF!,SMALL(IF(#REF!=RM시즌체크판!C70,ROW(#REF!)-20),6),)),"",(OFFSET(#REF!,SMALL(IF(#REF!=RM시즌체크판!C70,ROW(#REF!)-20),6),)))</f>
        <v/>
      </c>
      <c r="N70" s="27" t="str">
        <f>IF(ISERROR(VLOOKUP(C70,모델촬영리스트!$C:$E,3,)),"",(VLOOKUP(C70,모델촬영리스트!$C:$E,3,)))</f>
        <v/>
      </c>
      <c r="O70" s="23" t="str">
        <f>IF(ISERROR(VLOOKUP(C70,배너촬영리스트!$C:$E,3,)),"",(VLOOKUP(C70,배너촬영리스트!$C:$E,3,)))</f>
        <v/>
      </c>
      <c r="P70" s="36" t="str">
        <f>IF(ISERROR(VLOOKUP(C70,배너촬영리스트!$C:$E,2,)),"",(VLOOKUP(C70,배너촬영리스트!$C:$E,2,)))</f>
        <v/>
      </c>
    </row>
    <row r="71" spans="2:16">
      <c r="B71" s="20" t="str">
        <f t="shared" si="1"/>
        <v>RM</v>
      </c>
      <c r="C71" s="11" t="s">
        <v>82</v>
      </c>
      <c r="D71" s="12" t="e">
        <f>VLOOKUP(C71,#REF!,2,0)</f>
        <v>#REF!</v>
      </c>
      <c r="E71" s="10" t="e">
        <f>VLOOKUP(C71,#REF!,4,0)</f>
        <v>#REF!</v>
      </c>
      <c r="F71" s="37" t="e">
        <f>VLOOKUP(C71,#REF!,8,0)</f>
        <v>#REF!</v>
      </c>
      <c r="G71" s="22" t="str">
        <f>IF(ISERROR(IF(VLOOKUP(C71,#REF!,2,0)&gt;0,"등록","")),"",(IF(VLOOKUP(C71,#REF!,2,0)&gt;0,"등록","")))</f>
        <v/>
      </c>
      <c r="H71" s="33" t="str">
        <f t="array" aca="1" ref="H71" ca="1">IF(ISERROR(OFFSET(#REF!,SMALL(IF(#REF!=RM시즌체크판!C71,ROW(#REF!)-20),1),)),"",(OFFSET(#REF!,SMALL(IF(#REF!=RM시즌체크판!C71,ROW(#REF!)-20),1),)))</f>
        <v/>
      </c>
      <c r="I71" s="34" t="str">
        <f t="array" aca="1" ref="I71" ca="1">IF(ISERROR(OFFSET(#REF!,SMALL(IF(#REF!=RM시즌체크판!C71,ROW(#REF!)-20),2),)),"",(OFFSET(#REF!,SMALL(IF(#REF!=RM시즌체크판!C71,ROW(#REF!)-20),2),)))</f>
        <v/>
      </c>
      <c r="J71" s="34" t="str">
        <f t="array" aca="1" ref="J71" ca="1">IF(ISERROR(OFFSET(#REF!,SMALL(IF(#REF!=RM시즌체크판!C71,ROW(#REF!)-20),3),)),"",(OFFSET(#REF!,SMALL(IF(#REF!=RM시즌체크판!C71,ROW(#REF!)-20),3),)))</f>
        <v/>
      </c>
      <c r="K71" s="34" t="str">
        <f t="array" aca="1" ref="K71" ca="1">IF(ISERROR(OFFSET(#REF!,SMALL(IF(#REF!=RM시즌체크판!C71,ROW(#REF!)-20),4),)),"",(OFFSET(#REF!,SMALL(IF(#REF!=RM시즌체크판!C71,ROW(#REF!)-20),4),)))</f>
        <v/>
      </c>
      <c r="L71" s="34" t="str">
        <f t="array" aca="1" ref="L71" ca="1">IF(ISERROR(OFFSET(#REF!,SMALL(IF(#REF!=RM시즌체크판!C71,ROW(#REF!)-20),5),)),"",(OFFSET(#REF!,SMALL(IF(#REF!=RM시즌체크판!C71,ROW(#REF!)-20),5),)))</f>
        <v/>
      </c>
      <c r="M71" s="35" t="str">
        <f t="array" aca="1" ref="M71" ca="1">IF(ISERROR(OFFSET(#REF!,SMALL(IF(#REF!=RM시즌체크판!C71,ROW(#REF!)-20),6),)),"",(OFFSET(#REF!,SMALL(IF(#REF!=RM시즌체크판!C71,ROW(#REF!)-20),6),)))</f>
        <v/>
      </c>
      <c r="N71" s="27" t="str">
        <f>IF(ISERROR(VLOOKUP(C71,모델촬영리스트!$C:$E,3,)),"",(VLOOKUP(C71,모델촬영리스트!$C:$E,3,)))</f>
        <v/>
      </c>
      <c r="O71" s="23" t="str">
        <f>IF(ISERROR(VLOOKUP(C71,배너촬영리스트!$C:$E,3,)),"",(VLOOKUP(C71,배너촬영리스트!$C:$E,3,)))</f>
        <v/>
      </c>
      <c r="P71" s="36" t="str">
        <f>IF(ISERROR(VLOOKUP(C71,배너촬영리스트!$C:$E,2,)),"",(VLOOKUP(C71,배너촬영리스트!$C:$E,2,)))</f>
        <v/>
      </c>
    </row>
    <row r="72" spans="2:16">
      <c r="B72" s="20" t="str">
        <f t="shared" si="1"/>
        <v>RM</v>
      </c>
      <c r="C72" s="11" t="s">
        <v>83</v>
      </c>
      <c r="D72" s="12" t="e">
        <f>VLOOKUP(C72,#REF!,2,0)</f>
        <v>#REF!</v>
      </c>
      <c r="E72" s="10" t="e">
        <f>VLOOKUP(C72,#REF!,4,0)</f>
        <v>#REF!</v>
      </c>
      <c r="F72" s="37" t="e">
        <f>VLOOKUP(C72,#REF!,8,0)</f>
        <v>#REF!</v>
      </c>
      <c r="G72" s="22" t="str">
        <f>IF(ISERROR(IF(VLOOKUP(C72,#REF!,2,0)&gt;0,"등록","")),"",(IF(VLOOKUP(C72,#REF!,2,0)&gt;0,"등록","")))</f>
        <v/>
      </c>
      <c r="H72" s="33" t="str">
        <f t="array" aca="1" ref="H72" ca="1">IF(ISERROR(OFFSET(#REF!,SMALL(IF(#REF!=RM시즌체크판!C72,ROW(#REF!)-20),1),)),"",(OFFSET(#REF!,SMALL(IF(#REF!=RM시즌체크판!C72,ROW(#REF!)-20),1),)))</f>
        <v/>
      </c>
      <c r="I72" s="34" t="str">
        <f t="array" aca="1" ref="I72" ca="1">IF(ISERROR(OFFSET(#REF!,SMALL(IF(#REF!=RM시즌체크판!C72,ROW(#REF!)-20),2),)),"",(OFFSET(#REF!,SMALL(IF(#REF!=RM시즌체크판!C72,ROW(#REF!)-20),2),)))</f>
        <v/>
      </c>
      <c r="J72" s="34" t="str">
        <f t="array" aca="1" ref="J72" ca="1">IF(ISERROR(OFFSET(#REF!,SMALL(IF(#REF!=RM시즌체크판!C72,ROW(#REF!)-20),3),)),"",(OFFSET(#REF!,SMALL(IF(#REF!=RM시즌체크판!C72,ROW(#REF!)-20),3),)))</f>
        <v/>
      </c>
      <c r="K72" s="34" t="str">
        <f t="array" aca="1" ref="K72" ca="1">IF(ISERROR(OFFSET(#REF!,SMALL(IF(#REF!=RM시즌체크판!C72,ROW(#REF!)-20),4),)),"",(OFFSET(#REF!,SMALL(IF(#REF!=RM시즌체크판!C72,ROW(#REF!)-20),4),)))</f>
        <v/>
      </c>
      <c r="L72" s="34" t="str">
        <f t="array" aca="1" ref="L72" ca="1">IF(ISERROR(OFFSET(#REF!,SMALL(IF(#REF!=RM시즌체크판!C72,ROW(#REF!)-20),5),)),"",(OFFSET(#REF!,SMALL(IF(#REF!=RM시즌체크판!C72,ROW(#REF!)-20),5),)))</f>
        <v/>
      </c>
      <c r="M72" s="35" t="str">
        <f t="array" aca="1" ref="M72" ca="1">IF(ISERROR(OFFSET(#REF!,SMALL(IF(#REF!=RM시즌체크판!C72,ROW(#REF!)-20),6),)),"",(OFFSET(#REF!,SMALL(IF(#REF!=RM시즌체크판!C72,ROW(#REF!)-20),6),)))</f>
        <v/>
      </c>
      <c r="N72" s="27" t="str">
        <f>IF(ISERROR(VLOOKUP(C72,모델촬영리스트!$C:$E,3,)),"",(VLOOKUP(C72,모델촬영리스트!$C:$E,3,)))</f>
        <v/>
      </c>
      <c r="O72" s="23" t="str">
        <f>IF(ISERROR(VLOOKUP(C72,배너촬영리스트!$C:$E,3,)),"",(VLOOKUP(C72,배너촬영리스트!$C:$E,3,)))</f>
        <v/>
      </c>
      <c r="P72" s="36" t="str">
        <f>IF(ISERROR(VLOOKUP(C72,배너촬영리스트!$C:$E,2,)),"",(VLOOKUP(C72,배너촬영리스트!$C:$E,2,)))</f>
        <v/>
      </c>
    </row>
    <row r="73" spans="2:16">
      <c r="B73" s="20" t="str">
        <f t="shared" si="1"/>
        <v>RM</v>
      </c>
      <c r="C73" s="11" t="s">
        <v>84</v>
      </c>
      <c r="D73" s="12" t="e">
        <f>VLOOKUP(C73,#REF!,2,0)</f>
        <v>#REF!</v>
      </c>
      <c r="E73" s="10" t="e">
        <f>VLOOKUP(C73,#REF!,4,0)</f>
        <v>#REF!</v>
      </c>
      <c r="F73" s="37" t="e">
        <f>VLOOKUP(C73,#REF!,8,0)</f>
        <v>#REF!</v>
      </c>
      <c r="G73" s="22" t="str">
        <f>IF(ISERROR(IF(VLOOKUP(C73,#REF!,2,0)&gt;0,"등록","")),"",(IF(VLOOKUP(C73,#REF!,2,0)&gt;0,"등록","")))</f>
        <v/>
      </c>
      <c r="H73" s="33" t="str">
        <f t="array" aca="1" ref="H73" ca="1">IF(ISERROR(OFFSET(#REF!,SMALL(IF(#REF!=RM시즌체크판!C73,ROW(#REF!)-20),1),)),"",(OFFSET(#REF!,SMALL(IF(#REF!=RM시즌체크판!C73,ROW(#REF!)-20),1),)))</f>
        <v/>
      </c>
      <c r="I73" s="34" t="str">
        <f t="array" aca="1" ref="I73" ca="1">IF(ISERROR(OFFSET(#REF!,SMALL(IF(#REF!=RM시즌체크판!C73,ROW(#REF!)-20),2),)),"",(OFFSET(#REF!,SMALL(IF(#REF!=RM시즌체크판!C73,ROW(#REF!)-20),2),)))</f>
        <v/>
      </c>
      <c r="J73" s="34" t="str">
        <f t="array" aca="1" ref="J73" ca="1">IF(ISERROR(OFFSET(#REF!,SMALL(IF(#REF!=RM시즌체크판!C73,ROW(#REF!)-20),3),)),"",(OFFSET(#REF!,SMALL(IF(#REF!=RM시즌체크판!C73,ROW(#REF!)-20),3),)))</f>
        <v/>
      </c>
      <c r="K73" s="34" t="str">
        <f t="array" aca="1" ref="K73" ca="1">IF(ISERROR(OFFSET(#REF!,SMALL(IF(#REF!=RM시즌체크판!C73,ROW(#REF!)-20),4),)),"",(OFFSET(#REF!,SMALL(IF(#REF!=RM시즌체크판!C73,ROW(#REF!)-20),4),)))</f>
        <v/>
      </c>
      <c r="L73" s="34" t="str">
        <f t="array" aca="1" ref="L73" ca="1">IF(ISERROR(OFFSET(#REF!,SMALL(IF(#REF!=RM시즌체크판!C73,ROW(#REF!)-20),5),)),"",(OFFSET(#REF!,SMALL(IF(#REF!=RM시즌체크판!C73,ROW(#REF!)-20),5),)))</f>
        <v/>
      </c>
      <c r="M73" s="35" t="str">
        <f t="array" aca="1" ref="M73" ca="1">IF(ISERROR(OFFSET(#REF!,SMALL(IF(#REF!=RM시즌체크판!C73,ROW(#REF!)-20),6),)),"",(OFFSET(#REF!,SMALL(IF(#REF!=RM시즌체크판!C73,ROW(#REF!)-20),6),)))</f>
        <v/>
      </c>
      <c r="N73" s="27" t="str">
        <f>IF(ISERROR(VLOOKUP(C73,모델촬영리스트!$C:$E,3,)),"",(VLOOKUP(C73,모델촬영리스트!$C:$E,3,)))</f>
        <v/>
      </c>
      <c r="O73" s="23" t="str">
        <f>IF(ISERROR(VLOOKUP(C73,배너촬영리스트!$C:$E,3,)),"",(VLOOKUP(C73,배너촬영리스트!$C:$E,3,)))</f>
        <v/>
      </c>
      <c r="P73" s="36" t="str">
        <f>IF(ISERROR(VLOOKUP(C73,배너촬영리스트!$C:$E,2,)),"",(VLOOKUP(C73,배너촬영리스트!$C:$E,2,)))</f>
        <v/>
      </c>
    </row>
    <row r="74" spans="2:16">
      <c r="B74" s="20" t="str">
        <f t="shared" si="1"/>
        <v>RM</v>
      </c>
      <c r="C74" s="11" t="s">
        <v>85</v>
      </c>
      <c r="D74" s="12" t="e">
        <f>VLOOKUP(C74,#REF!,2,0)</f>
        <v>#REF!</v>
      </c>
      <c r="E74" s="10" t="e">
        <f>VLOOKUP(C74,#REF!,4,0)</f>
        <v>#REF!</v>
      </c>
      <c r="F74" s="37" t="e">
        <f>VLOOKUP(C74,#REF!,8,0)</f>
        <v>#REF!</v>
      </c>
      <c r="G74" s="22" t="str">
        <f>IF(ISERROR(IF(VLOOKUP(C74,#REF!,2,0)&gt;0,"등록","")),"",(IF(VLOOKUP(C74,#REF!,2,0)&gt;0,"등록","")))</f>
        <v/>
      </c>
      <c r="H74" s="33" t="str">
        <f t="array" aca="1" ref="H74" ca="1">IF(ISERROR(OFFSET(#REF!,SMALL(IF(#REF!=RM시즌체크판!C74,ROW(#REF!)-20),1),)),"",(OFFSET(#REF!,SMALL(IF(#REF!=RM시즌체크판!C74,ROW(#REF!)-20),1),)))</f>
        <v/>
      </c>
      <c r="I74" s="34" t="str">
        <f t="array" aca="1" ref="I74" ca="1">IF(ISERROR(OFFSET(#REF!,SMALL(IF(#REF!=RM시즌체크판!C74,ROW(#REF!)-20),2),)),"",(OFFSET(#REF!,SMALL(IF(#REF!=RM시즌체크판!C74,ROW(#REF!)-20),2),)))</f>
        <v/>
      </c>
      <c r="J74" s="34" t="str">
        <f t="array" aca="1" ref="J74" ca="1">IF(ISERROR(OFFSET(#REF!,SMALL(IF(#REF!=RM시즌체크판!C74,ROW(#REF!)-20),3),)),"",(OFFSET(#REF!,SMALL(IF(#REF!=RM시즌체크판!C74,ROW(#REF!)-20),3),)))</f>
        <v/>
      </c>
      <c r="K74" s="34" t="str">
        <f t="array" aca="1" ref="K74" ca="1">IF(ISERROR(OFFSET(#REF!,SMALL(IF(#REF!=RM시즌체크판!C74,ROW(#REF!)-20),4),)),"",(OFFSET(#REF!,SMALL(IF(#REF!=RM시즌체크판!C74,ROW(#REF!)-20),4),)))</f>
        <v/>
      </c>
      <c r="L74" s="34" t="str">
        <f t="array" aca="1" ref="L74" ca="1">IF(ISERROR(OFFSET(#REF!,SMALL(IF(#REF!=RM시즌체크판!C74,ROW(#REF!)-20),5),)),"",(OFFSET(#REF!,SMALL(IF(#REF!=RM시즌체크판!C74,ROW(#REF!)-20),5),)))</f>
        <v/>
      </c>
      <c r="M74" s="35" t="str">
        <f t="array" aca="1" ref="M74" ca="1">IF(ISERROR(OFFSET(#REF!,SMALL(IF(#REF!=RM시즌체크판!C74,ROW(#REF!)-20),6),)),"",(OFFSET(#REF!,SMALL(IF(#REF!=RM시즌체크판!C74,ROW(#REF!)-20),6),)))</f>
        <v/>
      </c>
      <c r="N74" s="27" t="str">
        <f>IF(ISERROR(VLOOKUP(C74,모델촬영리스트!$C:$E,3,)),"",(VLOOKUP(C74,모델촬영리스트!$C:$E,3,)))</f>
        <v/>
      </c>
      <c r="O74" s="23" t="str">
        <f>IF(ISERROR(VLOOKUP(C74,배너촬영리스트!$C:$E,3,)),"",(VLOOKUP(C74,배너촬영리스트!$C:$E,3,)))</f>
        <v/>
      </c>
      <c r="P74" s="36" t="str">
        <f>IF(ISERROR(VLOOKUP(C74,배너촬영리스트!$C:$E,2,)),"",(VLOOKUP(C74,배너촬영리스트!$C:$E,2,)))</f>
        <v/>
      </c>
    </row>
    <row r="75" spans="2:16">
      <c r="B75" s="20" t="str">
        <f t="shared" si="1"/>
        <v>RM</v>
      </c>
      <c r="C75" s="11" t="s">
        <v>86</v>
      </c>
      <c r="D75" s="12" t="e">
        <f>VLOOKUP(C75,#REF!,2,0)</f>
        <v>#REF!</v>
      </c>
      <c r="E75" s="10" t="e">
        <f>VLOOKUP(C75,#REF!,4,0)</f>
        <v>#REF!</v>
      </c>
      <c r="F75" s="37" t="e">
        <f>VLOOKUP(C75,#REF!,8,0)</f>
        <v>#REF!</v>
      </c>
      <c r="G75" s="22" t="str">
        <f>IF(ISERROR(IF(VLOOKUP(C75,#REF!,2,0)&gt;0,"등록","")),"",(IF(VLOOKUP(C75,#REF!,2,0)&gt;0,"등록","")))</f>
        <v/>
      </c>
      <c r="H75" s="33" t="str">
        <f t="array" aca="1" ref="H75" ca="1">IF(ISERROR(OFFSET(#REF!,SMALL(IF(#REF!=RM시즌체크판!C75,ROW(#REF!)-20),1),)),"",(OFFSET(#REF!,SMALL(IF(#REF!=RM시즌체크판!C75,ROW(#REF!)-20),1),)))</f>
        <v/>
      </c>
      <c r="I75" s="34" t="str">
        <f t="array" aca="1" ref="I75" ca="1">IF(ISERROR(OFFSET(#REF!,SMALL(IF(#REF!=RM시즌체크판!C75,ROW(#REF!)-20),2),)),"",(OFFSET(#REF!,SMALL(IF(#REF!=RM시즌체크판!C75,ROW(#REF!)-20),2),)))</f>
        <v/>
      </c>
      <c r="J75" s="34" t="str">
        <f t="array" aca="1" ref="J75" ca="1">IF(ISERROR(OFFSET(#REF!,SMALL(IF(#REF!=RM시즌체크판!C75,ROW(#REF!)-20),3),)),"",(OFFSET(#REF!,SMALL(IF(#REF!=RM시즌체크판!C75,ROW(#REF!)-20),3),)))</f>
        <v/>
      </c>
      <c r="K75" s="34" t="str">
        <f t="array" aca="1" ref="K75" ca="1">IF(ISERROR(OFFSET(#REF!,SMALL(IF(#REF!=RM시즌체크판!C75,ROW(#REF!)-20),4),)),"",(OFFSET(#REF!,SMALL(IF(#REF!=RM시즌체크판!C75,ROW(#REF!)-20),4),)))</f>
        <v/>
      </c>
      <c r="L75" s="34" t="str">
        <f t="array" aca="1" ref="L75" ca="1">IF(ISERROR(OFFSET(#REF!,SMALL(IF(#REF!=RM시즌체크판!C75,ROW(#REF!)-20),5),)),"",(OFFSET(#REF!,SMALL(IF(#REF!=RM시즌체크판!C75,ROW(#REF!)-20),5),)))</f>
        <v/>
      </c>
      <c r="M75" s="35" t="str">
        <f t="array" aca="1" ref="M75" ca="1">IF(ISERROR(OFFSET(#REF!,SMALL(IF(#REF!=RM시즌체크판!C75,ROW(#REF!)-20),6),)),"",(OFFSET(#REF!,SMALL(IF(#REF!=RM시즌체크판!C75,ROW(#REF!)-20),6),)))</f>
        <v/>
      </c>
      <c r="N75" s="27" t="str">
        <f>IF(ISERROR(VLOOKUP(C75,모델촬영리스트!$C:$E,3,)),"",(VLOOKUP(C75,모델촬영리스트!$C:$E,3,)))</f>
        <v/>
      </c>
      <c r="O75" s="23" t="str">
        <f>IF(ISERROR(VLOOKUP(C75,배너촬영리스트!$C:$E,3,)),"",(VLOOKUP(C75,배너촬영리스트!$C:$E,3,)))</f>
        <v/>
      </c>
      <c r="P75" s="36" t="str">
        <f>IF(ISERROR(VLOOKUP(C75,배너촬영리스트!$C:$E,2,)),"",(VLOOKUP(C75,배너촬영리스트!$C:$E,2,)))</f>
        <v/>
      </c>
    </row>
    <row r="76" spans="2:16">
      <c r="B76" s="20" t="str">
        <f t="shared" si="1"/>
        <v>RM</v>
      </c>
      <c r="C76" s="11" t="s">
        <v>87</v>
      </c>
      <c r="D76" s="12" t="e">
        <f>VLOOKUP(C76,#REF!,2,0)</f>
        <v>#REF!</v>
      </c>
      <c r="E76" s="10" t="e">
        <f>VLOOKUP(C76,#REF!,4,0)</f>
        <v>#REF!</v>
      </c>
      <c r="F76" s="37" t="e">
        <f>VLOOKUP(C76,#REF!,8,0)</f>
        <v>#REF!</v>
      </c>
      <c r="G76" s="22" t="str">
        <f>IF(ISERROR(IF(VLOOKUP(C76,#REF!,2,0)&gt;0,"등록","")),"",(IF(VLOOKUP(C76,#REF!,2,0)&gt;0,"등록","")))</f>
        <v/>
      </c>
      <c r="H76" s="33" t="str">
        <f t="array" aca="1" ref="H76" ca="1">IF(ISERROR(OFFSET(#REF!,SMALL(IF(#REF!=RM시즌체크판!C76,ROW(#REF!)-20),1),)),"",(OFFSET(#REF!,SMALL(IF(#REF!=RM시즌체크판!C76,ROW(#REF!)-20),1),)))</f>
        <v/>
      </c>
      <c r="I76" s="34" t="str">
        <f t="array" aca="1" ref="I76" ca="1">IF(ISERROR(OFFSET(#REF!,SMALL(IF(#REF!=RM시즌체크판!C76,ROW(#REF!)-20),2),)),"",(OFFSET(#REF!,SMALL(IF(#REF!=RM시즌체크판!C76,ROW(#REF!)-20),2),)))</f>
        <v/>
      </c>
      <c r="J76" s="34" t="str">
        <f t="array" aca="1" ref="J76" ca="1">IF(ISERROR(OFFSET(#REF!,SMALL(IF(#REF!=RM시즌체크판!C76,ROW(#REF!)-20),3),)),"",(OFFSET(#REF!,SMALL(IF(#REF!=RM시즌체크판!C76,ROW(#REF!)-20),3),)))</f>
        <v/>
      </c>
      <c r="K76" s="34" t="str">
        <f t="array" aca="1" ref="K76" ca="1">IF(ISERROR(OFFSET(#REF!,SMALL(IF(#REF!=RM시즌체크판!C76,ROW(#REF!)-20),4),)),"",(OFFSET(#REF!,SMALL(IF(#REF!=RM시즌체크판!C76,ROW(#REF!)-20),4),)))</f>
        <v/>
      </c>
      <c r="L76" s="34" t="str">
        <f t="array" aca="1" ref="L76" ca="1">IF(ISERROR(OFFSET(#REF!,SMALL(IF(#REF!=RM시즌체크판!C76,ROW(#REF!)-20),5),)),"",(OFFSET(#REF!,SMALL(IF(#REF!=RM시즌체크판!C76,ROW(#REF!)-20),5),)))</f>
        <v/>
      </c>
      <c r="M76" s="35" t="str">
        <f t="array" aca="1" ref="M76" ca="1">IF(ISERROR(OFFSET(#REF!,SMALL(IF(#REF!=RM시즌체크판!C76,ROW(#REF!)-20),6),)),"",(OFFSET(#REF!,SMALL(IF(#REF!=RM시즌체크판!C76,ROW(#REF!)-20),6),)))</f>
        <v/>
      </c>
      <c r="N76" s="27" t="str">
        <f>IF(ISERROR(VLOOKUP(C76,모델촬영리스트!$C:$E,3,)),"",(VLOOKUP(C76,모델촬영리스트!$C:$E,3,)))</f>
        <v/>
      </c>
      <c r="O76" s="23" t="str">
        <f>IF(ISERROR(VLOOKUP(C76,배너촬영리스트!$C:$E,3,)),"",(VLOOKUP(C76,배너촬영리스트!$C:$E,3,)))</f>
        <v/>
      </c>
      <c r="P76" s="36" t="str">
        <f>IF(ISERROR(VLOOKUP(C76,배너촬영리스트!$C:$E,2,)),"",(VLOOKUP(C76,배너촬영리스트!$C:$E,2,)))</f>
        <v/>
      </c>
    </row>
    <row r="77" spans="2:16">
      <c r="B77" s="20" t="str">
        <f t="shared" si="1"/>
        <v>RM</v>
      </c>
      <c r="C77" s="11" t="s">
        <v>88</v>
      </c>
      <c r="D77" s="12" t="e">
        <f>VLOOKUP(C77,#REF!,2,0)</f>
        <v>#REF!</v>
      </c>
      <c r="E77" s="10" t="e">
        <f>VLOOKUP(C77,#REF!,4,0)</f>
        <v>#REF!</v>
      </c>
      <c r="F77" s="37" t="e">
        <f>VLOOKUP(C77,#REF!,8,0)</f>
        <v>#REF!</v>
      </c>
      <c r="G77" s="22" t="str">
        <f>IF(ISERROR(IF(VLOOKUP(C77,#REF!,2,0)&gt;0,"등록","")),"",(IF(VLOOKUP(C77,#REF!,2,0)&gt;0,"등록","")))</f>
        <v/>
      </c>
      <c r="H77" s="33" t="str">
        <f t="array" aca="1" ref="H77" ca="1">IF(ISERROR(OFFSET(#REF!,SMALL(IF(#REF!=RM시즌체크판!C77,ROW(#REF!)-20),1),)),"",(OFFSET(#REF!,SMALL(IF(#REF!=RM시즌체크판!C77,ROW(#REF!)-20),1),)))</f>
        <v/>
      </c>
      <c r="I77" s="34" t="str">
        <f t="array" aca="1" ref="I77" ca="1">IF(ISERROR(OFFSET(#REF!,SMALL(IF(#REF!=RM시즌체크판!C77,ROW(#REF!)-20),2),)),"",(OFFSET(#REF!,SMALL(IF(#REF!=RM시즌체크판!C77,ROW(#REF!)-20),2),)))</f>
        <v/>
      </c>
      <c r="J77" s="34" t="str">
        <f t="array" aca="1" ref="J77" ca="1">IF(ISERROR(OFFSET(#REF!,SMALL(IF(#REF!=RM시즌체크판!C77,ROW(#REF!)-20),3),)),"",(OFFSET(#REF!,SMALL(IF(#REF!=RM시즌체크판!C77,ROW(#REF!)-20),3),)))</f>
        <v/>
      </c>
      <c r="K77" s="34" t="str">
        <f t="array" aca="1" ref="K77" ca="1">IF(ISERROR(OFFSET(#REF!,SMALL(IF(#REF!=RM시즌체크판!C77,ROW(#REF!)-20),4),)),"",(OFFSET(#REF!,SMALL(IF(#REF!=RM시즌체크판!C77,ROW(#REF!)-20),4),)))</f>
        <v/>
      </c>
      <c r="L77" s="34" t="str">
        <f t="array" aca="1" ref="L77" ca="1">IF(ISERROR(OFFSET(#REF!,SMALL(IF(#REF!=RM시즌체크판!C77,ROW(#REF!)-20),5),)),"",(OFFSET(#REF!,SMALL(IF(#REF!=RM시즌체크판!C77,ROW(#REF!)-20),5),)))</f>
        <v/>
      </c>
      <c r="M77" s="35" t="str">
        <f t="array" aca="1" ref="M77" ca="1">IF(ISERROR(OFFSET(#REF!,SMALL(IF(#REF!=RM시즌체크판!C77,ROW(#REF!)-20),6),)),"",(OFFSET(#REF!,SMALL(IF(#REF!=RM시즌체크판!C77,ROW(#REF!)-20),6),)))</f>
        <v/>
      </c>
      <c r="N77" s="27" t="str">
        <f>IF(ISERROR(VLOOKUP(C77,모델촬영리스트!$C:$E,3,)),"",(VLOOKUP(C77,모델촬영리스트!$C:$E,3,)))</f>
        <v/>
      </c>
      <c r="O77" s="23" t="str">
        <f>IF(ISERROR(VLOOKUP(C77,배너촬영리스트!$C:$E,3,)),"",(VLOOKUP(C77,배너촬영리스트!$C:$E,3,)))</f>
        <v/>
      </c>
      <c r="P77" s="36" t="str">
        <f>IF(ISERROR(VLOOKUP(C77,배너촬영리스트!$C:$E,2,)),"",(VLOOKUP(C77,배너촬영리스트!$C:$E,2,)))</f>
        <v/>
      </c>
    </row>
    <row r="78" spans="2:16">
      <c r="B78" s="20" t="str">
        <f t="shared" si="1"/>
        <v>RM</v>
      </c>
      <c r="C78" s="11" t="s">
        <v>89</v>
      </c>
      <c r="D78" s="12" t="e">
        <f>VLOOKUP(C78,#REF!,2,0)</f>
        <v>#REF!</v>
      </c>
      <c r="E78" s="10" t="e">
        <f>VLOOKUP(C78,#REF!,4,0)</f>
        <v>#REF!</v>
      </c>
      <c r="F78" s="37" t="e">
        <f>VLOOKUP(C78,#REF!,8,0)</f>
        <v>#REF!</v>
      </c>
      <c r="G78" s="22" t="str">
        <f>IF(ISERROR(IF(VLOOKUP(C78,#REF!,2,0)&gt;0,"등록","")),"",(IF(VLOOKUP(C78,#REF!,2,0)&gt;0,"등록","")))</f>
        <v/>
      </c>
      <c r="H78" s="33" t="str">
        <f t="array" aca="1" ref="H78" ca="1">IF(ISERROR(OFFSET(#REF!,SMALL(IF(#REF!=RM시즌체크판!C78,ROW(#REF!)-20),1),)),"",(OFFSET(#REF!,SMALL(IF(#REF!=RM시즌체크판!C78,ROW(#REF!)-20),1),)))</f>
        <v/>
      </c>
      <c r="I78" s="34" t="str">
        <f t="array" aca="1" ref="I78" ca="1">IF(ISERROR(OFFSET(#REF!,SMALL(IF(#REF!=RM시즌체크판!C78,ROW(#REF!)-20),2),)),"",(OFFSET(#REF!,SMALL(IF(#REF!=RM시즌체크판!C78,ROW(#REF!)-20),2),)))</f>
        <v/>
      </c>
      <c r="J78" s="34" t="str">
        <f t="array" aca="1" ref="J78" ca="1">IF(ISERROR(OFFSET(#REF!,SMALL(IF(#REF!=RM시즌체크판!C78,ROW(#REF!)-20),3),)),"",(OFFSET(#REF!,SMALL(IF(#REF!=RM시즌체크판!C78,ROW(#REF!)-20),3),)))</f>
        <v/>
      </c>
      <c r="K78" s="34" t="str">
        <f t="array" aca="1" ref="K78" ca="1">IF(ISERROR(OFFSET(#REF!,SMALL(IF(#REF!=RM시즌체크판!C78,ROW(#REF!)-20),4),)),"",(OFFSET(#REF!,SMALL(IF(#REF!=RM시즌체크판!C78,ROW(#REF!)-20),4),)))</f>
        <v/>
      </c>
      <c r="L78" s="34" t="str">
        <f t="array" aca="1" ref="L78" ca="1">IF(ISERROR(OFFSET(#REF!,SMALL(IF(#REF!=RM시즌체크판!C78,ROW(#REF!)-20),5),)),"",(OFFSET(#REF!,SMALL(IF(#REF!=RM시즌체크판!C78,ROW(#REF!)-20),5),)))</f>
        <v/>
      </c>
      <c r="M78" s="35" t="str">
        <f t="array" aca="1" ref="M78" ca="1">IF(ISERROR(OFFSET(#REF!,SMALL(IF(#REF!=RM시즌체크판!C78,ROW(#REF!)-20),6),)),"",(OFFSET(#REF!,SMALL(IF(#REF!=RM시즌체크판!C78,ROW(#REF!)-20),6),)))</f>
        <v/>
      </c>
      <c r="N78" s="27" t="str">
        <f>IF(ISERROR(VLOOKUP(C78,모델촬영리스트!$C:$E,3,)),"",(VLOOKUP(C78,모델촬영리스트!$C:$E,3,)))</f>
        <v/>
      </c>
      <c r="O78" s="23" t="str">
        <f>IF(ISERROR(VLOOKUP(C78,배너촬영리스트!$C:$E,3,)),"",(VLOOKUP(C78,배너촬영리스트!$C:$E,3,)))</f>
        <v/>
      </c>
      <c r="P78" s="36" t="str">
        <f>IF(ISERROR(VLOOKUP(C78,배너촬영리스트!$C:$E,2,)),"",(VLOOKUP(C78,배너촬영리스트!$C:$E,2,)))</f>
        <v/>
      </c>
    </row>
    <row r="79" spans="2:16">
      <c r="B79" s="20" t="str">
        <f t="shared" si="1"/>
        <v>RM</v>
      </c>
      <c r="C79" s="11" t="s">
        <v>90</v>
      </c>
      <c r="D79" s="12" t="e">
        <f>VLOOKUP(C79,#REF!,2,0)</f>
        <v>#REF!</v>
      </c>
      <c r="E79" s="10" t="e">
        <f>VLOOKUP(C79,#REF!,4,0)</f>
        <v>#REF!</v>
      </c>
      <c r="F79" s="37" t="e">
        <f>VLOOKUP(C79,#REF!,8,0)</f>
        <v>#REF!</v>
      </c>
      <c r="G79" s="22" t="str">
        <f>IF(ISERROR(IF(VLOOKUP(C79,#REF!,2,0)&gt;0,"등록","")),"",(IF(VLOOKUP(C79,#REF!,2,0)&gt;0,"등록","")))</f>
        <v/>
      </c>
      <c r="H79" s="33" t="str">
        <f t="array" aca="1" ref="H79" ca="1">IF(ISERROR(OFFSET(#REF!,SMALL(IF(#REF!=RM시즌체크판!C79,ROW(#REF!)-20),1),)),"",(OFFSET(#REF!,SMALL(IF(#REF!=RM시즌체크판!C79,ROW(#REF!)-20),1),)))</f>
        <v/>
      </c>
      <c r="I79" s="34" t="str">
        <f t="array" aca="1" ref="I79" ca="1">IF(ISERROR(OFFSET(#REF!,SMALL(IF(#REF!=RM시즌체크판!C79,ROW(#REF!)-20),2),)),"",(OFFSET(#REF!,SMALL(IF(#REF!=RM시즌체크판!C79,ROW(#REF!)-20),2),)))</f>
        <v/>
      </c>
      <c r="J79" s="34" t="str">
        <f t="array" aca="1" ref="J79" ca="1">IF(ISERROR(OFFSET(#REF!,SMALL(IF(#REF!=RM시즌체크판!C79,ROW(#REF!)-20),3),)),"",(OFFSET(#REF!,SMALL(IF(#REF!=RM시즌체크판!C79,ROW(#REF!)-20),3),)))</f>
        <v/>
      </c>
      <c r="K79" s="34" t="str">
        <f t="array" aca="1" ref="K79" ca="1">IF(ISERROR(OFFSET(#REF!,SMALL(IF(#REF!=RM시즌체크판!C79,ROW(#REF!)-20),4),)),"",(OFFSET(#REF!,SMALL(IF(#REF!=RM시즌체크판!C79,ROW(#REF!)-20),4),)))</f>
        <v/>
      </c>
      <c r="L79" s="34" t="str">
        <f t="array" aca="1" ref="L79" ca="1">IF(ISERROR(OFFSET(#REF!,SMALL(IF(#REF!=RM시즌체크판!C79,ROW(#REF!)-20),5),)),"",(OFFSET(#REF!,SMALL(IF(#REF!=RM시즌체크판!C79,ROW(#REF!)-20),5),)))</f>
        <v/>
      </c>
      <c r="M79" s="35" t="str">
        <f t="array" aca="1" ref="M79" ca="1">IF(ISERROR(OFFSET(#REF!,SMALL(IF(#REF!=RM시즌체크판!C79,ROW(#REF!)-20),6),)),"",(OFFSET(#REF!,SMALL(IF(#REF!=RM시즌체크판!C79,ROW(#REF!)-20),6),)))</f>
        <v/>
      </c>
      <c r="N79" s="27" t="str">
        <f>IF(ISERROR(VLOOKUP(C79,모델촬영리스트!$C:$E,3,)),"",(VLOOKUP(C79,모델촬영리스트!$C:$E,3,)))</f>
        <v/>
      </c>
      <c r="O79" s="23" t="str">
        <f>IF(ISERROR(VLOOKUP(C79,배너촬영리스트!$C:$E,3,)),"",(VLOOKUP(C79,배너촬영리스트!$C:$E,3,)))</f>
        <v/>
      </c>
      <c r="P79" s="36" t="str">
        <f>IF(ISERROR(VLOOKUP(C79,배너촬영리스트!$C:$E,2,)),"",(VLOOKUP(C79,배너촬영리스트!$C:$E,2,)))</f>
        <v/>
      </c>
    </row>
    <row r="80" spans="2:16">
      <c r="B80" s="20" t="str">
        <f t="shared" si="1"/>
        <v>RM</v>
      </c>
      <c r="C80" s="11" t="s">
        <v>91</v>
      </c>
      <c r="D80" s="12" t="e">
        <f>VLOOKUP(C80,#REF!,2,0)</f>
        <v>#REF!</v>
      </c>
      <c r="E80" s="10" t="e">
        <f>VLOOKUP(C80,#REF!,4,0)</f>
        <v>#REF!</v>
      </c>
      <c r="F80" s="37" t="e">
        <f>VLOOKUP(C80,#REF!,8,0)</f>
        <v>#REF!</v>
      </c>
      <c r="G80" s="22" t="str">
        <f>IF(ISERROR(IF(VLOOKUP(C80,#REF!,2,0)&gt;0,"등록","")),"",(IF(VLOOKUP(C80,#REF!,2,0)&gt;0,"등록","")))</f>
        <v/>
      </c>
      <c r="H80" s="33" t="str">
        <f t="array" aca="1" ref="H80" ca="1">IF(ISERROR(OFFSET(#REF!,SMALL(IF(#REF!=RM시즌체크판!C80,ROW(#REF!)-20),1),)),"",(OFFSET(#REF!,SMALL(IF(#REF!=RM시즌체크판!C80,ROW(#REF!)-20),1),)))</f>
        <v/>
      </c>
      <c r="I80" s="34" t="str">
        <f t="array" aca="1" ref="I80" ca="1">IF(ISERROR(OFFSET(#REF!,SMALL(IF(#REF!=RM시즌체크판!C80,ROW(#REF!)-20),2),)),"",(OFFSET(#REF!,SMALL(IF(#REF!=RM시즌체크판!C80,ROW(#REF!)-20),2),)))</f>
        <v/>
      </c>
      <c r="J80" s="34" t="str">
        <f t="array" aca="1" ref="J80" ca="1">IF(ISERROR(OFFSET(#REF!,SMALL(IF(#REF!=RM시즌체크판!C80,ROW(#REF!)-20),3),)),"",(OFFSET(#REF!,SMALL(IF(#REF!=RM시즌체크판!C80,ROW(#REF!)-20),3),)))</f>
        <v/>
      </c>
      <c r="K80" s="34" t="str">
        <f t="array" aca="1" ref="K80" ca="1">IF(ISERROR(OFFSET(#REF!,SMALL(IF(#REF!=RM시즌체크판!C80,ROW(#REF!)-20),4),)),"",(OFFSET(#REF!,SMALL(IF(#REF!=RM시즌체크판!C80,ROW(#REF!)-20),4),)))</f>
        <v/>
      </c>
      <c r="L80" s="34" t="str">
        <f t="array" aca="1" ref="L80" ca="1">IF(ISERROR(OFFSET(#REF!,SMALL(IF(#REF!=RM시즌체크판!C80,ROW(#REF!)-20),5),)),"",(OFFSET(#REF!,SMALL(IF(#REF!=RM시즌체크판!C80,ROW(#REF!)-20),5),)))</f>
        <v/>
      </c>
      <c r="M80" s="35" t="str">
        <f t="array" aca="1" ref="M80" ca="1">IF(ISERROR(OFFSET(#REF!,SMALL(IF(#REF!=RM시즌체크판!C80,ROW(#REF!)-20),6),)),"",(OFFSET(#REF!,SMALL(IF(#REF!=RM시즌체크판!C80,ROW(#REF!)-20),6),)))</f>
        <v/>
      </c>
      <c r="N80" s="27" t="str">
        <f>IF(ISERROR(VLOOKUP(C80,모델촬영리스트!$C:$E,3,)),"",(VLOOKUP(C80,모델촬영리스트!$C:$E,3,)))</f>
        <v/>
      </c>
      <c r="O80" s="23" t="str">
        <f>IF(ISERROR(VLOOKUP(C80,배너촬영리스트!$C:$E,3,)),"",(VLOOKUP(C80,배너촬영리스트!$C:$E,3,)))</f>
        <v/>
      </c>
      <c r="P80" s="36" t="str">
        <f>IF(ISERROR(VLOOKUP(C80,배너촬영리스트!$C:$E,2,)),"",(VLOOKUP(C80,배너촬영리스트!$C:$E,2,)))</f>
        <v/>
      </c>
    </row>
    <row r="81" spans="2:16">
      <c r="B81" s="20" t="str">
        <f t="shared" si="1"/>
        <v>RM</v>
      </c>
      <c r="C81" s="11" t="s">
        <v>92</v>
      </c>
      <c r="D81" s="12" t="e">
        <f>VLOOKUP(C81,#REF!,2,0)</f>
        <v>#REF!</v>
      </c>
      <c r="E81" s="10" t="e">
        <f>VLOOKUP(C81,#REF!,4,0)</f>
        <v>#REF!</v>
      </c>
      <c r="F81" s="37" t="e">
        <f>VLOOKUP(C81,#REF!,8,0)</f>
        <v>#REF!</v>
      </c>
      <c r="G81" s="22" t="str">
        <f>IF(ISERROR(IF(VLOOKUP(C81,#REF!,2,0)&gt;0,"등록","")),"",(IF(VLOOKUP(C81,#REF!,2,0)&gt;0,"등록","")))</f>
        <v/>
      </c>
      <c r="H81" s="33" t="str">
        <f t="array" aca="1" ref="H81" ca="1">IF(ISERROR(OFFSET(#REF!,SMALL(IF(#REF!=RM시즌체크판!C81,ROW(#REF!)-20),1),)),"",(OFFSET(#REF!,SMALL(IF(#REF!=RM시즌체크판!C81,ROW(#REF!)-20),1),)))</f>
        <v/>
      </c>
      <c r="I81" s="34" t="str">
        <f t="array" aca="1" ref="I81" ca="1">IF(ISERROR(OFFSET(#REF!,SMALL(IF(#REF!=RM시즌체크판!C81,ROW(#REF!)-20),2),)),"",(OFFSET(#REF!,SMALL(IF(#REF!=RM시즌체크판!C81,ROW(#REF!)-20),2),)))</f>
        <v/>
      </c>
      <c r="J81" s="34" t="str">
        <f t="array" aca="1" ref="J81" ca="1">IF(ISERROR(OFFSET(#REF!,SMALL(IF(#REF!=RM시즌체크판!C81,ROW(#REF!)-20),3),)),"",(OFFSET(#REF!,SMALL(IF(#REF!=RM시즌체크판!C81,ROW(#REF!)-20),3),)))</f>
        <v/>
      </c>
      <c r="K81" s="34" t="str">
        <f t="array" aca="1" ref="K81" ca="1">IF(ISERROR(OFFSET(#REF!,SMALL(IF(#REF!=RM시즌체크판!C81,ROW(#REF!)-20),4),)),"",(OFFSET(#REF!,SMALL(IF(#REF!=RM시즌체크판!C81,ROW(#REF!)-20),4),)))</f>
        <v/>
      </c>
      <c r="L81" s="34" t="str">
        <f t="array" aca="1" ref="L81" ca="1">IF(ISERROR(OFFSET(#REF!,SMALL(IF(#REF!=RM시즌체크판!C81,ROW(#REF!)-20),5),)),"",(OFFSET(#REF!,SMALL(IF(#REF!=RM시즌체크판!C81,ROW(#REF!)-20),5),)))</f>
        <v/>
      </c>
      <c r="M81" s="35" t="str">
        <f t="array" aca="1" ref="M81" ca="1">IF(ISERROR(OFFSET(#REF!,SMALL(IF(#REF!=RM시즌체크판!C81,ROW(#REF!)-20),6),)),"",(OFFSET(#REF!,SMALL(IF(#REF!=RM시즌체크판!C81,ROW(#REF!)-20),6),)))</f>
        <v/>
      </c>
      <c r="N81" s="27" t="str">
        <f>IF(ISERROR(VLOOKUP(C81,모델촬영리스트!$C:$E,3,)),"",(VLOOKUP(C81,모델촬영리스트!$C:$E,3,)))</f>
        <v/>
      </c>
      <c r="O81" s="23" t="str">
        <f>IF(ISERROR(VLOOKUP(C81,배너촬영리스트!$C:$E,3,)),"",(VLOOKUP(C81,배너촬영리스트!$C:$E,3,)))</f>
        <v/>
      </c>
      <c r="P81" s="36" t="str">
        <f>IF(ISERROR(VLOOKUP(C81,배너촬영리스트!$C:$E,2,)),"",(VLOOKUP(C81,배너촬영리스트!$C:$E,2,)))</f>
        <v/>
      </c>
    </row>
    <row r="82" spans="2:16">
      <c r="B82" s="20" t="str">
        <f t="shared" si="1"/>
        <v>RM</v>
      </c>
      <c r="C82" s="11" t="s">
        <v>93</v>
      </c>
      <c r="D82" s="12" t="e">
        <f>VLOOKUP(C82,#REF!,2,0)</f>
        <v>#REF!</v>
      </c>
      <c r="E82" s="10" t="e">
        <f>VLOOKUP(C82,#REF!,4,0)</f>
        <v>#REF!</v>
      </c>
      <c r="F82" s="37" t="e">
        <f>VLOOKUP(C82,#REF!,8,0)</f>
        <v>#REF!</v>
      </c>
      <c r="G82" s="22" t="str">
        <f>IF(ISERROR(IF(VLOOKUP(C82,#REF!,2,0)&gt;0,"등록","")),"",(IF(VLOOKUP(C82,#REF!,2,0)&gt;0,"등록","")))</f>
        <v/>
      </c>
      <c r="H82" s="33" t="str">
        <f t="array" aca="1" ref="H82" ca="1">IF(ISERROR(OFFSET(#REF!,SMALL(IF(#REF!=RM시즌체크판!C82,ROW(#REF!)-20),1),)),"",(OFFSET(#REF!,SMALL(IF(#REF!=RM시즌체크판!C82,ROW(#REF!)-20),1),)))</f>
        <v/>
      </c>
      <c r="I82" s="34" t="str">
        <f t="array" aca="1" ref="I82" ca="1">IF(ISERROR(OFFSET(#REF!,SMALL(IF(#REF!=RM시즌체크판!C82,ROW(#REF!)-20),2),)),"",(OFFSET(#REF!,SMALL(IF(#REF!=RM시즌체크판!C82,ROW(#REF!)-20),2),)))</f>
        <v/>
      </c>
      <c r="J82" s="34" t="str">
        <f t="array" aca="1" ref="J82" ca="1">IF(ISERROR(OFFSET(#REF!,SMALL(IF(#REF!=RM시즌체크판!C82,ROW(#REF!)-20),3),)),"",(OFFSET(#REF!,SMALL(IF(#REF!=RM시즌체크판!C82,ROW(#REF!)-20),3),)))</f>
        <v/>
      </c>
      <c r="K82" s="34" t="str">
        <f t="array" aca="1" ref="K82" ca="1">IF(ISERROR(OFFSET(#REF!,SMALL(IF(#REF!=RM시즌체크판!C82,ROW(#REF!)-20),4),)),"",(OFFSET(#REF!,SMALL(IF(#REF!=RM시즌체크판!C82,ROW(#REF!)-20),4),)))</f>
        <v/>
      </c>
      <c r="L82" s="34" t="str">
        <f t="array" aca="1" ref="L82" ca="1">IF(ISERROR(OFFSET(#REF!,SMALL(IF(#REF!=RM시즌체크판!C82,ROW(#REF!)-20),5),)),"",(OFFSET(#REF!,SMALL(IF(#REF!=RM시즌체크판!C82,ROW(#REF!)-20),5),)))</f>
        <v/>
      </c>
      <c r="M82" s="35" t="str">
        <f t="array" aca="1" ref="M82" ca="1">IF(ISERROR(OFFSET(#REF!,SMALL(IF(#REF!=RM시즌체크판!C82,ROW(#REF!)-20),6),)),"",(OFFSET(#REF!,SMALL(IF(#REF!=RM시즌체크판!C82,ROW(#REF!)-20),6),)))</f>
        <v/>
      </c>
      <c r="N82" s="27" t="str">
        <f>IF(ISERROR(VLOOKUP(C82,모델촬영리스트!$C:$E,3,)),"",(VLOOKUP(C82,모델촬영리스트!$C:$E,3,)))</f>
        <v/>
      </c>
      <c r="O82" s="23" t="str">
        <f>IF(ISERROR(VLOOKUP(C82,배너촬영리스트!$C:$E,3,)),"",(VLOOKUP(C82,배너촬영리스트!$C:$E,3,)))</f>
        <v/>
      </c>
      <c r="P82" s="36" t="str">
        <f>IF(ISERROR(VLOOKUP(C82,배너촬영리스트!$C:$E,2,)),"",(VLOOKUP(C82,배너촬영리스트!$C:$E,2,)))</f>
        <v/>
      </c>
    </row>
    <row r="83" spans="2:16">
      <c r="B83" s="20" t="str">
        <f t="shared" si="1"/>
        <v>RM</v>
      </c>
      <c r="C83" s="11" t="s">
        <v>94</v>
      </c>
      <c r="D83" s="12" t="e">
        <f>VLOOKUP(C83,#REF!,2,0)</f>
        <v>#REF!</v>
      </c>
      <c r="E83" s="10" t="e">
        <f>VLOOKUP(C83,#REF!,4,0)</f>
        <v>#REF!</v>
      </c>
      <c r="F83" s="37" t="e">
        <f>VLOOKUP(C83,#REF!,8,0)</f>
        <v>#REF!</v>
      </c>
      <c r="G83" s="22" t="str">
        <f>IF(ISERROR(IF(VLOOKUP(C83,#REF!,2,0)&gt;0,"등록","")),"",(IF(VLOOKUP(C83,#REF!,2,0)&gt;0,"등록","")))</f>
        <v/>
      </c>
      <c r="H83" s="33" t="str">
        <f t="array" aca="1" ref="H83" ca="1">IF(ISERROR(OFFSET(#REF!,SMALL(IF(#REF!=RM시즌체크판!C83,ROW(#REF!)-20),1),)),"",(OFFSET(#REF!,SMALL(IF(#REF!=RM시즌체크판!C83,ROW(#REF!)-20),1),)))</f>
        <v/>
      </c>
      <c r="I83" s="34" t="str">
        <f t="array" aca="1" ref="I83" ca="1">IF(ISERROR(OFFSET(#REF!,SMALL(IF(#REF!=RM시즌체크판!C83,ROW(#REF!)-20),2),)),"",(OFFSET(#REF!,SMALL(IF(#REF!=RM시즌체크판!C83,ROW(#REF!)-20),2),)))</f>
        <v/>
      </c>
      <c r="J83" s="34" t="str">
        <f t="array" aca="1" ref="J83" ca="1">IF(ISERROR(OFFSET(#REF!,SMALL(IF(#REF!=RM시즌체크판!C83,ROW(#REF!)-20),3),)),"",(OFFSET(#REF!,SMALL(IF(#REF!=RM시즌체크판!C83,ROW(#REF!)-20),3),)))</f>
        <v/>
      </c>
      <c r="K83" s="34" t="str">
        <f t="array" aca="1" ref="K83" ca="1">IF(ISERROR(OFFSET(#REF!,SMALL(IF(#REF!=RM시즌체크판!C83,ROW(#REF!)-20),4),)),"",(OFFSET(#REF!,SMALL(IF(#REF!=RM시즌체크판!C83,ROW(#REF!)-20),4),)))</f>
        <v/>
      </c>
      <c r="L83" s="34" t="str">
        <f t="array" aca="1" ref="L83" ca="1">IF(ISERROR(OFFSET(#REF!,SMALL(IF(#REF!=RM시즌체크판!C83,ROW(#REF!)-20),5),)),"",(OFFSET(#REF!,SMALL(IF(#REF!=RM시즌체크판!C83,ROW(#REF!)-20),5),)))</f>
        <v/>
      </c>
      <c r="M83" s="35" t="str">
        <f t="array" aca="1" ref="M83" ca="1">IF(ISERROR(OFFSET(#REF!,SMALL(IF(#REF!=RM시즌체크판!C83,ROW(#REF!)-20),6),)),"",(OFFSET(#REF!,SMALL(IF(#REF!=RM시즌체크판!C83,ROW(#REF!)-20),6),)))</f>
        <v/>
      </c>
      <c r="N83" s="27" t="str">
        <f>IF(ISERROR(VLOOKUP(C83,모델촬영리스트!$C:$E,3,)),"",(VLOOKUP(C83,모델촬영리스트!$C:$E,3,)))</f>
        <v/>
      </c>
      <c r="O83" s="23" t="str">
        <f>IF(ISERROR(VLOOKUP(C83,배너촬영리스트!$C:$E,3,)),"",(VLOOKUP(C83,배너촬영리스트!$C:$E,3,)))</f>
        <v/>
      </c>
      <c r="P83" s="36" t="str">
        <f>IF(ISERROR(VLOOKUP(C83,배너촬영리스트!$C:$E,2,)),"",(VLOOKUP(C83,배너촬영리스트!$C:$E,2,)))</f>
        <v/>
      </c>
    </row>
    <row r="84" spans="2:16">
      <c r="B84" s="20" t="str">
        <f t="shared" si="1"/>
        <v>RM</v>
      </c>
      <c r="C84" s="11" t="s">
        <v>95</v>
      </c>
      <c r="D84" s="12" t="e">
        <f>VLOOKUP(C84,#REF!,2,0)</f>
        <v>#REF!</v>
      </c>
      <c r="E84" s="10" t="e">
        <f>VLOOKUP(C84,#REF!,4,0)</f>
        <v>#REF!</v>
      </c>
      <c r="F84" s="37" t="e">
        <f>VLOOKUP(C84,#REF!,8,0)</f>
        <v>#REF!</v>
      </c>
      <c r="G84" s="22" t="str">
        <f>IF(ISERROR(IF(VLOOKUP(C84,#REF!,2,0)&gt;0,"등록","")),"",(IF(VLOOKUP(C84,#REF!,2,0)&gt;0,"등록","")))</f>
        <v/>
      </c>
      <c r="H84" s="33" t="str">
        <f t="array" aca="1" ref="H84" ca="1">IF(ISERROR(OFFSET(#REF!,SMALL(IF(#REF!=RM시즌체크판!C84,ROW(#REF!)-20),1),)),"",(OFFSET(#REF!,SMALL(IF(#REF!=RM시즌체크판!C84,ROW(#REF!)-20),1),)))</f>
        <v/>
      </c>
      <c r="I84" s="34" t="str">
        <f t="array" aca="1" ref="I84" ca="1">IF(ISERROR(OFFSET(#REF!,SMALL(IF(#REF!=RM시즌체크판!C84,ROW(#REF!)-20),2),)),"",(OFFSET(#REF!,SMALL(IF(#REF!=RM시즌체크판!C84,ROW(#REF!)-20),2),)))</f>
        <v/>
      </c>
      <c r="J84" s="34" t="str">
        <f t="array" aca="1" ref="J84" ca="1">IF(ISERROR(OFFSET(#REF!,SMALL(IF(#REF!=RM시즌체크판!C84,ROW(#REF!)-20),3),)),"",(OFFSET(#REF!,SMALL(IF(#REF!=RM시즌체크판!C84,ROW(#REF!)-20),3),)))</f>
        <v/>
      </c>
      <c r="K84" s="34" t="str">
        <f t="array" aca="1" ref="K84" ca="1">IF(ISERROR(OFFSET(#REF!,SMALL(IF(#REF!=RM시즌체크판!C84,ROW(#REF!)-20),4),)),"",(OFFSET(#REF!,SMALL(IF(#REF!=RM시즌체크판!C84,ROW(#REF!)-20),4),)))</f>
        <v/>
      </c>
      <c r="L84" s="34" t="str">
        <f t="array" aca="1" ref="L84" ca="1">IF(ISERROR(OFFSET(#REF!,SMALL(IF(#REF!=RM시즌체크판!C84,ROW(#REF!)-20),5),)),"",(OFFSET(#REF!,SMALL(IF(#REF!=RM시즌체크판!C84,ROW(#REF!)-20),5),)))</f>
        <v/>
      </c>
      <c r="M84" s="35" t="str">
        <f t="array" aca="1" ref="M84" ca="1">IF(ISERROR(OFFSET(#REF!,SMALL(IF(#REF!=RM시즌체크판!C84,ROW(#REF!)-20),6),)),"",(OFFSET(#REF!,SMALL(IF(#REF!=RM시즌체크판!C84,ROW(#REF!)-20),6),)))</f>
        <v/>
      </c>
      <c r="N84" s="27" t="str">
        <f>IF(ISERROR(VLOOKUP(C84,모델촬영리스트!$C:$E,3,)),"",(VLOOKUP(C84,모델촬영리스트!$C:$E,3,)))</f>
        <v/>
      </c>
      <c r="O84" s="23" t="str">
        <f>IF(ISERROR(VLOOKUP(C84,배너촬영리스트!$C:$E,3,)),"",(VLOOKUP(C84,배너촬영리스트!$C:$E,3,)))</f>
        <v/>
      </c>
      <c r="P84" s="36" t="str">
        <f>IF(ISERROR(VLOOKUP(C84,배너촬영리스트!$C:$E,2,)),"",(VLOOKUP(C84,배너촬영리스트!$C:$E,2,)))</f>
        <v/>
      </c>
    </row>
    <row r="85" spans="2:16">
      <c r="B85" s="20" t="str">
        <f t="shared" si="1"/>
        <v>RM</v>
      </c>
      <c r="C85" s="11" t="s">
        <v>121</v>
      </c>
      <c r="D85" s="12" t="e">
        <f>VLOOKUP(C85,#REF!,2,0)</f>
        <v>#REF!</v>
      </c>
      <c r="E85" s="10" t="e">
        <f>VLOOKUP(C85,#REF!,4,0)</f>
        <v>#REF!</v>
      </c>
      <c r="F85" s="37" t="e">
        <f>VLOOKUP(C85,#REF!,8,0)</f>
        <v>#REF!</v>
      </c>
      <c r="G85" s="22" t="str">
        <f>IF(ISERROR(IF(VLOOKUP(C85,#REF!,2,0)&gt;0,"등록","")),"",(IF(VLOOKUP(C85,#REF!,2,0)&gt;0,"등록","")))</f>
        <v/>
      </c>
      <c r="H85" s="33" t="str">
        <f t="array" aca="1" ref="H85" ca="1">IF(ISERROR(OFFSET(#REF!,SMALL(IF(#REF!=RM시즌체크판!C85,ROW(#REF!)-20),1),)),"",(OFFSET(#REF!,SMALL(IF(#REF!=RM시즌체크판!C85,ROW(#REF!)-20),1),)))</f>
        <v/>
      </c>
      <c r="I85" s="34" t="str">
        <f t="array" aca="1" ref="I85" ca="1">IF(ISERROR(OFFSET(#REF!,SMALL(IF(#REF!=RM시즌체크판!C85,ROW(#REF!)-20),2),)),"",(OFFSET(#REF!,SMALL(IF(#REF!=RM시즌체크판!C85,ROW(#REF!)-20),2),)))</f>
        <v/>
      </c>
      <c r="J85" s="34" t="str">
        <f t="array" aca="1" ref="J85" ca="1">IF(ISERROR(OFFSET(#REF!,SMALL(IF(#REF!=RM시즌체크판!C85,ROW(#REF!)-20),3),)),"",(OFFSET(#REF!,SMALL(IF(#REF!=RM시즌체크판!C85,ROW(#REF!)-20),3),)))</f>
        <v/>
      </c>
      <c r="K85" s="34" t="str">
        <f t="array" aca="1" ref="K85" ca="1">IF(ISERROR(OFFSET(#REF!,SMALL(IF(#REF!=RM시즌체크판!C85,ROW(#REF!)-20),4),)),"",(OFFSET(#REF!,SMALL(IF(#REF!=RM시즌체크판!C85,ROW(#REF!)-20),4),)))</f>
        <v/>
      </c>
      <c r="L85" s="34" t="str">
        <f t="array" aca="1" ref="L85" ca="1">IF(ISERROR(OFFSET(#REF!,SMALL(IF(#REF!=RM시즌체크판!C85,ROW(#REF!)-20),5),)),"",(OFFSET(#REF!,SMALL(IF(#REF!=RM시즌체크판!C85,ROW(#REF!)-20),5),)))</f>
        <v/>
      </c>
      <c r="M85" s="35" t="str">
        <f t="array" aca="1" ref="M85" ca="1">IF(ISERROR(OFFSET(#REF!,SMALL(IF(#REF!=RM시즌체크판!C85,ROW(#REF!)-20),6),)),"",(OFFSET(#REF!,SMALL(IF(#REF!=RM시즌체크판!C85,ROW(#REF!)-20),6),)))</f>
        <v/>
      </c>
      <c r="N85" s="27" t="str">
        <f>IF(ISERROR(VLOOKUP(C85,모델촬영리스트!$C:$E,3,)),"",(VLOOKUP(C85,모델촬영리스트!$C:$E,3,)))</f>
        <v/>
      </c>
      <c r="O85" s="23" t="str">
        <f>IF(ISERROR(VLOOKUP(C85,배너촬영리스트!$C:$E,3,)),"",(VLOOKUP(C85,배너촬영리스트!$C:$E,3,)))</f>
        <v/>
      </c>
      <c r="P85" s="36" t="str">
        <f>IF(ISERROR(VLOOKUP(C85,배너촬영리스트!$C:$E,2,)),"",(VLOOKUP(C85,배너촬영리스트!$C:$E,2,)))</f>
        <v/>
      </c>
    </row>
    <row r="86" spans="2:16">
      <c r="B86" s="20" t="str">
        <f t="shared" si="1"/>
        <v>RM</v>
      </c>
      <c r="C86" s="11" t="s">
        <v>122</v>
      </c>
      <c r="D86" s="12" t="e">
        <f>VLOOKUP(C86,#REF!,2,0)</f>
        <v>#REF!</v>
      </c>
      <c r="E86" s="10" t="e">
        <f>VLOOKUP(C86,#REF!,4,0)</f>
        <v>#REF!</v>
      </c>
      <c r="F86" s="37" t="e">
        <f>VLOOKUP(C86,#REF!,8,0)</f>
        <v>#REF!</v>
      </c>
      <c r="G86" s="22" t="str">
        <f>IF(ISERROR(IF(VLOOKUP(C86,#REF!,2,0)&gt;0,"등록","")),"",(IF(VLOOKUP(C86,#REF!,2,0)&gt;0,"등록","")))</f>
        <v/>
      </c>
      <c r="H86" s="33" t="str">
        <f t="array" aca="1" ref="H86" ca="1">IF(ISERROR(OFFSET(#REF!,SMALL(IF(#REF!=RM시즌체크판!C86,ROW(#REF!)-20),1),)),"",(OFFSET(#REF!,SMALL(IF(#REF!=RM시즌체크판!C86,ROW(#REF!)-20),1),)))</f>
        <v/>
      </c>
      <c r="I86" s="34" t="str">
        <f t="array" aca="1" ref="I86" ca="1">IF(ISERROR(OFFSET(#REF!,SMALL(IF(#REF!=RM시즌체크판!C86,ROW(#REF!)-20),2),)),"",(OFFSET(#REF!,SMALL(IF(#REF!=RM시즌체크판!C86,ROW(#REF!)-20),2),)))</f>
        <v/>
      </c>
      <c r="J86" s="34" t="str">
        <f t="array" aca="1" ref="J86" ca="1">IF(ISERROR(OFFSET(#REF!,SMALL(IF(#REF!=RM시즌체크판!C86,ROW(#REF!)-20),3),)),"",(OFFSET(#REF!,SMALL(IF(#REF!=RM시즌체크판!C86,ROW(#REF!)-20),3),)))</f>
        <v/>
      </c>
      <c r="K86" s="34" t="str">
        <f t="array" aca="1" ref="K86" ca="1">IF(ISERROR(OFFSET(#REF!,SMALL(IF(#REF!=RM시즌체크판!C86,ROW(#REF!)-20),4),)),"",(OFFSET(#REF!,SMALL(IF(#REF!=RM시즌체크판!C86,ROW(#REF!)-20),4),)))</f>
        <v/>
      </c>
      <c r="L86" s="34" t="str">
        <f t="array" aca="1" ref="L86" ca="1">IF(ISERROR(OFFSET(#REF!,SMALL(IF(#REF!=RM시즌체크판!C86,ROW(#REF!)-20),5),)),"",(OFFSET(#REF!,SMALL(IF(#REF!=RM시즌체크판!C86,ROW(#REF!)-20),5),)))</f>
        <v/>
      </c>
      <c r="M86" s="35" t="str">
        <f t="array" aca="1" ref="M86" ca="1">IF(ISERROR(OFFSET(#REF!,SMALL(IF(#REF!=RM시즌체크판!C86,ROW(#REF!)-20),6),)),"",(OFFSET(#REF!,SMALL(IF(#REF!=RM시즌체크판!C86,ROW(#REF!)-20),6),)))</f>
        <v/>
      </c>
      <c r="N86" s="27" t="str">
        <f>IF(ISERROR(VLOOKUP(C86,모델촬영리스트!$C:$E,3,)),"",(VLOOKUP(C86,모델촬영리스트!$C:$E,3,)))</f>
        <v/>
      </c>
      <c r="O86" s="23" t="str">
        <f>IF(ISERROR(VLOOKUP(C86,배너촬영리스트!$C:$E,3,)),"",(VLOOKUP(C86,배너촬영리스트!$C:$E,3,)))</f>
        <v/>
      </c>
      <c r="P86" s="36" t="str">
        <f>IF(ISERROR(VLOOKUP(C86,배너촬영리스트!$C:$E,2,)),"",(VLOOKUP(C86,배너촬영리스트!$C:$E,2,)))</f>
        <v/>
      </c>
    </row>
    <row r="87" spans="2:16">
      <c r="B87" s="20" t="str">
        <f t="shared" si="1"/>
        <v>RM</v>
      </c>
      <c r="C87" s="11" t="s">
        <v>123</v>
      </c>
      <c r="D87" s="12" t="e">
        <f>VLOOKUP(C87,#REF!,2,0)</f>
        <v>#REF!</v>
      </c>
      <c r="E87" s="10" t="e">
        <f>VLOOKUP(C87,#REF!,4,0)</f>
        <v>#REF!</v>
      </c>
      <c r="F87" s="37" t="e">
        <f>VLOOKUP(C87,#REF!,8,0)</f>
        <v>#REF!</v>
      </c>
      <c r="G87" s="22" t="str">
        <f>IF(ISERROR(IF(VLOOKUP(C87,#REF!,2,0)&gt;0,"등록","")),"",(IF(VLOOKUP(C87,#REF!,2,0)&gt;0,"등록","")))</f>
        <v/>
      </c>
      <c r="H87" s="33" t="str">
        <f t="array" aca="1" ref="H87" ca="1">IF(ISERROR(OFFSET(#REF!,SMALL(IF(#REF!=RM시즌체크판!C87,ROW(#REF!)-20),1),)),"",(OFFSET(#REF!,SMALL(IF(#REF!=RM시즌체크판!C87,ROW(#REF!)-20),1),)))</f>
        <v/>
      </c>
      <c r="I87" s="34" t="str">
        <f t="array" aca="1" ref="I87" ca="1">IF(ISERROR(OFFSET(#REF!,SMALL(IF(#REF!=RM시즌체크판!C87,ROW(#REF!)-20),2),)),"",(OFFSET(#REF!,SMALL(IF(#REF!=RM시즌체크판!C87,ROW(#REF!)-20),2),)))</f>
        <v/>
      </c>
      <c r="J87" s="34" t="str">
        <f t="array" aca="1" ref="J87" ca="1">IF(ISERROR(OFFSET(#REF!,SMALL(IF(#REF!=RM시즌체크판!C87,ROW(#REF!)-20),3),)),"",(OFFSET(#REF!,SMALL(IF(#REF!=RM시즌체크판!C87,ROW(#REF!)-20),3),)))</f>
        <v/>
      </c>
      <c r="K87" s="34" t="str">
        <f t="array" aca="1" ref="K87" ca="1">IF(ISERROR(OFFSET(#REF!,SMALL(IF(#REF!=RM시즌체크판!C87,ROW(#REF!)-20),4),)),"",(OFFSET(#REF!,SMALL(IF(#REF!=RM시즌체크판!C87,ROW(#REF!)-20),4),)))</f>
        <v/>
      </c>
      <c r="L87" s="34" t="str">
        <f t="array" aca="1" ref="L87" ca="1">IF(ISERROR(OFFSET(#REF!,SMALL(IF(#REF!=RM시즌체크판!C87,ROW(#REF!)-20),5),)),"",(OFFSET(#REF!,SMALL(IF(#REF!=RM시즌체크판!C87,ROW(#REF!)-20),5),)))</f>
        <v/>
      </c>
      <c r="M87" s="35" t="str">
        <f t="array" aca="1" ref="M87" ca="1">IF(ISERROR(OFFSET(#REF!,SMALL(IF(#REF!=RM시즌체크판!C87,ROW(#REF!)-20),6),)),"",(OFFSET(#REF!,SMALL(IF(#REF!=RM시즌체크판!C87,ROW(#REF!)-20),6),)))</f>
        <v/>
      </c>
      <c r="N87" s="27" t="str">
        <f>IF(ISERROR(VLOOKUP(C87,모델촬영리스트!$C:$E,3,)),"",(VLOOKUP(C87,모델촬영리스트!$C:$E,3,)))</f>
        <v/>
      </c>
      <c r="O87" s="23" t="str">
        <f>IF(ISERROR(VLOOKUP(C87,배너촬영리스트!$C:$E,3,)),"",(VLOOKUP(C87,배너촬영리스트!$C:$E,3,)))</f>
        <v/>
      </c>
      <c r="P87" s="36" t="str">
        <f>IF(ISERROR(VLOOKUP(C87,배너촬영리스트!$C:$E,2,)),"",(VLOOKUP(C87,배너촬영리스트!$C:$E,2,)))</f>
        <v/>
      </c>
    </row>
    <row r="88" spans="2:16">
      <c r="B88" s="20" t="str">
        <f t="shared" si="1"/>
        <v>RM</v>
      </c>
      <c r="C88" s="11" t="s">
        <v>124</v>
      </c>
      <c r="D88" s="12" t="e">
        <f>VLOOKUP(C88,#REF!,2,0)</f>
        <v>#REF!</v>
      </c>
      <c r="E88" s="10" t="e">
        <f>VLOOKUP(C88,#REF!,4,0)</f>
        <v>#REF!</v>
      </c>
      <c r="F88" s="37" t="e">
        <f>VLOOKUP(C88,#REF!,8,0)</f>
        <v>#REF!</v>
      </c>
      <c r="G88" s="22" t="str">
        <f>IF(ISERROR(IF(VLOOKUP(C88,#REF!,2,0)&gt;0,"등록","")),"",(IF(VLOOKUP(C88,#REF!,2,0)&gt;0,"등록","")))</f>
        <v/>
      </c>
      <c r="H88" s="33" t="str">
        <f t="array" aca="1" ref="H88" ca="1">IF(ISERROR(OFFSET(#REF!,SMALL(IF(#REF!=RM시즌체크판!C88,ROW(#REF!)-20),1),)),"",(OFFSET(#REF!,SMALL(IF(#REF!=RM시즌체크판!C88,ROW(#REF!)-20),1),)))</f>
        <v/>
      </c>
      <c r="I88" s="34" t="str">
        <f t="array" aca="1" ref="I88" ca="1">IF(ISERROR(OFFSET(#REF!,SMALL(IF(#REF!=RM시즌체크판!C88,ROW(#REF!)-20),2),)),"",(OFFSET(#REF!,SMALL(IF(#REF!=RM시즌체크판!C88,ROW(#REF!)-20),2),)))</f>
        <v/>
      </c>
      <c r="J88" s="34" t="str">
        <f t="array" aca="1" ref="J88" ca="1">IF(ISERROR(OFFSET(#REF!,SMALL(IF(#REF!=RM시즌체크판!C88,ROW(#REF!)-20),3),)),"",(OFFSET(#REF!,SMALL(IF(#REF!=RM시즌체크판!C88,ROW(#REF!)-20),3),)))</f>
        <v/>
      </c>
      <c r="K88" s="34" t="str">
        <f t="array" aca="1" ref="K88" ca="1">IF(ISERROR(OFFSET(#REF!,SMALL(IF(#REF!=RM시즌체크판!C88,ROW(#REF!)-20),4),)),"",(OFFSET(#REF!,SMALL(IF(#REF!=RM시즌체크판!C88,ROW(#REF!)-20),4),)))</f>
        <v/>
      </c>
      <c r="L88" s="34" t="str">
        <f t="array" aca="1" ref="L88" ca="1">IF(ISERROR(OFFSET(#REF!,SMALL(IF(#REF!=RM시즌체크판!C88,ROW(#REF!)-20),5),)),"",(OFFSET(#REF!,SMALL(IF(#REF!=RM시즌체크판!C88,ROW(#REF!)-20),5),)))</f>
        <v/>
      </c>
      <c r="M88" s="35" t="str">
        <f t="array" aca="1" ref="M88" ca="1">IF(ISERROR(OFFSET(#REF!,SMALL(IF(#REF!=RM시즌체크판!C88,ROW(#REF!)-20),6),)),"",(OFFSET(#REF!,SMALL(IF(#REF!=RM시즌체크판!C88,ROW(#REF!)-20),6),)))</f>
        <v/>
      </c>
      <c r="N88" s="27" t="str">
        <f>IF(ISERROR(VLOOKUP(C88,모델촬영리스트!$C:$E,3,)),"",(VLOOKUP(C88,모델촬영리스트!$C:$E,3,)))</f>
        <v/>
      </c>
      <c r="O88" s="23" t="str">
        <f>IF(ISERROR(VLOOKUP(C88,배너촬영리스트!$C:$E,3,)),"",(VLOOKUP(C88,배너촬영리스트!$C:$E,3,)))</f>
        <v/>
      </c>
      <c r="P88" s="36" t="str">
        <f>IF(ISERROR(VLOOKUP(C88,배너촬영리스트!$C:$E,2,)),"",(VLOOKUP(C88,배너촬영리스트!$C:$E,2,)))</f>
        <v/>
      </c>
    </row>
    <row r="89" spans="2:16">
      <c r="B89" s="20" t="str">
        <f t="shared" si="1"/>
        <v>RM</v>
      </c>
      <c r="C89" s="11" t="s">
        <v>146</v>
      </c>
      <c r="D89" s="12" t="e">
        <f>VLOOKUP(C89,#REF!,2,0)</f>
        <v>#REF!</v>
      </c>
      <c r="E89" s="10" t="e">
        <f>VLOOKUP(C89,#REF!,4,0)</f>
        <v>#REF!</v>
      </c>
      <c r="F89" s="37" t="e">
        <f>VLOOKUP(C89,#REF!,8,0)</f>
        <v>#REF!</v>
      </c>
      <c r="G89" s="22" t="str">
        <f>IF(ISERROR(IF(VLOOKUP(C89,#REF!,2,0)&gt;0,"등록","")),"",(IF(VLOOKUP(C89,#REF!,2,0)&gt;0,"등록","")))</f>
        <v/>
      </c>
      <c r="H89" s="33" t="str">
        <f t="array" aca="1" ref="H89" ca="1">IF(ISERROR(OFFSET(#REF!,SMALL(IF(#REF!=RM시즌체크판!C89,ROW(#REF!)-20),1),)),"",(OFFSET(#REF!,SMALL(IF(#REF!=RM시즌체크판!C89,ROW(#REF!)-20),1),)))</f>
        <v/>
      </c>
      <c r="I89" s="34" t="str">
        <f t="array" aca="1" ref="I89" ca="1">IF(ISERROR(OFFSET(#REF!,SMALL(IF(#REF!=RM시즌체크판!C89,ROW(#REF!)-20),2),)),"",(OFFSET(#REF!,SMALL(IF(#REF!=RM시즌체크판!C89,ROW(#REF!)-20),2),)))</f>
        <v/>
      </c>
      <c r="J89" s="34" t="str">
        <f t="array" aca="1" ref="J89" ca="1">IF(ISERROR(OFFSET(#REF!,SMALL(IF(#REF!=RM시즌체크판!C89,ROW(#REF!)-20),3),)),"",(OFFSET(#REF!,SMALL(IF(#REF!=RM시즌체크판!C89,ROW(#REF!)-20),3),)))</f>
        <v/>
      </c>
      <c r="K89" s="34" t="str">
        <f t="array" aca="1" ref="K89" ca="1">IF(ISERROR(OFFSET(#REF!,SMALL(IF(#REF!=RM시즌체크판!C89,ROW(#REF!)-20),4),)),"",(OFFSET(#REF!,SMALL(IF(#REF!=RM시즌체크판!C89,ROW(#REF!)-20),4),)))</f>
        <v/>
      </c>
      <c r="L89" s="34" t="str">
        <f t="array" aca="1" ref="L89" ca="1">IF(ISERROR(OFFSET(#REF!,SMALL(IF(#REF!=RM시즌체크판!C89,ROW(#REF!)-20),5),)),"",(OFFSET(#REF!,SMALL(IF(#REF!=RM시즌체크판!C89,ROW(#REF!)-20),5),)))</f>
        <v/>
      </c>
      <c r="M89" s="35" t="str">
        <f t="array" aca="1" ref="M89" ca="1">IF(ISERROR(OFFSET(#REF!,SMALL(IF(#REF!=RM시즌체크판!C89,ROW(#REF!)-20),6),)),"",(OFFSET(#REF!,SMALL(IF(#REF!=RM시즌체크판!C89,ROW(#REF!)-20),6),)))</f>
        <v/>
      </c>
      <c r="N89" s="27" t="str">
        <f>IF(ISERROR(VLOOKUP(C89,모델촬영리스트!$C:$E,3,)),"",(VLOOKUP(C89,모델촬영리스트!$C:$E,3,)))</f>
        <v/>
      </c>
      <c r="O89" s="23" t="str">
        <f>IF(ISERROR(VLOOKUP(C89,배너촬영리스트!$C:$E,3,)),"",(VLOOKUP(C89,배너촬영리스트!$C:$E,3,)))</f>
        <v/>
      </c>
      <c r="P89" s="36" t="str">
        <f>IF(ISERROR(VLOOKUP(C89,배너촬영리스트!$C:$E,2,)),"",(VLOOKUP(C89,배너촬영리스트!$C:$E,2,)))</f>
        <v/>
      </c>
    </row>
    <row r="90" spans="2:16">
      <c r="B90" s="20" t="str">
        <f t="shared" si="1"/>
        <v>RM</v>
      </c>
      <c r="C90" s="11" t="s">
        <v>152</v>
      </c>
      <c r="D90" s="12" t="e">
        <f>VLOOKUP(C90,#REF!,2,0)</f>
        <v>#REF!</v>
      </c>
      <c r="E90" s="10" t="e">
        <f>VLOOKUP(C90,#REF!,4,0)</f>
        <v>#REF!</v>
      </c>
      <c r="F90" s="37" t="e">
        <f>VLOOKUP(C90,#REF!,8,0)</f>
        <v>#REF!</v>
      </c>
      <c r="G90" s="22" t="str">
        <f>IF(ISERROR(IF(VLOOKUP(C90,#REF!,2,0)&gt;0,"등록","")),"",(IF(VLOOKUP(C90,#REF!,2,0)&gt;0,"등록","")))</f>
        <v/>
      </c>
      <c r="H90" s="33" t="str">
        <f t="array" aca="1" ref="H90" ca="1">IF(ISERROR(OFFSET(#REF!,SMALL(IF(#REF!=RM시즌체크판!C90,ROW(#REF!)-20),1),)),"",(OFFSET(#REF!,SMALL(IF(#REF!=RM시즌체크판!C90,ROW(#REF!)-20),1),)))</f>
        <v/>
      </c>
      <c r="I90" s="34" t="str">
        <f t="array" aca="1" ref="I90" ca="1">IF(ISERROR(OFFSET(#REF!,SMALL(IF(#REF!=RM시즌체크판!C90,ROW(#REF!)-20),2),)),"",(OFFSET(#REF!,SMALL(IF(#REF!=RM시즌체크판!C90,ROW(#REF!)-20),2),)))</f>
        <v/>
      </c>
      <c r="J90" s="34" t="str">
        <f t="array" aca="1" ref="J90" ca="1">IF(ISERROR(OFFSET(#REF!,SMALL(IF(#REF!=RM시즌체크판!C90,ROW(#REF!)-20),3),)),"",(OFFSET(#REF!,SMALL(IF(#REF!=RM시즌체크판!C90,ROW(#REF!)-20),3),)))</f>
        <v/>
      </c>
      <c r="K90" s="34" t="str">
        <f t="array" aca="1" ref="K90" ca="1">IF(ISERROR(OFFSET(#REF!,SMALL(IF(#REF!=RM시즌체크판!C90,ROW(#REF!)-20),4),)),"",(OFFSET(#REF!,SMALL(IF(#REF!=RM시즌체크판!C90,ROW(#REF!)-20),4),)))</f>
        <v/>
      </c>
      <c r="L90" s="34" t="str">
        <f t="array" aca="1" ref="L90" ca="1">IF(ISERROR(OFFSET(#REF!,SMALL(IF(#REF!=RM시즌체크판!C90,ROW(#REF!)-20),5),)),"",(OFFSET(#REF!,SMALL(IF(#REF!=RM시즌체크판!C90,ROW(#REF!)-20),5),)))</f>
        <v/>
      </c>
      <c r="M90" s="35" t="str">
        <f t="array" aca="1" ref="M90" ca="1">IF(ISERROR(OFFSET(#REF!,SMALL(IF(#REF!=RM시즌체크판!C90,ROW(#REF!)-20),6),)),"",(OFFSET(#REF!,SMALL(IF(#REF!=RM시즌체크판!C90,ROW(#REF!)-20),6),)))</f>
        <v/>
      </c>
      <c r="N90" s="27" t="str">
        <f>IF(ISERROR(VLOOKUP(C90,모델촬영리스트!$C:$E,3,)),"",(VLOOKUP(C90,모델촬영리스트!$C:$E,3,)))</f>
        <v/>
      </c>
      <c r="O90" s="23" t="str">
        <f>IF(ISERROR(VLOOKUP(C90,배너촬영리스트!$C:$E,3,)),"",(VLOOKUP(C90,배너촬영리스트!$C:$E,3,)))</f>
        <v/>
      </c>
      <c r="P90" s="36" t="str">
        <f>IF(ISERROR(VLOOKUP(C90,배너촬영리스트!$C:$E,2,)),"",(VLOOKUP(C90,배너촬영리스트!$C:$E,2,)))</f>
        <v/>
      </c>
    </row>
    <row r="91" spans="2:16">
      <c r="B91" s="20" t="str">
        <f t="shared" si="1"/>
        <v>RM</v>
      </c>
      <c r="C91" s="11" t="s">
        <v>153</v>
      </c>
      <c r="D91" s="12" t="e">
        <f>VLOOKUP(C91,#REF!,2,0)</f>
        <v>#REF!</v>
      </c>
      <c r="E91" s="10" t="e">
        <f>VLOOKUP(C91,#REF!,4,0)</f>
        <v>#REF!</v>
      </c>
      <c r="F91" s="37" t="e">
        <f>VLOOKUP(C91,#REF!,8,0)</f>
        <v>#REF!</v>
      </c>
      <c r="G91" s="22" t="str">
        <f>IF(ISERROR(IF(VLOOKUP(C91,#REF!,2,0)&gt;0,"등록","")),"",(IF(VLOOKUP(C91,#REF!,2,0)&gt;0,"등록","")))</f>
        <v/>
      </c>
      <c r="H91" s="33" t="str">
        <f t="array" aca="1" ref="H91" ca="1">IF(ISERROR(OFFSET(#REF!,SMALL(IF(#REF!=RM시즌체크판!C91,ROW(#REF!)-20),1),)),"",(OFFSET(#REF!,SMALL(IF(#REF!=RM시즌체크판!C91,ROW(#REF!)-20),1),)))</f>
        <v/>
      </c>
      <c r="I91" s="34" t="str">
        <f t="array" aca="1" ref="I91" ca="1">IF(ISERROR(OFFSET(#REF!,SMALL(IF(#REF!=RM시즌체크판!C91,ROW(#REF!)-20),2),)),"",(OFFSET(#REF!,SMALL(IF(#REF!=RM시즌체크판!C91,ROW(#REF!)-20),2),)))</f>
        <v/>
      </c>
      <c r="J91" s="34" t="str">
        <f t="array" aca="1" ref="J91" ca="1">IF(ISERROR(OFFSET(#REF!,SMALL(IF(#REF!=RM시즌체크판!C91,ROW(#REF!)-20),3),)),"",(OFFSET(#REF!,SMALL(IF(#REF!=RM시즌체크판!C91,ROW(#REF!)-20),3),)))</f>
        <v/>
      </c>
      <c r="K91" s="34" t="str">
        <f t="array" aca="1" ref="K91" ca="1">IF(ISERROR(OFFSET(#REF!,SMALL(IF(#REF!=RM시즌체크판!C91,ROW(#REF!)-20),4),)),"",(OFFSET(#REF!,SMALL(IF(#REF!=RM시즌체크판!C91,ROW(#REF!)-20),4),)))</f>
        <v/>
      </c>
      <c r="L91" s="34" t="str">
        <f t="array" aca="1" ref="L91" ca="1">IF(ISERROR(OFFSET(#REF!,SMALL(IF(#REF!=RM시즌체크판!C91,ROW(#REF!)-20),5),)),"",(OFFSET(#REF!,SMALL(IF(#REF!=RM시즌체크판!C91,ROW(#REF!)-20),5),)))</f>
        <v/>
      </c>
      <c r="M91" s="35" t="str">
        <f t="array" aca="1" ref="M91" ca="1">IF(ISERROR(OFFSET(#REF!,SMALL(IF(#REF!=RM시즌체크판!C91,ROW(#REF!)-20),6),)),"",(OFFSET(#REF!,SMALL(IF(#REF!=RM시즌체크판!C91,ROW(#REF!)-20),6),)))</f>
        <v/>
      </c>
      <c r="N91" s="27" t="str">
        <f>IF(ISERROR(VLOOKUP(C91,모델촬영리스트!$C:$E,3,)),"",(VLOOKUP(C91,모델촬영리스트!$C:$E,3,)))</f>
        <v/>
      </c>
      <c r="O91" s="23" t="str">
        <f>IF(ISERROR(VLOOKUP(C91,배너촬영리스트!$C:$E,3,)),"",(VLOOKUP(C91,배너촬영리스트!$C:$E,3,)))</f>
        <v/>
      </c>
      <c r="P91" s="36" t="str">
        <f>IF(ISERROR(VLOOKUP(C91,배너촬영리스트!$C:$E,2,)),"",(VLOOKUP(C91,배너촬영리스트!$C:$E,2,)))</f>
        <v/>
      </c>
    </row>
    <row r="92" spans="2:16">
      <c r="B92" s="20" t="str">
        <f t="shared" si="1"/>
        <v>RM</v>
      </c>
      <c r="C92" s="11" t="s">
        <v>154</v>
      </c>
      <c r="D92" s="12" t="e">
        <f>VLOOKUP(C92,#REF!,2,0)</f>
        <v>#REF!</v>
      </c>
      <c r="E92" s="10" t="e">
        <f>VLOOKUP(C92,#REF!,4,0)</f>
        <v>#REF!</v>
      </c>
      <c r="F92" s="37" t="e">
        <f>VLOOKUP(C92,#REF!,8,0)</f>
        <v>#REF!</v>
      </c>
      <c r="G92" s="22" t="str">
        <f>IF(ISERROR(IF(VLOOKUP(C92,#REF!,2,0)&gt;0,"등록","")),"",(IF(VLOOKUP(C92,#REF!,2,0)&gt;0,"등록","")))</f>
        <v/>
      </c>
      <c r="H92" s="33" t="str">
        <f t="array" aca="1" ref="H92" ca="1">IF(ISERROR(OFFSET(#REF!,SMALL(IF(#REF!=RM시즌체크판!C92,ROW(#REF!)-20),1),)),"",(OFFSET(#REF!,SMALL(IF(#REF!=RM시즌체크판!C92,ROW(#REF!)-20),1),)))</f>
        <v/>
      </c>
      <c r="I92" s="34" t="str">
        <f t="array" aca="1" ref="I92" ca="1">IF(ISERROR(OFFSET(#REF!,SMALL(IF(#REF!=RM시즌체크판!C92,ROW(#REF!)-20),2),)),"",(OFFSET(#REF!,SMALL(IF(#REF!=RM시즌체크판!C92,ROW(#REF!)-20),2),)))</f>
        <v/>
      </c>
      <c r="J92" s="34" t="str">
        <f t="array" aca="1" ref="J92" ca="1">IF(ISERROR(OFFSET(#REF!,SMALL(IF(#REF!=RM시즌체크판!C92,ROW(#REF!)-20),3),)),"",(OFFSET(#REF!,SMALL(IF(#REF!=RM시즌체크판!C92,ROW(#REF!)-20),3),)))</f>
        <v/>
      </c>
      <c r="K92" s="34" t="str">
        <f t="array" aca="1" ref="K92" ca="1">IF(ISERROR(OFFSET(#REF!,SMALL(IF(#REF!=RM시즌체크판!C92,ROW(#REF!)-20),4),)),"",(OFFSET(#REF!,SMALL(IF(#REF!=RM시즌체크판!C92,ROW(#REF!)-20),4),)))</f>
        <v/>
      </c>
      <c r="L92" s="34" t="str">
        <f t="array" aca="1" ref="L92" ca="1">IF(ISERROR(OFFSET(#REF!,SMALL(IF(#REF!=RM시즌체크판!C92,ROW(#REF!)-20),5),)),"",(OFFSET(#REF!,SMALL(IF(#REF!=RM시즌체크판!C92,ROW(#REF!)-20),5),)))</f>
        <v/>
      </c>
      <c r="M92" s="35" t="str">
        <f t="array" aca="1" ref="M92" ca="1">IF(ISERROR(OFFSET(#REF!,SMALL(IF(#REF!=RM시즌체크판!C92,ROW(#REF!)-20),6),)),"",(OFFSET(#REF!,SMALL(IF(#REF!=RM시즌체크판!C92,ROW(#REF!)-20),6),)))</f>
        <v/>
      </c>
      <c r="N92" s="27" t="str">
        <f>IF(ISERROR(VLOOKUP(C92,모델촬영리스트!$C:$E,3,)),"",(VLOOKUP(C92,모델촬영리스트!$C:$E,3,)))</f>
        <v/>
      </c>
      <c r="O92" s="23" t="str">
        <f>IF(ISERROR(VLOOKUP(C92,배너촬영리스트!$C:$E,3,)),"",(VLOOKUP(C92,배너촬영리스트!$C:$E,3,)))</f>
        <v/>
      </c>
      <c r="P92" s="36" t="str">
        <f>IF(ISERROR(VLOOKUP(C92,배너촬영리스트!$C:$E,2,)),"",(VLOOKUP(C92,배너촬영리스트!$C:$E,2,)))</f>
        <v/>
      </c>
    </row>
    <row r="93" spans="2:16">
      <c r="B93" s="20" t="str">
        <f t="shared" si="1"/>
        <v>RM</v>
      </c>
      <c r="C93" s="11" t="s">
        <v>155</v>
      </c>
      <c r="D93" s="12" t="e">
        <f>VLOOKUP(C93,#REF!,2,0)</f>
        <v>#REF!</v>
      </c>
      <c r="E93" s="10" t="e">
        <f>VLOOKUP(C93,#REF!,4,0)</f>
        <v>#REF!</v>
      </c>
      <c r="F93" s="37" t="e">
        <f>VLOOKUP(C93,#REF!,8,0)</f>
        <v>#REF!</v>
      </c>
      <c r="G93" s="22" t="str">
        <f>IF(ISERROR(IF(VLOOKUP(C93,#REF!,2,0)&gt;0,"등록","")),"",(IF(VLOOKUP(C93,#REF!,2,0)&gt;0,"등록","")))</f>
        <v/>
      </c>
      <c r="H93" s="33" t="str">
        <f t="array" aca="1" ref="H93" ca="1">IF(ISERROR(OFFSET(#REF!,SMALL(IF(#REF!=RM시즌체크판!C93,ROW(#REF!)-20),1),)),"",(OFFSET(#REF!,SMALL(IF(#REF!=RM시즌체크판!C93,ROW(#REF!)-20),1),)))</f>
        <v/>
      </c>
      <c r="I93" s="34" t="str">
        <f t="array" aca="1" ref="I93" ca="1">IF(ISERROR(OFFSET(#REF!,SMALL(IF(#REF!=RM시즌체크판!C93,ROW(#REF!)-20),2),)),"",(OFFSET(#REF!,SMALL(IF(#REF!=RM시즌체크판!C93,ROW(#REF!)-20),2),)))</f>
        <v/>
      </c>
      <c r="J93" s="34" t="str">
        <f t="array" aca="1" ref="J93" ca="1">IF(ISERROR(OFFSET(#REF!,SMALL(IF(#REF!=RM시즌체크판!C93,ROW(#REF!)-20),3),)),"",(OFFSET(#REF!,SMALL(IF(#REF!=RM시즌체크판!C93,ROW(#REF!)-20),3),)))</f>
        <v/>
      </c>
      <c r="K93" s="34" t="str">
        <f t="array" aca="1" ref="K93" ca="1">IF(ISERROR(OFFSET(#REF!,SMALL(IF(#REF!=RM시즌체크판!C93,ROW(#REF!)-20),4),)),"",(OFFSET(#REF!,SMALL(IF(#REF!=RM시즌체크판!C93,ROW(#REF!)-20),4),)))</f>
        <v/>
      </c>
      <c r="L93" s="34" t="str">
        <f t="array" aca="1" ref="L93" ca="1">IF(ISERROR(OFFSET(#REF!,SMALL(IF(#REF!=RM시즌체크판!C93,ROW(#REF!)-20),5),)),"",(OFFSET(#REF!,SMALL(IF(#REF!=RM시즌체크판!C93,ROW(#REF!)-20),5),)))</f>
        <v/>
      </c>
      <c r="M93" s="35" t="str">
        <f t="array" aca="1" ref="M93" ca="1">IF(ISERROR(OFFSET(#REF!,SMALL(IF(#REF!=RM시즌체크판!C93,ROW(#REF!)-20),6),)),"",(OFFSET(#REF!,SMALL(IF(#REF!=RM시즌체크판!C93,ROW(#REF!)-20),6),)))</f>
        <v/>
      </c>
      <c r="N93" s="27" t="str">
        <f>IF(ISERROR(VLOOKUP(C93,모델촬영리스트!$C:$E,3,)),"",(VLOOKUP(C93,모델촬영리스트!$C:$E,3,)))</f>
        <v/>
      </c>
      <c r="O93" s="23" t="str">
        <f>IF(ISERROR(VLOOKUP(C93,배너촬영리스트!$C:$E,3,)),"",(VLOOKUP(C93,배너촬영리스트!$C:$E,3,)))</f>
        <v/>
      </c>
      <c r="P93" s="36" t="str">
        <f>IF(ISERROR(VLOOKUP(C93,배너촬영리스트!$C:$E,2,)),"",(VLOOKUP(C93,배너촬영리스트!$C:$E,2,)))</f>
        <v/>
      </c>
    </row>
    <row r="94" spans="2:16">
      <c r="B94" s="20" t="str">
        <f t="shared" si="1"/>
        <v>RM</v>
      </c>
      <c r="C94" s="11" t="s">
        <v>172</v>
      </c>
      <c r="D94" s="12" t="e">
        <f>VLOOKUP(C94,#REF!,2,0)</f>
        <v>#REF!</v>
      </c>
      <c r="E94" s="10" t="e">
        <f>VLOOKUP(C94,#REF!,4,0)</f>
        <v>#REF!</v>
      </c>
      <c r="F94" s="37" t="e">
        <f>VLOOKUP(C94,#REF!,8,0)</f>
        <v>#REF!</v>
      </c>
      <c r="G94" s="22" t="str">
        <f>IF(ISERROR(IF(VLOOKUP(C94,#REF!,2,0)&gt;0,"등록","")),"",(IF(VLOOKUP(C94,#REF!,2,0)&gt;0,"등록","")))</f>
        <v/>
      </c>
      <c r="H94" s="33" t="str">
        <f t="array" aca="1" ref="H94" ca="1">IF(ISERROR(OFFSET(#REF!,SMALL(IF(#REF!=RM시즌체크판!C94,ROW(#REF!)-20),1),)),"",(OFFSET(#REF!,SMALL(IF(#REF!=RM시즌체크판!C94,ROW(#REF!)-20),1),)))</f>
        <v/>
      </c>
      <c r="I94" s="34" t="str">
        <f t="array" aca="1" ref="I94" ca="1">IF(ISERROR(OFFSET(#REF!,SMALL(IF(#REF!=RM시즌체크판!C94,ROW(#REF!)-20),2),)),"",(OFFSET(#REF!,SMALL(IF(#REF!=RM시즌체크판!C94,ROW(#REF!)-20),2),)))</f>
        <v/>
      </c>
      <c r="J94" s="34" t="str">
        <f t="array" aca="1" ref="J94" ca="1">IF(ISERROR(OFFSET(#REF!,SMALL(IF(#REF!=RM시즌체크판!C94,ROW(#REF!)-20),3),)),"",(OFFSET(#REF!,SMALL(IF(#REF!=RM시즌체크판!C94,ROW(#REF!)-20),3),)))</f>
        <v/>
      </c>
      <c r="K94" s="34" t="str">
        <f t="array" aca="1" ref="K94" ca="1">IF(ISERROR(OFFSET(#REF!,SMALL(IF(#REF!=RM시즌체크판!C94,ROW(#REF!)-20),4),)),"",(OFFSET(#REF!,SMALL(IF(#REF!=RM시즌체크판!C94,ROW(#REF!)-20),4),)))</f>
        <v/>
      </c>
      <c r="L94" s="34" t="str">
        <f t="array" aca="1" ref="L94" ca="1">IF(ISERROR(OFFSET(#REF!,SMALL(IF(#REF!=RM시즌체크판!C94,ROW(#REF!)-20),5),)),"",(OFFSET(#REF!,SMALL(IF(#REF!=RM시즌체크판!C94,ROW(#REF!)-20),5),)))</f>
        <v/>
      </c>
      <c r="M94" s="35" t="str">
        <f t="array" aca="1" ref="M94" ca="1">IF(ISERROR(OFFSET(#REF!,SMALL(IF(#REF!=RM시즌체크판!C94,ROW(#REF!)-20),6),)),"",(OFFSET(#REF!,SMALL(IF(#REF!=RM시즌체크판!C94,ROW(#REF!)-20),6),)))</f>
        <v/>
      </c>
      <c r="N94" s="27" t="str">
        <f>IF(ISERROR(VLOOKUP(C94,모델촬영리스트!$C:$E,3,)),"",(VLOOKUP(C94,모델촬영리스트!$C:$E,3,)))</f>
        <v/>
      </c>
      <c r="O94" s="23" t="str">
        <f>IF(ISERROR(VLOOKUP(C94,배너촬영리스트!$C:$E,3,)),"",(VLOOKUP(C94,배너촬영리스트!$C:$E,3,)))</f>
        <v/>
      </c>
      <c r="P94" s="36" t="str">
        <f>IF(ISERROR(VLOOKUP(C94,배너촬영리스트!$C:$E,2,)),"",(VLOOKUP(C94,배너촬영리스트!$C:$E,2,)))</f>
        <v/>
      </c>
    </row>
    <row r="95" spans="2:16">
      <c r="B95" s="20" t="str">
        <f t="shared" si="1"/>
        <v>RM</v>
      </c>
      <c r="C95" s="11" t="s">
        <v>173</v>
      </c>
      <c r="D95" s="12" t="e">
        <f>VLOOKUP(C95,#REF!,2,0)</f>
        <v>#REF!</v>
      </c>
      <c r="E95" s="10" t="e">
        <f>VLOOKUP(C95,#REF!,4,0)</f>
        <v>#REF!</v>
      </c>
      <c r="F95" s="37" t="e">
        <f>VLOOKUP(C95,#REF!,8,0)</f>
        <v>#REF!</v>
      </c>
      <c r="G95" s="22" t="str">
        <f>IF(ISERROR(IF(VLOOKUP(C95,#REF!,2,0)&gt;0,"등록","")),"",(IF(VLOOKUP(C95,#REF!,2,0)&gt;0,"등록","")))</f>
        <v/>
      </c>
      <c r="H95" s="33" t="str">
        <f t="array" aca="1" ref="H95" ca="1">IF(ISERROR(OFFSET(#REF!,SMALL(IF(#REF!=RM시즌체크판!C95,ROW(#REF!)-20),1),)),"",(OFFSET(#REF!,SMALL(IF(#REF!=RM시즌체크판!C95,ROW(#REF!)-20),1),)))</f>
        <v/>
      </c>
      <c r="I95" s="34" t="str">
        <f t="array" aca="1" ref="I95" ca="1">IF(ISERROR(OFFSET(#REF!,SMALL(IF(#REF!=RM시즌체크판!C95,ROW(#REF!)-20),2),)),"",(OFFSET(#REF!,SMALL(IF(#REF!=RM시즌체크판!C95,ROW(#REF!)-20),2),)))</f>
        <v/>
      </c>
      <c r="J95" s="34" t="str">
        <f t="array" aca="1" ref="J95" ca="1">IF(ISERROR(OFFSET(#REF!,SMALL(IF(#REF!=RM시즌체크판!C95,ROW(#REF!)-20),3),)),"",(OFFSET(#REF!,SMALL(IF(#REF!=RM시즌체크판!C95,ROW(#REF!)-20),3),)))</f>
        <v/>
      </c>
      <c r="K95" s="34" t="str">
        <f t="array" aca="1" ref="K95" ca="1">IF(ISERROR(OFFSET(#REF!,SMALL(IF(#REF!=RM시즌체크판!C95,ROW(#REF!)-20),4),)),"",(OFFSET(#REF!,SMALL(IF(#REF!=RM시즌체크판!C95,ROW(#REF!)-20),4),)))</f>
        <v/>
      </c>
      <c r="L95" s="34" t="str">
        <f t="array" aca="1" ref="L95" ca="1">IF(ISERROR(OFFSET(#REF!,SMALL(IF(#REF!=RM시즌체크판!C95,ROW(#REF!)-20),5),)),"",(OFFSET(#REF!,SMALL(IF(#REF!=RM시즌체크판!C95,ROW(#REF!)-20),5),)))</f>
        <v/>
      </c>
      <c r="M95" s="35" t="str">
        <f t="array" aca="1" ref="M95" ca="1">IF(ISERROR(OFFSET(#REF!,SMALL(IF(#REF!=RM시즌체크판!C95,ROW(#REF!)-20),6),)),"",(OFFSET(#REF!,SMALL(IF(#REF!=RM시즌체크판!C95,ROW(#REF!)-20),6),)))</f>
        <v/>
      </c>
      <c r="N95" s="27" t="str">
        <f>IF(ISERROR(VLOOKUP(C95,모델촬영리스트!$C:$E,3,)),"",(VLOOKUP(C95,모델촬영리스트!$C:$E,3,)))</f>
        <v/>
      </c>
      <c r="O95" s="23" t="str">
        <f>IF(ISERROR(VLOOKUP(C95,배너촬영리스트!$C:$E,3,)),"",(VLOOKUP(C95,배너촬영리스트!$C:$E,3,)))</f>
        <v/>
      </c>
      <c r="P95" s="36" t="str">
        <f>IF(ISERROR(VLOOKUP(C95,배너촬영리스트!$C:$E,2,)),"",(VLOOKUP(C95,배너촬영리스트!$C:$E,2,)))</f>
        <v/>
      </c>
    </row>
    <row r="96" spans="2:16">
      <c r="B96" s="20" t="str">
        <f t="shared" si="1"/>
        <v>RM</v>
      </c>
      <c r="C96" s="11" t="s">
        <v>174</v>
      </c>
      <c r="D96" s="12" t="e">
        <f>VLOOKUP(C96,#REF!,2,0)</f>
        <v>#REF!</v>
      </c>
      <c r="E96" s="10" t="e">
        <f>VLOOKUP(C96,#REF!,4,0)</f>
        <v>#REF!</v>
      </c>
      <c r="F96" s="37" t="e">
        <f>VLOOKUP(C96,#REF!,8,0)</f>
        <v>#REF!</v>
      </c>
      <c r="G96" s="22" t="str">
        <f>IF(ISERROR(IF(VLOOKUP(C96,#REF!,2,0)&gt;0,"등록","")),"",(IF(VLOOKUP(C96,#REF!,2,0)&gt;0,"등록","")))</f>
        <v/>
      </c>
      <c r="H96" s="33" t="str">
        <f t="array" aca="1" ref="H96" ca="1">IF(ISERROR(OFFSET(#REF!,SMALL(IF(#REF!=RM시즌체크판!C96,ROW(#REF!)-20),1),)),"",(OFFSET(#REF!,SMALL(IF(#REF!=RM시즌체크판!C96,ROW(#REF!)-20),1),)))</f>
        <v/>
      </c>
      <c r="I96" s="34" t="str">
        <f t="array" aca="1" ref="I96" ca="1">IF(ISERROR(OFFSET(#REF!,SMALL(IF(#REF!=RM시즌체크판!C96,ROW(#REF!)-20),2),)),"",(OFFSET(#REF!,SMALL(IF(#REF!=RM시즌체크판!C96,ROW(#REF!)-20),2),)))</f>
        <v/>
      </c>
      <c r="J96" s="34" t="str">
        <f t="array" aca="1" ref="J96" ca="1">IF(ISERROR(OFFSET(#REF!,SMALL(IF(#REF!=RM시즌체크판!C96,ROW(#REF!)-20),3),)),"",(OFFSET(#REF!,SMALL(IF(#REF!=RM시즌체크판!C96,ROW(#REF!)-20),3),)))</f>
        <v/>
      </c>
      <c r="K96" s="34" t="str">
        <f t="array" aca="1" ref="K96" ca="1">IF(ISERROR(OFFSET(#REF!,SMALL(IF(#REF!=RM시즌체크판!C96,ROW(#REF!)-20),4),)),"",(OFFSET(#REF!,SMALL(IF(#REF!=RM시즌체크판!C96,ROW(#REF!)-20),4),)))</f>
        <v/>
      </c>
      <c r="L96" s="34" t="str">
        <f t="array" aca="1" ref="L96" ca="1">IF(ISERROR(OFFSET(#REF!,SMALL(IF(#REF!=RM시즌체크판!C96,ROW(#REF!)-20),5),)),"",(OFFSET(#REF!,SMALL(IF(#REF!=RM시즌체크판!C96,ROW(#REF!)-20),5),)))</f>
        <v/>
      </c>
      <c r="M96" s="35" t="str">
        <f t="array" aca="1" ref="M96" ca="1">IF(ISERROR(OFFSET(#REF!,SMALL(IF(#REF!=RM시즌체크판!C96,ROW(#REF!)-20),6),)),"",(OFFSET(#REF!,SMALL(IF(#REF!=RM시즌체크판!C96,ROW(#REF!)-20),6),)))</f>
        <v/>
      </c>
      <c r="N96" s="27" t="str">
        <f>IF(ISERROR(VLOOKUP(C96,모델촬영리스트!$C:$E,3,)),"",(VLOOKUP(C96,모델촬영리스트!$C:$E,3,)))</f>
        <v/>
      </c>
      <c r="O96" s="23" t="str">
        <f>IF(ISERROR(VLOOKUP(C96,배너촬영리스트!$C:$E,3,)),"",(VLOOKUP(C96,배너촬영리스트!$C:$E,3,)))</f>
        <v/>
      </c>
      <c r="P96" s="36" t="str">
        <f>IF(ISERROR(VLOOKUP(C96,배너촬영리스트!$C:$E,2,)),"",(VLOOKUP(C96,배너촬영리스트!$C:$E,2,)))</f>
        <v/>
      </c>
    </row>
    <row r="97" spans="2:16">
      <c r="B97" s="20" t="str">
        <f t="shared" si="1"/>
        <v>RM</v>
      </c>
      <c r="C97" s="11" t="s">
        <v>175</v>
      </c>
      <c r="D97" s="12" t="e">
        <f>VLOOKUP(C97,#REF!,2,0)</f>
        <v>#REF!</v>
      </c>
      <c r="E97" s="10" t="e">
        <f>VLOOKUP(C97,#REF!,4,0)</f>
        <v>#REF!</v>
      </c>
      <c r="F97" s="37" t="e">
        <f>VLOOKUP(C97,#REF!,8,0)</f>
        <v>#REF!</v>
      </c>
      <c r="G97" s="22" t="str">
        <f>IF(ISERROR(IF(VLOOKUP(C97,#REF!,2,0)&gt;0,"등록","")),"",(IF(VLOOKUP(C97,#REF!,2,0)&gt;0,"등록","")))</f>
        <v/>
      </c>
      <c r="H97" s="33" t="str">
        <f t="array" aca="1" ref="H97" ca="1">IF(ISERROR(OFFSET(#REF!,SMALL(IF(#REF!=RM시즌체크판!C97,ROW(#REF!)-20),1),)),"",(OFFSET(#REF!,SMALL(IF(#REF!=RM시즌체크판!C97,ROW(#REF!)-20),1),)))</f>
        <v/>
      </c>
      <c r="I97" s="34" t="str">
        <f t="array" aca="1" ref="I97" ca="1">IF(ISERROR(OFFSET(#REF!,SMALL(IF(#REF!=RM시즌체크판!C97,ROW(#REF!)-20),2),)),"",(OFFSET(#REF!,SMALL(IF(#REF!=RM시즌체크판!C97,ROW(#REF!)-20),2),)))</f>
        <v/>
      </c>
      <c r="J97" s="34" t="str">
        <f t="array" aca="1" ref="J97" ca="1">IF(ISERROR(OFFSET(#REF!,SMALL(IF(#REF!=RM시즌체크판!C97,ROW(#REF!)-20),3),)),"",(OFFSET(#REF!,SMALL(IF(#REF!=RM시즌체크판!C97,ROW(#REF!)-20),3),)))</f>
        <v/>
      </c>
      <c r="K97" s="34" t="str">
        <f t="array" aca="1" ref="K97" ca="1">IF(ISERROR(OFFSET(#REF!,SMALL(IF(#REF!=RM시즌체크판!C97,ROW(#REF!)-20),4),)),"",(OFFSET(#REF!,SMALL(IF(#REF!=RM시즌체크판!C97,ROW(#REF!)-20),4),)))</f>
        <v/>
      </c>
      <c r="L97" s="34" t="str">
        <f t="array" aca="1" ref="L97" ca="1">IF(ISERROR(OFFSET(#REF!,SMALL(IF(#REF!=RM시즌체크판!C97,ROW(#REF!)-20),5),)),"",(OFFSET(#REF!,SMALL(IF(#REF!=RM시즌체크판!C97,ROW(#REF!)-20),5),)))</f>
        <v/>
      </c>
      <c r="M97" s="35" t="str">
        <f t="array" aca="1" ref="M97" ca="1">IF(ISERROR(OFFSET(#REF!,SMALL(IF(#REF!=RM시즌체크판!C97,ROW(#REF!)-20),6),)),"",(OFFSET(#REF!,SMALL(IF(#REF!=RM시즌체크판!C97,ROW(#REF!)-20),6),)))</f>
        <v/>
      </c>
      <c r="N97" s="27" t="str">
        <f>IF(ISERROR(VLOOKUP(C97,모델촬영리스트!$C:$E,3,)),"",(VLOOKUP(C97,모델촬영리스트!$C:$E,3,)))</f>
        <v/>
      </c>
      <c r="O97" s="23" t="str">
        <f>IF(ISERROR(VLOOKUP(C97,배너촬영리스트!$C:$E,3,)),"",(VLOOKUP(C97,배너촬영리스트!$C:$E,3,)))</f>
        <v/>
      </c>
      <c r="P97" s="36" t="str">
        <f>IF(ISERROR(VLOOKUP(C97,배너촬영리스트!$C:$E,2,)),"",(VLOOKUP(C97,배너촬영리스트!$C:$E,2,)))</f>
        <v/>
      </c>
    </row>
    <row r="98" spans="2:16">
      <c r="B98" s="20" t="str">
        <f t="shared" si="1"/>
        <v>RM</v>
      </c>
      <c r="C98" s="11" t="s">
        <v>176</v>
      </c>
      <c r="D98" s="12" t="e">
        <f>VLOOKUP(C98,#REF!,2,0)</f>
        <v>#REF!</v>
      </c>
      <c r="E98" s="10" t="e">
        <f>VLOOKUP(C98,#REF!,4,0)</f>
        <v>#REF!</v>
      </c>
      <c r="F98" s="37" t="e">
        <f>VLOOKUP(C98,#REF!,8,0)</f>
        <v>#REF!</v>
      </c>
      <c r="G98" s="22" t="str">
        <f>IF(ISERROR(IF(VLOOKUP(C98,#REF!,2,0)&gt;0,"등록","")),"",(IF(VLOOKUP(C98,#REF!,2,0)&gt;0,"등록","")))</f>
        <v/>
      </c>
      <c r="H98" s="33" t="str">
        <f t="array" aca="1" ref="H98" ca="1">IF(ISERROR(OFFSET(#REF!,SMALL(IF(#REF!=RM시즌체크판!C98,ROW(#REF!)-20),1),)),"",(OFFSET(#REF!,SMALL(IF(#REF!=RM시즌체크판!C98,ROW(#REF!)-20),1),)))</f>
        <v/>
      </c>
      <c r="I98" s="34" t="str">
        <f t="array" aca="1" ref="I98" ca="1">IF(ISERROR(OFFSET(#REF!,SMALL(IF(#REF!=RM시즌체크판!C98,ROW(#REF!)-20),2),)),"",(OFFSET(#REF!,SMALL(IF(#REF!=RM시즌체크판!C98,ROW(#REF!)-20),2),)))</f>
        <v/>
      </c>
      <c r="J98" s="34" t="str">
        <f t="array" aca="1" ref="J98" ca="1">IF(ISERROR(OFFSET(#REF!,SMALL(IF(#REF!=RM시즌체크판!C98,ROW(#REF!)-20),3),)),"",(OFFSET(#REF!,SMALL(IF(#REF!=RM시즌체크판!C98,ROW(#REF!)-20),3),)))</f>
        <v/>
      </c>
      <c r="K98" s="34" t="str">
        <f t="array" aca="1" ref="K98" ca="1">IF(ISERROR(OFFSET(#REF!,SMALL(IF(#REF!=RM시즌체크판!C98,ROW(#REF!)-20),4),)),"",(OFFSET(#REF!,SMALL(IF(#REF!=RM시즌체크판!C98,ROW(#REF!)-20),4),)))</f>
        <v/>
      </c>
      <c r="L98" s="34" t="str">
        <f t="array" aca="1" ref="L98" ca="1">IF(ISERROR(OFFSET(#REF!,SMALL(IF(#REF!=RM시즌체크판!C98,ROW(#REF!)-20),5),)),"",(OFFSET(#REF!,SMALL(IF(#REF!=RM시즌체크판!C98,ROW(#REF!)-20),5),)))</f>
        <v/>
      </c>
      <c r="M98" s="35" t="str">
        <f t="array" aca="1" ref="M98" ca="1">IF(ISERROR(OFFSET(#REF!,SMALL(IF(#REF!=RM시즌체크판!C98,ROW(#REF!)-20),6),)),"",(OFFSET(#REF!,SMALL(IF(#REF!=RM시즌체크판!C98,ROW(#REF!)-20),6),)))</f>
        <v/>
      </c>
      <c r="N98" s="27" t="str">
        <f>IF(ISERROR(VLOOKUP(C98,모델촬영리스트!$C:$E,3,)),"",(VLOOKUP(C98,모델촬영리스트!$C:$E,3,)))</f>
        <v/>
      </c>
      <c r="O98" s="23" t="str">
        <f>IF(ISERROR(VLOOKUP(C98,배너촬영리스트!$C:$E,3,)),"",(VLOOKUP(C98,배너촬영리스트!$C:$E,3,)))</f>
        <v/>
      </c>
      <c r="P98" s="36" t="str">
        <f>IF(ISERROR(VLOOKUP(C98,배너촬영리스트!$C:$E,2,)),"",(VLOOKUP(C98,배너촬영리스트!$C:$E,2,)))</f>
        <v/>
      </c>
    </row>
    <row r="99" spans="2:16">
      <c r="B99" s="20" t="str">
        <f t="shared" si="1"/>
        <v>RM</v>
      </c>
      <c r="C99" s="11" t="s">
        <v>177</v>
      </c>
      <c r="D99" s="12" t="e">
        <f>VLOOKUP(C99,#REF!,2,0)</f>
        <v>#REF!</v>
      </c>
      <c r="E99" s="10" t="e">
        <f>VLOOKUP(C99,#REF!,4,0)</f>
        <v>#REF!</v>
      </c>
      <c r="F99" s="37" t="e">
        <f>VLOOKUP(C99,#REF!,8,0)</f>
        <v>#REF!</v>
      </c>
      <c r="G99" s="22" t="str">
        <f>IF(ISERROR(IF(VLOOKUP(C99,#REF!,2,0)&gt;0,"등록","")),"",(IF(VLOOKUP(C99,#REF!,2,0)&gt;0,"등록","")))</f>
        <v/>
      </c>
      <c r="H99" s="33" t="str">
        <f t="array" aca="1" ref="H99" ca="1">IF(ISERROR(OFFSET(#REF!,SMALL(IF(#REF!=RM시즌체크판!C99,ROW(#REF!)-20),1),)),"",(OFFSET(#REF!,SMALL(IF(#REF!=RM시즌체크판!C99,ROW(#REF!)-20),1),)))</f>
        <v/>
      </c>
      <c r="I99" s="34" t="str">
        <f t="array" aca="1" ref="I99" ca="1">IF(ISERROR(OFFSET(#REF!,SMALL(IF(#REF!=RM시즌체크판!C99,ROW(#REF!)-20),2),)),"",(OFFSET(#REF!,SMALL(IF(#REF!=RM시즌체크판!C99,ROW(#REF!)-20),2),)))</f>
        <v/>
      </c>
      <c r="J99" s="34" t="str">
        <f t="array" aca="1" ref="J99" ca="1">IF(ISERROR(OFFSET(#REF!,SMALL(IF(#REF!=RM시즌체크판!C99,ROW(#REF!)-20),3),)),"",(OFFSET(#REF!,SMALL(IF(#REF!=RM시즌체크판!C99,ROW(#REF!)-20),3),)))</f>
        <v/>
      </c>
      <c r="K99" s="34" t="str">
        <f t="array" aca="1" ref="K99" ca="1">IF(ISERROR(OFFSET(#REF!,SMALL(IF(#REF!=RM시즌체크판!C99,ROW(#REF!)-20),4),)),"",(OFFSET(#REF!,SMALL(IF(#REF!=RM시즌체크판!C99,ROW(#REF!)-20),4),)))</f>
        <v/>
      </c>
      <c r="L99" s="34" t="str">
        <f t="array" aca="1" ref="L99" ca="1">IF(ISERROR(OFFSET(#REF!,SMALL(IF(#REF!=RM시즌체크판!C99,ROW(#REF!)-20),5),)),"",(OFFSET(#REF!,SMALL(IF(#REF!=RM시즌체크판!C99,ROW(#REF!)-20),5),)))</f>
        <v/>
      </c>
      <c r="M99" s="35" t="str">
        <f t="array" aca="1" ref="M99" ca="1">IF(ISERROR(OFFSET(#REF!,SMALL(IF(#REF!=RM시즌체크판!C99,ROW(#REF!)-20),6),)),"",(OFFSET(#REF!,SMALL(IF(#REF!=RM시즌체크판!C99,ROW(#REF!)-20),6),)))</f>
        <v/>
      </c>
      <c r="N99" s="27" t="str">
        <f>IF(ISERROR(VLOOKUP(C99,모델촬영리스트!$C:$E,3,)),"",(VLOOKUP(C99,모델촬영리스트!$C:$E,3,)))</f>
        <v/>
      </c>
      <c r="O99" s="23" t="str">
        <f>IF(ISERROR(VLOOKUP(C99,배너촬영리스트!$C:$E,3,)),"",(VLOOKUP(C99,배너촬영리스트!$C:$E,3,)))</f>
        <v/>
      </c>
      <c r="P99" s="36" t="str">
        <f>IF(ISERROR(VLOOKUP(C99,배너촬영리스트!$C:$E,2,)),"",(VLOOKUP(C99,배너촬영리스트!$C:$E,2,)))</f>
        <v/>
      </c>
    </row>
    <row r="100" spans="2:16">
      <c r="B100" s="20" t="str">
        <f t="shared" si="1"/>
        <v>RM</v>
      </c>
      <c r="C100" s="11" t="s">
        <v>178</v>
      </c>
      <c r="D100" s="12" t="e">
        <f>VLOOKUP(C100,#REF!,2,0)</f>
        <v>#REF!</v>
      </c>
      <c r="E100" s="10" t="e">
        <f>VLOOKUP(C100,#REF!,4,0)</f>
        <v>#REF!</v>
      </c>
      <c r="F100" s="37" t="e">
        <f>VLOOKUP(C100,#REF!,8,0)</f>
        <v>#REF!</v>
      </c>
      <c r="G100" s="22" t="str">
        <f>IF(ISERROR(IF(VLOOKUP(C100,#REF!,2,0)&gt;0,"등록","")),"",(IF(VLOOKUP(C100,#REF!,2,0)&gt;0,"등록","")))</f>
        <v/>
      </c>
      <c r="H100" s="33" t="str">
        <f t="array" aca="1" ref="H100" ca="1">IF(ISERROR(OFFSET(#REF!,SMALL(IF(#REF!=RM시즌체크판!C100,ROW(#REF!)-20),1),)),"",(OFFSET(#REF!,SMALL(IF(#REF!=RM시즌체크판!C100,ROW(#REF!)-20),1),)))</f>
        <v/>
      </c>
      <c r="I100" s="34" t="str">
        <f t="array" aca="1" ref="I100" ca="1">IF(ISERROR(OFFSET(#REF!,SMALL(IF(#REF!=RM시즌체크판!C100,ROW(#REF!)-20),2),)),"",(OFFSET(#REF!,SMALL(IF(#REF!=RM시즌체크판!C100,ROW(#REF!)-20),2),)))</f>
        <v/>
      </c>
      <c r="J100" s="34" t="str">
        <f t="array" aca="1" ref="J100" ca="1">IF(ISERROR(OFFSET(#REF!,SMALL(IF(#REF!=RM시즌체크판!C100,ROW(#REF!)-20),3),)),"",(OFFSET(#REF!,SMALL(IF(#REF!=RM시즌체크판!C100,ROW(#REF!)-20),3),)))</f>
        <v/>
      </c>
      <c r="K100" s="34" t="str">
        <f t="array" aca="1" ref="K100" ca="1">IF(ISERROR(OFFSET(#REF!,SMALL(IF(#REF!=RM시즌체크판!C100,ROW(#REF!)-20),4),)),"",(OFFSET(#REF!,SMALL(IF(#REF!=RM시즌체크판!C100,ROW(#REF!)-20),4),)))</f>
        <v/>
      </c>
      <c r="L100" s="34" t="str">
        <f t="array" aca="1" ref="L100" ca="1">IF(ISERROR(OFFSET(#REF!,SMALL(IF(#REF!=RM시즌체크판!C100,ROW(#REF!)-20),5),)),"",(OFFSET(#REF!,SMALL(IF(#REF!=RM시즌체크판!C100,ROW(#REF!)-20),5),)))</f>
        <v/>
      </c>
      <c r="M100" s="35" t="str">
        <f t="array" aca="1" ref="M100" ca="1">IF(ISERROR(OFFSET(#REF!,SMALL(IF(#REF!=RM시즌체크판!C100,ROW(#REF!)-20),6),)),"",(OFFSET(#REF!,SMALL(IF(#REF!=RM시즌체크판!C100,ROW(#REF!)-20),6),)))</f>
        <v/>
      </c>
      <c r="N100" s="27" t="str">
        <f>IF(ISERROR(VLOOKUP(C100,모델촬영리스트!$C:$E,3,)),"",(VLOOKUP(C100,모델촬영리스트!$C:$E,3,)))</f>
        <v/>
      </c>
      <c r="O100" s="23" t="str">
        <f>IF(ISERROR(VLOOKUP(C100,배너촬영리스트!$C:$E,3,)),"",(VLOOKUP(C100,배너촬영리스트!$C:$E,3,)))</f>
        <v/>
      </c>
      <c r="P100" s="36" t="str">
        <f>IF(ISERROR(VLOOKUP(C100,배너촬영리스트!$C:$E,2,)),"",(VLOOKUP(C100,배너촬영리스트!$C:$E,2,)))</f>
        <v/>
      </c>
    </row>
    <row r="101" spans="2:16">
      <c r="B101" s="20" t="str">
        <f t="shared" si="1"/>
        <v>RM</v>
      </c>
      <c r="C101" s="11" t="s">
        <v>179</v>
      </c>
      <c r="D101" s="12" t="e">
        <f>VLOOKUP(C101,#REF!,2,0)</f>
        <v>#REF!</v>
      </c>
      <c r="E101" s="10" t="e">
        <f>VLOOKUP(C101,#REF!,4,0)</f>
        <v>#REF!</v>
      </c>
      <c r="F101" s="37" t="e">
        <f>VLOOKUP(C101,#REF!,8,0)</f>
        <v>#REF!</v>
      </c>
      <c r="G101" s="22" t="str">
        <f>IF(ISERROR(IF(VLOOKUP(C101,#REF!,2,0)&gt;0,"등록","")),"",(IF(VLOOKUP(C101,#REF!,2,0)&gt;0,"등록","")))</f>
        <v/>
      </c>
      <c r="H101" s="33" t="str">
        <f t="array" aca="1" ref="H101" ca="1">IF(ISERROR(OFFSET(#REF!,SMALL(IF(#REF!=RM시즌체크판!C101,ROW(#REF!)-20),1),)),"",(OFFSET(#REF!,SMALL(IF(#REF!=RM시즌체크판!C101,ROW(#REF!)-20),1),)))</f>
        <v/>
      </c>
      <c r="I101" s="34" t="str">
        <f t="array" aca="1" ref="I101" ca="1">IF(ISERROR(OFFSET(#REF!,SMALL(IF(#REF!=RM시즌체크판!C101,ROW(#REF!)-20),2),)),"",(OFFSET(#REF!,SMALL(IF(#REF!=RM시즌체크판!C101,ROW(#REF!)-20),2),)))</f>
        <v/>
      </c>
      <c r="J101" s="34" t="str">
        <f t="array" aca="1" ref="J101" ca="1">IF(ISERROR(OFFSET(#REF!,SMALL(IF(#REF!=RM시즌체크판!C101,ROW(#REF!)-20),3),)),"",(OFFSET(#REF!,SMALL(IF(#REF!=RM시즌체크판!C101,ROW(#REF!)-20),3),)))</f>
        <v/>
      </c>
      <c r="K101" s="34" t="str">
        <f t="array" aca="1" ref="K101" ca="1">IF(ISERROR(OFFSET(#REF!,SMALL(IF(#REF!=RM시즌체크판!C101,ROW(#REF!)-20),4),)),"",(OFFSET(#REF!,SMALL(IF(#REF!=RM시즌체크판!C101,ROW(#REF!)-20),4),)))</f>
        <v/>
      </c>
      <c r="L101" s="34" t="str">
        <f t="array" aca="1" ref="L101" ca="1">IF(ISERROR(OFFSET(#REF!,SMALL(IF(#REF!=RM시즌체크판!C101,ROW(#REF!)-20),5),)),"",(OFFSET(#REF!,SMALL(IF(#REF!=RM시즌체크판!C101,ROW(#REF!)-20),5),)))</f>
        <v/>
      </c>
      <c r="M101" s="35" t="str">
        <f t="array" aca="1" ref="M101" ca="1">IF(ISERROR(OFFSET(#REF!,SMALL(IF(#REF!=RM시즌체크판!C101,ROW(#REF!)-20),6),)),"",(OFFSET(#REF!,SMALL(IF(#REF!=RM시즌체크판!C101,ROW(#REF!)-20),6),)))</f>
        <v/>
      </c>
      <c r="N101" s="27" t="str">
        <f>IF(ISERROR(VLOOKUP(C101,모델촬영리스트!$C:$E,3,)),"",(VLOOKUP(C101,모델촬영리스트!$C:$E,3,)))</f>
        <v/>
      </c>
      <c r="O101" s="23" t="str">
        <f>IF(ISERROR(VLOOKUP(C101,배너촬영리스트!$C:$E,3,)),"",(VLOOKUP(C101,배너촬영리스트!$C:$E,3,)))</f>
        <v/>
      </c>
      <c r="P101" s="36" t="str">
        <f>IF(ISERROR(VLOOKUP(C101,배너촬영리스트!$C:$E,2,)),"",(VLOOKUP(C101,배너촬영리스트!$C:$E,2,)))</f>
        <v/>
      </c>
    </row>
    <row r="102" spans="2:16">
      <c r="B102" s="20" t="str">
        <f t="shared" si="1"/>
        <v>RM</v>
      </c>
      <c r="C102" s="11" t="s">
        <v>180</v>
      </c>
      <c r="D102" s="12" t="e">
        <f>VLOOKUP(C102,#REF!,2,0)</f>
        <v>#REF!</v>
      </c>
      <c r="E102" s="10" t="e">
        <f>VLOOKUP(C102,#REF!,4,0)</f>
        <v>#REF!</v>
      </c>
      <c r="F102" s="37" t="e">
        <f>VLOOKUP(C102,#REF!,8,0)</f>
        <v>#REF!</v>
      </c>
      <c r="G102" s="22" t="str">
        <f>IF(ISERROR(IF(VLOOKUP(C102,#REF!,2,0)&gt;0,"등록","")),"",(IF(VLOOKUP(C102,#REF!,2,0)&gt;0,"등록","")))</f>
        <v/>
      </c>
      <c r="H102" s="33" t="str">
        <f t="array" aca="1" ref="H102" ca="1">IF(ISERROR(OFFSET(#REF!,SMALL(IF(#REF!=RM시즌체크판!C102,ROW(#REF!)-20),1),)),"",(OFFSET(#REF!,SMALL(IF(#REF!=RM시즌체크판!C102,ROW(#REF!)-20),1),)))</f>
        <v/>
      </c>
      <c r="I102" s="34" t="str">
        <f t="array" aca="1" ref="I102" ca="1">IF(ISERROR(OFFSET(#REF!,SMALL(IF(#REF!=RM시즌체크판!C102,ROW(#REF!)-20),2),)),"",(OFFSET(#REF!,SMALL(IF(#REF!=RM시즌체크판!C102,ROW(#REF!)-20),2),)))</f>
        <v/>
      </c>
      <c r="J102" s="34" t="str">
        <f t="array" aca="1" ref="J102" ca="1">IF(ISERROR(OFFSET(#REF!,SMALL(IF(#REF!=RM시즌체크판!C102,ROW(#REF!)-20),3),)),"",(OFFSET(#REF!,SMALL(IF(#REF!=RM시즌체크판!C102,ROW(#REF!)-20),3),)))</f>
        <v/>
      </c>
      <c r="K102" s="34" t="str">
        <f t="array" aca="1" ref="K102" ca="1">IF(ISERROR(OFFSET(#REF!,SMALL(IF(#REF!=RM시즌체크판!C102,ROW(#REF!)-20),4),)),"",(OFFSET(#REF!,SMALL(IF(#REF!=RM시즌체크판!C102,ROW(#REF!)-20),4),)))</f>
        <v/>
      </c>
      <c r="L102" s="34" t="str">
        <f t="array" aca="1" ref="L102" ca="1">IF(ISERROR(OFFSET(#REF!,SMALL(IF(#REF!=RM시즌체크판!C102,ROW(#REF!)-20),5),)),"",(OFFSET(#REF!,SMALL(IF(#REF!=RM시즌체크판!C102,ROW(#REF!)-20),5),)))</f>
        <v/>
      </c>
      <c r="M102" s="35" t="str">
        <f t="array" aca="1" ref="M102" ca="1">IF(ISERROR(OFFSET(#REF!,SMALL(IF(#REF!=RM시즌체크판!C102,ROW(#REF!)-20),6),)),"",(OFFSET(#REF!,SMALL(IF(#REF!=RM시즌체크판!C102,ROW(#REF!)-20),6),)))</f>
        <v/>
      </c>
      <c r="N102" s="27" t="str">
        <f>IF(ISERROR(VLOOKUP(C102,모델촬영리스트!$C:$E,3,)),"",(VLOOKUP(C102,모델촬영리스트!$C:$E,3,)))</f>
        <v/>
      </c>
      <c r="O102" s="23" t="str">
        <f>IF(ISERROR(VLOOKUP(C102,배너촬영리스트!$C:$E,3,)),"",(VLOOKUP(C102,배너촬영리스트!$C:$E,3,)))</f>
        <v/>
      </c>
      <c r="P102" s="36" t="str">
        <f>IF(ISERROR(VLOOKUP(C102,배너촬영리스트!$C:$E,2,)),"",(VLOOKUP(C102,배너촬영리스트!$C:$E,2,)))</f>
        <v/>
      </c>
    </row>
    <row r="103" spans="2:16">
      <c r="B103" s="20" t="str">
        <f t="shared" si="1"/>
        <v>RM</v>
      </c>
      <c r="C103" s="11" t="s">
        <v>181</v>
      </c>
      <c r="D103" s="12" t="e">
        <f>VLOOKUP(C103,#REF!,2,0)</f>
        <v>#REF!</v>
      </c>
      <c r="E103" s="10" t="e">
        <f>VLOOKUP(C103,#REF!,4,0)</f>
        <v>#REF!</v>
      </c>
      <c r="F103" s="37" t="e">
        <f>VLOOKUP(C103,#REF!,8,0)</f>
        <v>#REF!</v>
      </c>
      <c r="G103" s="22" t="str">
        <f>IF(ISERROR(IF(VLOOKUP(C103,#REF!,2,0)&gt;0,"등록","")),"",(IF(VLOOKUP(C103,#REF!,2,0)&gt;0,"등록","")))</f>
        <v/>
      </c>
      <c r="H103" s="33" t="str">
        <f t="array" aca="1" ref="H103" ca="1">IF(ISERROR(OFFSET(#REF!,SMALL(IF(#REF!=RM시즌체크판!C103,ROW(#REF!)-20),1),)),"",(OFFSET(#REF!,SMALL(IF(#REF!=RM시즌체크판!C103,ROW(#REF!)-20),1),)))</f>
        <v/>
      </c>
      <c r="I103" s="34" t="str">
        <f t="array" aca="1" ref="I103" ca="1">IF(ISERROR(OFFSET(#REF!,SMALL(IF(#REF!=RM시즌체크판!C103,ROW(#REF!)-20),2),)),"",(OFFSET(#REF!,SMALL(IF(#REF!=RM시즌체크판!C103,ROW(#REF!)-20),2),)))</f>
        <v/>
      </c>
      <c r="J103" s="34" t="str">
        <f t="array" aca="1" ref="J103" ca="1">IF(ISERROR(OFFSET(#REF!,SMALL(IF(#REF!=RM시즌체크판!C103,ROW(#REF!)-20),3),)),"",(OFFSET(#REF!,SMALL(IF(#REF!=RM시즌체크판!C103,ROW(#REF!)-20),3),)))</f>
        <v/>
      </c>
      <c r="K103" s="34" t="str">
        <f t="array" aca="1" ref="K103" ca="1">IF(ISERROR(OFFSET(#REF!,SMALL(IF(#REF!=RM시즌체크판!C103,ROW(#REF!)-20),4),)),"",(OFFSET(#REF!,SMALL(IF(#REF!=RM시즌체크판!C103,ROW(#REF!)-20),4),)))</f>
        <v/>
      </c>
      <c r="L103" s="34" t="str">
        <f t="array" aca="1" ref="L103" ca="1">IF(ISERROR(OFFSET(#REF!,SMALL(IF(#REF!=RM시즌체크판!C103,ROW(#REF!)-20),5),)),"",(OFFSET(#REF!,SMALL(IF(#REF!=RM시즌체크판!C103,ROW(#REF!)-20),5),)))</f>
        <v/>
      </c>
      <c r="M103" s="35" t="str">
        <f t="array" aca="1" ref="M103" ca="1">IF(ISERROR(OFFSET(#REF!,SMALL(IF(#REF!=RM시즌체크판!C103,ROW(#REF!)-20),6),)),"",(OFFSET(#REF!,SMALL(IF(#REF!=RM시즌체크판!C103,ROW(#REF!)-20),6),)))</f>
        <v/>
      </c>
      <c r="N103" s="27" t="str">
        <f>IF(ISERROR(VLOOKUP(C103,모델촬영리스트!$C:$E,3,)),"",(VLOOKUP(C103,모델촬영리스트!$C:$E,3,)))</f>
        <v/>
      </c>
      <c r="O103" s="23" t="str">
        <f>IF(ISERROR(VLOOKUP(C103,배너촬영리스트!$C:$E,3,)),"",(VLOOKUP(C103,배너촬영리스트!$C:$E,3,)))</f>
        <v/>
      </c>
      <c r="P103" s="36" t="str">
        <f>IF(ISERROR(VLOOKUP(C103,배너촬영리스트!$C:$E,2,)),"",(VLOOKUP(C103,배너촬영리스트!$C:$E,2,)))</f>
        <v/>
      </c>
    </row>
    <row r="104" spans="2:16">
      <c r="B104" s="20" t="str">
        <f t="shared" si="1"/>
        <v>RM</v>
      </c>
      <c r="C104" s="11" t="s">
        <v>187</v>
      </c>
      <c r="D104" s="12" t="e">
        <f>VLOOKUP(C104,#REF!,2,0)</f>
        <v>#REF!</v>
      </c>
      <c r="E104" s="10" t="e">
        <f>VLOOKUP(C104,#REF!,4,0)</f>
        <v>#REF!</v>
      </c>
      <c r="F104" s="37" t="e">
        <f>VLOOKUP(C104,#REF!,8,0)</f>
        <v>#REF!</v>
      </c>
      <c r="G104" s="22" t="str">
        <f>IF(ISERROR(IF(VLOOKUP(C104,#REF!,2,0)&gt;0,"등록","")),"",(IF(VLOOKUP(C104,#REF!,2,0)&gt;0,"등록","")))</f>
        <v/>
      </c>
      <c r="H104" s="33" t="str">
        <f t="array" aca="1" ref="H104" ca="1">IF(ISERROR(OFFSET(#REF!,SMALL(IF(#REF!=RM시즌체크판!C104,ROW(#REF!)-20),1),)),"",(OFFSET(#REF!,SMALL(IF(#REF!=RM시즌체크판!C104,ROW(#REF!)-20),1),)))</f>
        <v/>
      </c>
      <c r="I104" s="34" t="str">
        <f t="array" aca="1" ref="I104" ca="1">IF(ISERROR(OFFSET(#REF!,SMALL(IF(#REF!=RM시즌체크판!C104,ROW(#REF!)-20),2),)),"",(OFFSET(#REF!,SMALL(IF(#REF!=RM시즌체크판!C104,ROW(#REF!)-20),2),)))</f>
        <v/>
      </c>
      <c r="J104" s="34" t="str">
        <f t="array" aca="1" ref="J104" ca="1">IF(ISERROR(OFFSET(#REF!,SMALL(IF(#REF!=RM시즌체크판!C104,ROW(#REF!)-20),3),)),"",(OFFSET(#REF!,SMALL(IF(#REF!=RM시즌체크판!C104,ROW(#REF!)-20),3),)))</f>
        <v/>
      </c>
      <c r="K104" s="34" t="str">
        <f t="array" aca="1" ref="K104" ca="1">IF(ISERROR(OFFSET(#REF!,SMALL(IF(#REF!=RM시즌체크판!C104,ROW(#REF!)-20),4),)),"",(OFFSET(#REF!,SMALL(IF(#REF!=RM시즌체크판!C104,ROW(#REF!)-20),4),)))</f>
        <v/>
      </c>
      <c r="L104" s="34" t="str">
        <f t="array" aca="1" ref="L104" ca="1">IF(ISERROR(OFFSET(#REF!,SMALL(IF(#REF!=RM시즌체크판!C104,ROW(#REF!)-20),5),)),"",(OFFSET(#REF!,SMALL(IF(#REF!=RM시즌체크판!C104,ROW(#REF!)-20),5),)))</f>
        <v/>
      </c>
      <c r="M104" s="35" t="str">
        <f t="array" aca="1" ref="M104" ca="1">IF(ISERROR(OFFSET(#REF!,SMALL(IF(#REF!=RM시즌체크판!C104,ROW(#REF!)-20),6),)),"",(OFFSET(#REF!,SMALL(IF(#REF!=RM시즌체크판!C104,ROW(#REF!)-20),6),)))</f>
        <v/>
      </c>
      <c r="N104" s="27" t="str">
        <f>IF(ISERROR(VLOOKUP(C104,모델촬영리스트!$C:$E,3,)),"",(VLOOKUP(C104,모델촬영리스트!$C:$E,3,)))</f>
        <v/>
      </c>
      <c r="O104" s="23" t="str">
        <f>IF(ISERROR(VLOOKUP(C104,배너촬영리스트!$C:$E,3,)),"",(VLOOKUP(C104,배너촬영리스트!$C:$E,3,)))</f>
        <v/>
      </c>
      <c r="P104" s="36" t="str">
        <f>IF(ISERROR(VLOOKUP(C104,배너촬영리스트!$C:$E,2,)),"",(VLOOKUP(C104,배너촬영리스트!$C:$E,2,)))</f>
        <v/>
      </c>
    </row>
    <row r="105" spans="2:16">
      <c r="B105" s="20" t="str">
        <f t="shared" si="1"/>
        <v>RM</v>
      </c>
      <c r="C105" s="11" t="s">
        <v>192</v>
      </c>
      <c r="D105" s="12" t="e">
        <f>VLOOKUP(C105,#REF!,2,0)</f>
        <v>#REF!</v>
      </c>
      <c r="E105" s="10" t="e">
        <f>VLOOKUP(C105,#REF!,4,0)</f>
        <v>#REF!</v>
      </c>
      <c r="F105" s="37" t="e">
        <f>VLOOKUP(C105,#REF!,8,0)</f>
        <v>#REF!</v>
      </c>
      <c r="G105" s="22" t="str">
        <f>IF(ISERROR(IF(VLOOKUP(C105,#REF!,2,0)&gt;0,"등록","")),"",(IF(VLOOKUP(C105,#REF!,2,0)&gt;0,"등록","")))</f>
        <v/>
      </c>
      <c r="H105" s="33" t="str">
        <f t="array" aca="1" ref="H105" ca="1">IF(ISERROR(OFFSET(#REF!,SMALL(IF(#REF!=RM시즌체크판!C105,ROW(#REF!)-20),1),)),"",(OFFSET(#REF!,SMALL(IF(#REF!=RM시즌체크판!C105,ROW(#REF!)-20),1),)))</f>
        <v/>
      </c>
      <c r="I105" s="34" t="str">
        <f t="array" aca="1" ref="I105" ca="1">IF(ISERROR(OFFSET(#REF!,SMALL(IF(#REF!=RM시즌체크판!C105,ROW(#REF!)-20),2),)),"",(OFFSET(#REF!,SMALL(IF(#REF!=RM시즌체크판!C105,ROW(#REF!)-20),2),)))</f>
        <v/>
      </c>
      <c r="J105" s="34" t="str">
        <f t="array" aca="1" ref="J105" ca="1">IF(ISERROR(OFFSET(#REF!,SMALL(IF(#REF!=RM시즌체크판!C105,ROW(#REF!)-20),3),)),"",(OFFSET(#REF!,SMALL(IF(#REF!=RM시즌체크판!C105,ROW(#REF!)-20),3),)))</f>
        <v/>
      </c>
      <c r="K105" s="34" t="str">
        <f t="array" aca="1" ref="K105" ca="1">IF(ISERROR(OFFSET(#REF!,SMALL(IF(#REF!=RM시즌체크판!C105,ROW(#REF!)-20),4),)),"",(OFFSET(#REF!,SMALL(IF(#REF!=RM시즌체크판!C105,ROW(#REF!)-20),4),)))</f>
        <v/>
      </c>
      <c r="L105" s="34" t="str">
        <f t="array" aca="1" ref="L105" ca="1">IF(ISERROR(OFFSET(#REF!,SMALL(IF(#REF!=RM시즌체크판!C105,ROW(#REF!)-20),5),)),"",(OFFSET(#REF!,SMALL(IF(#REF!=RM시즌체크판!C105,ROW(#REF!)-20),5),)))</f>
        <v/>
      </c>
      <c r="M105" s="35" t="str">
        <f t="array" aca="1" ref="M105" ca="1">IF(ISERROR(OFFSET(#REF!,SMALL(IF(#REF!=RM시즌체크판!C105,ROW(#REF!)-20),6),)),"",(OFFSET(#REF!,SMALL(IF(#REF!=RM시즌체크판!C105,ROW(#REF!)-20),6),)))</f>
        <v/>
      </c>
      <c r="N105" s="27" t="str">
        <f>IF(ISERROR(VLOOKUP(C105,모델촬영리스트!$C:$E,3,)),"",(VLOOKUP(C105,모델촬영리스트!$C:$E,3,)))</f>
        <v/>
      </c>
      <c r="O105" s="23" t="str">
        <f>IF(ISERROR(VLOOKUP(C105,배너촬영리스트!$C:$E,3,)),"",(VLOOKUP(C105,배너촬영리스트!$C:$E,3,)))</f>
        <v/>
      </c>
      <c r="P105" s="36" t="str">
        <f>IF(ISERROR(VLOOKUP(C105,배너촬영리스트!$C:$E,2,)),"",(VLOOKUP(C105,배너촬영리스트!$C:$E,2,)))</f>
        <v/>
      </c>
    </row>
    <row r="106" spans="2:16">
      <c r="B106" s="20" t="str">
        <f t="shared" si="1"/>
        <v>RM</v>
      </c>
      <c r="C106" s="11" t="s">
        <v>193</v>
      </c>
      <c r="D106" s="12" t="e">
        <f>VLOOKUP(C106,#REF!,2,0)</f>
        <v>#REF!</v>
      </c>
      <c r="E106" s="10" t="e">
        <f>VLOOKUP(C106,#REF!,4,0)</f>
        <v>#REF!</v>
      </c>
      <c r="F106" s="37" t="e">
        <f>VLOOKUP(C106,#REF!,8,0)</f>
        <v>#REF!</v>
      </c>
      <c r="G106" s="22" t="str">
        <f>IF(ISERROR(IF(VLOOKUP(C106,#REF!,2,0)&gt;0,"등록","")),"",(IF(VLOOKUP(C106,#REF!,2,0)&gt;0,"등록","")))</f>
        <v/>
      </c>
      <c r="H106" s="33" t="str">
        <f t="array" aca="1" ref="H106" ca="1">IF(ISERROR(OFFSET(#REF!,SMALL(IF(#REF!=RM시즌체크판!C106,ROW(#REF!)-20),1),)),"",(OFFSET(#REF!,SMALL(IF(#REF!=RM시즌체크판!C106,ROW(#REF!)-20),1),)))</f>
        <v/>
      </c>
      <c r="I106" s="34" t="str">
        <f t="array" aca="1" ref="I106" ca="1">IF(ISERROR(OFFSET(#REF!,SMALL(IF(#REF!=RM시즌체크판!C106,ROW(#REF!)-20),2),)),"",(OFFSET(#REF!,SMALL(IF(#REF!=RM시즌체크판!C106,ROW(#REF!)-20),2),)))</f>
        <v/>
      </c>
      <c r="J106" s="34" t="str">
        <f t="array" aca="1" ref="J106" ca="1">IF(ISERROR(OFFSET(#REF!,SMALL(IF(#REF!=RM시즌체크판!C106,ROW(#REF!)-20),3),)),"",(OFFSET(#REF!,SMALL(IF(#REF!=RM시즌체크판!C106,ROW(#REF!)-20),3),)))</f>
        <v/>
      </c>
      <c r="K106" s="34" t="str">
        <f t="array" aca="1" ref="K106" ca="1">IF(ISERROR(OFFSET(#REF!,SMALL(IF(#REF!=RM시즌체크판!C106,ROW(#REF!)-20),4),)),"",(OFFSET(#REF!,SMALL(IF(#REF!=RM시즌체크판!C106,ROW(#REF!)-20),4),)))</f>
        <v/>
      </c>
      <c r="L106" s="34" t="str">
        <f t="array" aca="1" ref="L106" ca="1">IF(ISERROR(OFFSET(#REF!,SMALL(IF(#REF!=RM시즌체크판!C106,ROW(#REF!)-20),5),)),"",(OFFSET(#REF!,SMALL(IF(#REF!=RM시즌체크판!C106,ROW(#REF!)-20),5),)))</f>
        <v/>
      </c>
      <c r="M106" s="35" t="str">
        <f t="array" aca="1" ref="M106" ca="1">IF(ISERROR(OFFSET(#REF!,SMALL(IF(#REF!=RM시즌체크판!C106,ROW(#REF!)-20),6),)),"",(OFFSET(#REF!,SMALL(IF(#REF!=RM시즌체크판!C106,ROW(#REF!)-20),6),)))</f>
        <v/>
      </c>
      <c r="N106" s="27" t="str">
        <f>IF(ISERROR(VLOOKUP(C106,모델촬영리스트!$C:$E,3,)),"",(VLOOKUP(C106,모델촬영리스트!$C:$E,3,)))</f>
        <v/>
      </c>
      <c r="O106" s="23" t="str">
        <f>IF(ISERROR(VLOOKUP(C106,배너촬영리스트!$C:$E,3,)),"",(VLOOKUP(C106,배너촬영리스트!$C:$E,3,)))</f>
        <v/>
      </c>
      <c r="P106" s="36" t="str">
        <f>IF(ISERROR(VLOOKUP(C106,배너촬영리스트!$C:$E,2,)),"",(VLOOKUP(C106,배너촬영리스트!$C:$E,2,)))</f>
        <v/>
      </c>
    </row>
    <row r="107" spans="2:16">
      <c r="B107" s="20" t="str">
        <f t="shared" si="1"/>
        <v>RM</v>
      </c>
      <c r="C107" s="11" t="s">
        <v>194</v>
      </c>
      <c r="D107" s="12" t="e">
        <f>VLOOKUP(C107,#REF!,2,0)</f>
        <v>#REF!</v>
      </c>
      <c r="E107" s="10" t="e">
        <f>VLOOKUP(C107,#REF!,4,0)</f>
        <v>#REF!</v>
      </c>
      <c r="F107" s="37" t="e">
        <f>VLOOKUP(C107,#REF!,8,0)</f>
        <v>#REF!</v>
      </c>
      <c r="G107" s="22" t="str">
        <f>IF(ISERROR(IF(VLOOKUP(C107,#REF!,2,0)&gt;0,"등록","")),"",(IF(VLOOKUP(C107,#REF!,2,0)&gt;0,"등록","")))</f>
        <v/>
      </c>
      <c r="H107" s="33" t="str">
        <f t="array" aca="1" ref="H107" ca="1">IF(ISERROR(OFFSET(#REF!,SMALL(IF(#REF!=RM시즌체크판!C107,ROW(#REF!)-20),1),)),"",(OFFSET(#REF!,SMALL(IF(#REF!=RM시즌체크판!C107,ROW(#REF!)-20),1),)))</f>
        <v/>
      </c>
      <c r="I107" s="34" t="str">
        <f t="array" aca="1" ref="I107" ca="1">IF(ISERROR(OFFSET(#REF!,SMALL(IF(#REF!=RM시즌체크판!C107,ROW(#REF!)-20),2),)),"",(OFFSET(#REF!,SMALL(IF(#REF!=RM시즌체크판!C107,ROW(#REF!)-20),2),)))</f>
        <v/>
      </c>
      <c r="J107" s="34" t="str">
        <f t="array" aca="1" ref="J107" ca="1">IF(ISERROR(OFFSET(#REF!,SMALL(IF(#REF!=RM시즌체크판!C107,ROW(#REF!)-20),3),)),"",(OFFSET(#REF!,SMALL(IF(#REF!=RM시즌체크판!C107,ROW(#REF!)-20),3),)))</f>
        <v/>
      </c>
      <c r="K107" s="34" t="str">
        <f t="array" aca="1" ref="K107" ca="1">IF(ISERROR(OFFSET(#REF!,SMALL(IF(#REF!=RM시즌체크판!C107,ROW(#REF!)-20),4),)),"",(OFFSET(#REF!,SMALL(IF(#REF!=RM시즌체크판!C107,ROW(#REF!)-20),4),)))</f>
        <v/>
      </c>
      <c r="L107" s="34" t="str">
        <f t="array" aca="1" ref="L107" ca="1">IF(ISERROR(OFFSET(#REF!,SMALL(IF(#REF!=RM시즌체크판!C107,ROW(#REF!)-20),5),)),"",(OFFSET(#REF!,SMALL(IF(#REF!=RM시즌체크판!C107,ROW(#REF!)-20),5),)))</f>
        <v/>
      </c>
      <c r="M107" s="35" t="str">
        <f t="array" aca="1" ref="M107" ca="1">IF(ISERROR(OFFSET(#REF!,SMALL(IF(#REF!=RM시즌체크판!C107,ROW(#REF!)-20),6),)),"",(OFFSET(#REF!,SMALL(IF(#REF!=RM시즌체크판!C107,ROW(#REF!)-20),6),)))</f>
        <v/>
      </c>
      <c r="N107" s="27" t="str">
        <f>IF(ISERROR(VLOOKUP(C107,모델촬영리스트!$C:$E,3,)),"",(VLOOKUP(C107,모델촬영리스트!$C:$E,3,)))</f>
        <v/>
      </c>
      <c r="O107" s="23" t="str">
        <f>IF(ISERROR(VLOOKUP(C107,배너촬영리스트!$C:$E,3,)),"",(VLOOKUP(C107,배너촬영리스트!$C:$E,3,)))</f>
        <v/>
      </c>
      <c r="P107" s="36" t="str">
        <f>IF(ISERROR(VLOOKUP(C107,배너촬영리스트!$C:$E,2,)),"",(VLOOKUP(C107,배너촬영리스트!$C:$E,2,)))</f>
        <v/>
      </c>
    </row>
    <row r="108" spans="2:16">
      <c r="B108" s="20" t="str">
        <f t="shared" si="1"/>
        <v>RM</v>
      </c>
      <c r="C108" s="11" t="s">
        <v>195</v>
      </c>
      <c r="D108" s="12" t="e">
        <f>VLOOKUP(C108,#REF!,2,0)</f>
        <v>#REF!</v>
      </c>
      <c r="E108" s="10" t="e">
        <f>VLOOKUP(C108,#REF!,4,0)</f>
        <v>#REF!</v>
      </c>
      <c r="F108" s="37" t="e">
        <f>VLOOKUP(C108,#REF!,8,0)</f>
        <v>#REF!</v>
      </c>
      <c r="G108" s="22" t="str">
        <f>IF(ISERROR(IF(VLOOKUP(C108,#REF!,2,0)&gt;0,"등록","")),"",(IF(VLOOKUP(C108,#REF!,2,0)&gt;0,"등록","")))</f>
        <v/>
      </c>
      <c r="H108" s="33" t="str">
        <f t="array" aca="1" ref="H108" ca="1">IF(ISERROR(OFFSET(#REF!,SMALL(IF(#REF!=RM시즌체크판!C108,ROW(#REF!)-20),1),)),"",(OFFSET(#REF!,SMALL(IF(#REF!=RM시즌체크판!C108,ROW(#REF!)-20),1),)))</f>
        <v/>
      </c>
      <c r="I108" s="34" t="str">
        <f t="array" aca="1" ref="I108" ca="1">IF(ISERROR(OFFSET(#REF!,SMALL(IF(#REF!=RM시즌체크판!C108,ROW(#REF!)-20),2),)),"",(OFFSET(#REF!,SMALL(IF(#REF!=RM시즌체크판!C108,ROW(#REF!)-20),2),)))</f>
        <v/>
      </c>
      <c r="J108" s="34" t="str">
        <f t="array" aca="1" ref="J108" ca="1">IF(ISERROR(OFFSET(#REF!,SMALL(IF(#REF!=RM시즌체크판!C108,ROW(#REF!)-20),3),)),"",(OFFSET(#REF!,SMALL(IF(#REF!=RM시즌체크판!C108,ROW(#REF!)-20),3),)))</f>
        <v/>
      </c>
      <c r="K108" s="34" t="str">
        <f t="array" aca="1" ref="K108" ca="1">IF(ISERROR(OFFSET(#REF!,SMALL(IF(#REF!=RM시즌체크판!C108,ROW(#REF!)-20),4),)),"",(OFFSET(#REF!,SMALL(IF(#REF!=RM시즌체크판!C108,ROW(#REF!)-20),4),)))</f>
        <v/>
      </c>
      <c r="L108" s="34" t="str">
        <f t="array" aca="1" ref="L108" ca="1">IF(ISERROR(OFFSET(#REF!,SMALL(IF(#REF!=RM시즌체크판!C108,ROW(#REF!)-20),5),)),"",(OFFSET(#REF!,SMALL(IF(#REF!=RM시즌체크판!C108,ROW(#REF!)-20),5),)))</f>
        <v/>
      </c>
      <c r="M108" s="35" t="str">
        <f t="array" aca="1" ref="M108" ca="1">IF(ISERROR(OFFSET(#REF!,SMALL(IF(#REF!=RM시즌체크판!C108,ROW(#REF!)-20),6),)),"",(OFFSET(#REF!,SMALL(IF(#REF!=RM시즌체크판!C108,ROW(#REF!)-20),6),)))</f>
        <v/>
      </c>
      <c r="N108" s="27" t="str">
        <f>IF(ISERROR(VLOOKUP(C108,모델촬영리스트!$C:$E,3,)),"",(VLOOKUP(C108,모델촬영리스트!$C:$E,3,)))</f>
        <v/>
      </c>
      <c r="O108" s="23" t="str">
        <f>IF(ISERROR(VLOOKUP(C108,배너촬영리스트!$C:$E,3,)),"",(VLOOKUP(C108,배너촬영리스트!$C:$E,3,)))</f>
        <v/>
      </c>
      <c r="P108" s="36" t="str">
        <f>IF(ISERROR(VLOOKUP(C108,배너촬영리스트!$C:$E,2,)),"",(VLOOKUP(C108,배너촬영리스트!$C:$E,2,)))</f>
        <v/>
      </c>
    </row>
    <row r="109" spans="2:16">
      <c r="B109" s="20" t="str">
        <f t="shared" si="1"/>
        <v>RM</v>
      </c>
      <c r="C109" s="11" t="s">
        <v>196</v>
      </c>
      <c r="D109" s="12" t="e">
        <f>VLOOKUP(C109,#REF!,2,0)</f>
        <v>#REF!</v>
      </c>
      <c r="E109" s="10" t="e">
        <f>VLOOKUP(C109,#REF!,4,0)</f>
        <v>#REF!</v>
      </c>
      <c r="F109" s="37" t="e">
        <f>VLOOKUP(C109,#REF!,8,0)</f>
        <v>#REF!</v>
      </c>
      <c r="G109" s="22" t="str">
        <f>IF(ISERROR(IF(VLOOKUP(C109,#REF!,2,0)&gt;0,"등록","")),"",(IF(VLOOKUP(C109,#REF!,2,0)&gt;0,"등록","")))</f>
        <v/>
      </c>
      <c r="H109" s="33" t="str">
        <f t="array" aca="1" ref="H109" ca="1">IF(ISERROR(OFFSET(#REF!,SMALL(IF(#REF!=RM시즌체크판!C109,ROW(#REF!)-20),1),)),"",(OFFSET(#REF!,SMALL(IF(#REF!=RM시즌체크판!C109,ROW(#REF!)-20),1),)))</f>
        <v/>
      </c>
      <c r="I109" s="34" t="str">
        <f t="array" aca="1" ref="I109" ca="1">IF(ISERROR(OFFSET(#REF!,SMALL(IF(#REF!=RM시즌체크판!C109,ROW(#REF!)-20),2),)),"",(OFFSET(#REF!,SMALL(IF(#REF!=RM시즌체크판!C109,ROW(#REF!)-20),2),)))</f>
        <v/>
      </c>
      <c r="J109" s="34" t="str">
        <f t="array" aca="1" ref="J109" ca="1">IF(ISERROR(OFFSET(#REF!,SMALL(IF(#REF!=RM시즌체크판!C109,ROW(#REF!)-20),3),)),"",(OFFSET(#REF!,SMALL(IF(#REF!=RM시즌체크판!C109,ROW(#REF!)-20),3),)))</f>
        <v/>
      </c>
      <c r="K109" s="34" t="str">
        <f t="array" aca="1" ref="K109" ca="1">IF(ISERROR(OFFSET(#REF!,SMALL(IF(#REF!=RM시즌체크판!C109,ROW(#REF!)-20),4),)),"",(OFFSET(#REF!,SMALL(IF(#REF!=RM시즌체크판!C109,ROW(#REF!)-20),4),)))</f>
        <v/>
      </c>
      <c r="L109" s="34" t="str">
        <f t="array" aca="1" ref="L109" ca="1">IF(ISERROR(OFFSET(#REF!,SMALL(IF(#REF!=RM시즌체크판!C109,ROW(#REF!)-20),5),)),"",(OFFSET(#REF!,SMALL(IF(#REF!=RM시즌체크판!C109,ROW(#REF!)-20),5),)))</f>
        <v/>
      </c>
      <c r="M109" s="35" t="str">
        <f t="array" aca="1" ref="M109" ca="1">IF(ISERROR(OFFSET(#REF!,SMALL(IF(#REF!=RM시즌체크판!C109,ROW(#REF!)-20),6),)),"",(OFFSET(#REF!,SMALL(IF(#REF!=RM시즌체크판!C109,ROW(#REF!)-20),6),)))</f>
        <v/>
      </c>
      <c r="N109" s="27" t="str">
        <f>IF(ISERROR(VLOOKUP(C109,모델촬영리스트!$C:$E,3,)),"",(VLOOKUP(C109,모델촬영리스트!$C:$E,3,)))</f>
        <v/>
      </c>
      <c r="O109" s="23" t="str">
        <f>IF(ISERROR(VLOOKUP(C109,배너촬영리스트!$C:$E,3,)),"",(VLOOKUP(C109,배너촬영리스트!$C:$E,3,)))</f>
        <v/>
      </c>
      <c r="P109" s="36" t="str">
        <f>IF(ISERROR(VLOOKUP(C109,배너촬영리스트!$C:$E,2,)),"",(VLOOKUP(C109,배너촬영리스트!$C:$E,2,)))</f>
        <v/>
      </c>
    </row>
    <row r="110" spans="2:16">
      <c r="B110" s="20" t="str">
        <f t="shared" si="1"/>
        <v>RM</v>
      </c>
      <c r="C110" s="11" t="s">
        <v>197</v>
      </c>
      <c r="D110" s="12" t="e">
        <f>VLOOKUP(C110,#REF!,2,0)</f>
        <v>#REF!</v>
      </c>
      <c r="E110" s="10" t="e">
        <f>VLOOKUP(C110,#REF!,4,0)</f>
        <v>#REF!</v>
      </c>
      <c r="F110" s="37" t="e">
        <f>VLOOKUP(C110,#REF!,8,0)</f>
        <v>#REF!</v>
      </c>
      <c r="G110" s="22" t="str">
        <f>IF(ISERROR(IF(VLOOKUP(C110,#REF!,2,0)&gt;0,"등록","")),"",(IF(VLOOKUP(C110,#REF!,2,0)&gt;0,"등록","")))</f>
        <v/>
      </c>
      <c r="H110" s="33" t="str">
        <f t="array" aca="1" ref="H110" ca="1">IF(ISERROR(OFFSET(#REF!,SMALL(IF(#REF!=RM시즌체크판!C110,ROW(#REF!)-20),1),)),"",(OFFSET(#REF!,SMALL(IF(#REF!=RM시즌체크판!C110,ROW(#REF!)-20),1),)))</f>
        <v/>
      </c>
      <c r="I110" s="34" t="str">
        <f t="array" aca="1" ref="I110" ca="1">IF(ISERROR(OFFSET(#REF!,SMALL(IF(#REF!=RM시즌체크판!C110,ROW(#REF!)-20),2),)),"",(OFFSET(#REF!,SMALL(IF(#REF!=RM시즌체크판!C110,ROW(#REF!)-20),2),)))</f>
        <v/>
      </c>
      <c r="J110" s="34" t="str">
        <f t="array" aca="1" ref="J110" ca="1">IF(ISERROR(OFFSET(#REF!,SMALL(IF(#REF!=RM시즌체크판!C110,ROW(#REF!)-20),3),)),"",(OFFSET(#REF!,SMALL(IF(#REF!=RM시즌체크판!C110,ROW(#REF!)-20),3),)))</f>
        <v/>
      </c>
      <c r="K110" s="34" t="str">
        <f t="array" aca="1" ref="K110" ca="1">IF(ISERROR(OFFSET(#REF!,SMALL(IF(#REF!=RM시즌체크판!C110,ROW(#REF!)-20),4),)),"",(OFFSET(#REF!,SMALL(IF(#REF!=RM시즌체크판!C110,ROW(#REF!)-20),4),)))</f>
        <v/>
      </c>
      <c r="L110" s="34" t="str">
        <f t="array" aca="1" ref="L110" ca="1">IF(ISERROR(OFFSET(#REF!,SMALL(IF(#REF!=RM시즌체크판!C110,ROW(#REF!)-20),5),)),"",(OFFSET(#REF!,SMALL(IF(#REF!=RM시즌체크판!C110,ROW(#REF!)-20),5),)))</f>
        <v/>
      </c>
      <c r="M110" s="35" t="str">
        <f t="array" aca="1" ref="M110" ca="1">IF(ISERROR(OFFSET(#REF!,SMALL(IF(#REF!=RM시즌체크판!C110,ROW(#REF!)-20),6),)),"",(OFFSET(#REF!,SMALL(IF(#REF!=RM시즌체크판!C110,ROW(#REF!)-20),6),)))</f>
        <v/>
      </c>
      <c r="N110" s="27" t="str">
        <f>IF(ISERROR(VLOOKUP(C110,모델촬영리스트!$C:$E,3,)),"",(VLOOKUP(C110,모델촬영리스트!$C:$E,3,)))</f>
        <v/>
      </c>
      <c r="O110" s="23" t="str">
        <f>IF(ISERROR(VLOOKUP(C110,배너촬영리스트!$C:$E,3,)),"",(VLOOKUP(C110,배너촬영리스트!$C:$E,3,)))</f>
        <v/>
      </c>
      <c r="P110" s="36" t="str">
        <f>IF(ISERROR(VLOOKUP(C110,배너촬영리스트!$C:$E,2,)),"",(VLOOKUP(C110,배너촬영리스트!$C:$E,2,)))</f>
        <v/>
      </c>
    </row>
    <row r="111" spans="2:16">
      <c r="B111" s="20" t="str">
        <f t="shared" si="1"/>
        <v>RM</v>
      </c>
      <c r="C111" s="11" t="s">
        <v>198</v>
      </c>
      <c r="D111" s="12" t="e">
        <f>VLOOKUP(C111,#REF!,2,0)</f>
        <v>#REF!</v>
      </c>
      <c r="E111" s="10" t="e">
        <f>VLOOKUP(C111,#REF!,4,0)</f>
        <v>#REF!</v>
      </c>
      <c r="F111" s="37" t="e">
        <f>VLOOKUP(C111,#REF!,8,0)</f>
        <v>#REF!</v>
      </c>
      <c r="G111" s="22" t="str">
        <f>IF(ISERROR(IF(VLOOKUP(C111,#REF!,2,0)&gt;0,"등록","")),"",(IF(VLOOKUP(C111,#REF!,2,0)&gt;0,"등록","")))</f>
        <v/>
      </c>
      <c r="H111" s="33" t="str">
        <f t="array" aca="1" ref="H111" ca="1">IF(ISERROR(OFFSET(#REF!,SMALL(IF(#REF!=RM시즌체크판!C111,ROW(#REF!)-20),1),)),"",(OFFSET(#REF!,SMALL(IF(#REF!=RM시즌체크판!C111,ROW(#REF!)-20),1),)))</f>
        <v/>
      </c>
      <c r="I111" s="34" t="str">
        <f t="array" aca="1" ref="I111" ca="1">IF(ISERROR(OFFSET(#REF!,SMALL(IF(#REF!=RM시즌체크판!C111,ROW(#REF!)-20),2),)),"",(OFFSET(#REF!,SMALL(IF(#REF!=RM시즌체크판!C111,ROW(#REF!)-20),2),)))</f>
        <v/>
      </c>
      <c r="J111" s="34" t="str">
        <f t="array" aca="1" ref="J111" ca="1">IF(ISERROR(OFFSET(#REF!,SMALL(IF(#REF!=RM시즌체크판!C111,ROW(#REF!)-20),3),)),"",(OFFSET(#REF!,SMALL(IF(#REF!=RM시즌체크판!C111,ROW(#REF!)-20),3),)))</f>
        <v/>
      </c>
      <c r="K111" s="34" t="str">
        <f t="array" aca="1" ref="K111" ca="1">IF(ISERROR(OFFSET(#REF!,SMALL(IF(#REF!=RM시즌체크판!C111,ROW(#REF!)-20),4),)),"",(OFFSET(#REF!,SMALL(IF(#REF!=RM시즌체크판!C111,ROW(#REF!)-20),4),)))</f>
        <v/>
      </c>
      <c r="L111" s="34" t="str">
        <f t="array" aca="1" ref="L111" ca="1">IF(ISERROR(OFFSET(#REF!,SMALL(IF(#REF!=RM시즌체크판!C111,ROW(#REF!)-20),5),)),"",(OFFSET(#REF!,SMALL(IF(#REF!=RM시즌체크판!C111,ROW(#REF!)-20),5),)))</f>
        <v/>
      </c>
      <c r="M111" s="35" t="str">
        <f t="array" aca="1" ref="M111" ca="1">IF(ISERROR(OFFSET(#REF!,SMALL(IF(#REF!=RM시즌체크판!C111,ROW(#REF!)-20),6),)),"",(OFFSET(#REF!,SMALL(IF(#REF!=RM시즌체크판!C111,ROW(#REF!)-20),6),)))</f>
        <v/>
      </c>
      <c r="N111" s="27" t="str">
        <f>IF(ISERROR(VLOOKUP(C111,모델촬영리스트!$C:$E,3,)),"",(VLOOKUP(C111,모델촬영리스트!$C:$E,3,)))</f>
        <v/>
      </c>
      <c r="O111" s="23" t="str">
        <f>IF(ISERROR(VLOOKUP(C111,배너촬영리스트!$C:$E,3,)),"",(VLOOKUP(C111,배너촬영리스트!$C:$E,3,)))</f>
        <v/>
      </c>
      <c r="P111" s="36" t="str">
        <f>IF(ISERROR(VLOOKUP(C111,배너촬영리스트!$C:$E,2,)),"",(VLOOKUP(C111,배너촬영리스트!$C:$E,2,)))</f>
        <v/>
      </c>
    </row>
    <row r="112" spans="2:16">
      <c r="B112" s="20" t="str">
        <f t="shared" si="1"/>
        <v>RM</v>
      </c>
      <c r="C112" s="11" t="s">
        <v>236</v>
      </c>
      <c r="D112" s="12" t="e">
        <f>VLOOKUP(C112,#REF!,2,0)</f>
        <v>#REF!</v>
      </c>
      <c r="E112" s="10" t="e">
        <f>VLOOKUP(C112,#REF!,4,0)</f>
        <v>#REF!</v>
      </c>
      <c r="F112" s="37" t="e">
        <f>VLOOKUP(C112,#REF!,8,0)</f>
        <v>#REF!</v>
      </c>
      <c r="G112" s="22" t="str">
        <f>IF(ISERROR(IF(VLOOKUP(C112,#REF!,2,0)&gt;0,"등록","")),"",(IF(VLOOKUP(C112,#REF!,2,0)&gt;0,"등록","")))</f>
        <v/>
      </c>
      <c r="H112" s="33" t="str">
        <f t="array" aca="1" ref="H112" ca="1">IF(ISERROR(OFFSET(#REF!,SMALL(IF(#REF!=RM시즌체크판!C112,ROW(#REF!)-20),1),)),"",(OFFSET(#REF!,SMALL(IF(#REF!=RM시즌체크판!C112,ROW(#REF!)-20),1),)))</f>
        <v/>
      </c>
      <c r="I112" s="34" t="str">
        <f t="array" aca="1" ref="I112" ca="1">IF(ISERROR(OFFSET(#REF!,SMALL(IF(#REF!=RM시즌체크판!C112,ROW(#REF!)-20),2),)),"",(OFFSET(#REF!,SMALL(IF(#REF!=RM시즌체크판!C112,ROW(#REF!)-20),2),)))</f>
        <v/>
      </c>
      <c r="J112" s="34" t="str">
        <f t="array" aca="1" ref="J112" ca="1">IF(ISERROR(OFFSET(#REF!,SMALL(IF(#REF!=RM시즌체크판!C112,ROW(#REF!)-20),3),)),"",(OFFSET(#REF!,SMALL(IF(#REF!=RM시즌체크판!C112,ROW(#REF!)-20),3),)))</f>
        <v/>
      </c>
      <c r="K112" s="34" t="str">
        <f t="array" aca="1" ref="K112" ca="1">IF(ISERROR(OFFSET(#REF!,SMALL(IF(#REF!=RM시즌체크판!C112,ROW(#REF!)-20),4),)),"",(OFFSET(#REF!,SMALL(IF(#REF!=RM시즌체크판!C112,ROW(#REF!)-20),4),)))</f>
        <v/>
      </c>
      <c r="L112" s="34" t="str">
        <f t="array" aca="1" ref="L112" ca="1">IF(ISERROR(OFFSET(#REF!,SMALL(IF(#REF!=RM시즌체크판!C112,ROW(#REF!)-20),5),)),"",(OFFSET(#REF!,SMALL(IF(#REF!=RM시즌체크판!C112,ROW(#REF!)-20),5),)))</f>
        <v/>
      </c>
      <c r="M112" s="35" t="str">
        <f t="array" aca="1" ref="M112" ca="1">IF(ISERROR(OFFSET(#REF!,SMALL(IF(#REF!=RM시즌체크판!C112,ROW(#REF!)-20),6),)),"",(OFFSET(#REF!,SMALL(IF(#REF!=RM시즌체크판!C112,ROW(#REF!)-20),6),)))</f>
        <v/>
      </c>
      <c r="N112" s="27" t="str">
        <f>IF(ISERROR(VLOOKUP(C112,모델촬영리스트!$C:$E,3,)),"",(VLOOKUP(C112,모델촬영리스트!$C:$E,3,)))</f>
        <v/>
      </c>
      <c r="O112" s="23" t="str">
        <f>IF(ISERROR(VLOOKUP(C112,배너촬영리스트!$C:$E,3,)),"",(VLOOKUP(C112,배너촬영리스트!$C:$E,3,)))</f>
        <v/>
      </c>
      <c r="P112" s="36" t="str">
        <f>IF(ISERROR(VLOOKUP(C112,배너촬영리스트!$C:$E,2,)),"",(VLOOKUP(C112,배너촬영리스트!$C:$E,2,)))</f>
        <v/>
      </c>
    </row>
    <row r="113" spans="2:16">
      <c r="B113" s="20" t="str">
        <f t="shared" si="1"/>
        <v>RM</v>
      </c>
      <c r="C113" s="11" t="s">
        <v>237</v>
      </c>
      <c r="D113" s="12" t="e">
        <f>VLOOKUP(C113,#REF!,2,0)</f>
        <v>#REF!</v>
      </c>
      <c r="E113" s="10" t="e">
        <f>VLOOKUP(C113,#REF!,4,0)</f>
        <v>#REF!</v>
      </c>
      <c r="F113" s="37" t="e">
        <f>VLOOKUP(C113,#REF!,8,0)</f>
        <v>#REF!</v>
      </c>
      <c r="G113" s="22" t="str">
        <f>IF(ISERROR(IF(VLOOKUP(C113,#REF!,2,0)&gt;0,"등록","")),"",(IF(VLOOKUP(C113,#REF!,2,0)&gt;0,"등록","")))</f>
        <v/>
      </c>
      <c r="H113" s="33" t="str">
        <f t="array" aca="1" ref="H113" ca="1">IF(ISERROR(OFFSET(#REF!,SMALL(IF(#REF!=RM시즌체크판!C113,ROW(#REF!)-20),1),)),"",(OFFSET(#REF!,SMALL(IF(#REF!=RM시즌체크판!C113,ROW(#REF!)-20),1),)))</f>
        <v/>
      </c>
      <c r="I113" s="34" t="str">
        <f t="array" aca="1" ref="I113" ca="1">IF(ISERROR(OFFSET(#REF!,SMALL(IF(#REF!=RM시즌체크판!C113,ROW(#REF!)-20),2),)),"",(OFFSET(#REF!,SMALL(IF(#REF!=RM시즌체크판!C113,ROW(#REF!)-20),2),)))</f>
        <v/>
      </c>
      <c r="J113" s="34" t="str">
        <f t="array" aca="1" ref="J113" ca="1">IF(ISERROR(OFFSET(#REF!,SMALL(IF(#REF!=RM시즌체크판!C113,ROW(#REF!)-20),3),)),"",(OFFSET(#REF!,SMALL(IF(#REF!=RM시즌체크판!C113,ROW(#REF!)-20),3),)))</f>
        <v/>
      </c>
      <c r="K113" s="34" t="str">
        <f t="array" aca="1" ref="K113" ca="1">IF(ISERROR(OFFSET(#REF!,SMALL(IF(#REF!=RM시즌체크판!C113,ROW(#REF!)-20),4),)),"",(OFFSET(#REF!,SMALL(IF(#REF!=RM시즌체크판!C113,ROW(#REF!)-20),4),)))</f>
        <v/>
      </c>
      <c r="L113" s="34" t="str">
        <f t="array" aca="1" ref="L113" ca="1">IF(ISERROR(OFFSET(#REF!,SMALL(IF(#REF!=RM시즌체크판!C113,ROW(#REF!)-20),5),)),"",(OFFSET(#REF!,SMALL(IF(#REF!=RM시즌체크판!C113,ROW(#REF!)-20),5),)))</f>
        <v/>
      </c>
      <c r="M113" s="35" t="str">
        <f t="array" aca="1" ref="M113" ca="1">IF(ISERROR(OFFSET(#REF!,SMALL(IF(#REF!=RM시즌체크판!C113,ROW(#REF!)-20),6),)),"",(OFFSET(#REF!,SMALL(IF(#REF!=RM시즌체크판!C113,ROW(#REF!)-20),6),)))</f>
        <v/>
      </c>
      <c r="N113" s="27" t="str">
        <f>IF(ISERROR(VLOOKUP(C113,모델촬영리스트!$C:$E,3,)),"",(VLOOKUP(C113,모델촬영리스트!$C:$E,3,)))</f>
        <v/>
      </c>
      <c r="O113" s="23" t="str">
        <f>IF(ISERROR(VLOOKUP(C113,배너촬영리스트!$C:$E,3,)),"",(VLOOKUP(C113,배너촬영리스트!$C:$E,3,)))</f>
        <v/>
      </c>
      <c r="P113" s="36" t="str">
        <f>IF(ISERROR(VLOOKUP(C113,배너촬영리스트!$C:$E,2,)),"",(VLOOKUP(C113,배너촬영리스트!$C:$E,2,)))</f>
        <v/>
      </c>
    </row>
    <row r="114" spans="2:16">
      <c r="B114" s="20" t="str">
        <f t="shared" ref="B114:B177" si="2">MID(C114,1,2)</f>
        <v>RM</v>
      </c>
      <c r="C114" s="11" t="s">
        <v>238</v>
      </c>
      <c r="D114" s="12" t="e">
        <f>VLOOKUP(C114,#REF!,2,0)</f>
        <v>#REF!</v>
      </c>
      <c r="E114" s="10" t="e">
        <f>VLOOKUP(C114,#REF!,4,0)</f>
        <v>#REF!</v>
      </c>
      <c r="F114" s="37" t="e">
        <f>VLOOKUP(C114,#REF!,8,0)</f>
        <v>#REF!</v>
      </c>
      <c r="G114" s="22" t="str">
        <f>IF(ISERROR(IF(VLOOKUP(C114,#REF!,2,0)&gt;0,"등록","")),"",(IF(VLOOKUP(C114,#REF!,2,0)&gt;0,"등록","")))</f>
        <v/>
      </c>
      <c r="H114" s="33" t="str">
        <f t="array" aca="1" ref="H114" ca="1">IF(ISERROR(OFFSET(#REF!,SMALL(IF(#REF!=RM시즌체크판!C114,ROW(#REF!)-20),1),)),"",(OFFSET(#REF!,SMALL(IF(#REF!=RM시즌체크판!C114,ROW(#REF!)-20),1),)))</f>
        <v/>
      </c>
      <c r="I114" s="34" t="str">
        <f t="array" aca="1" ref="I114" ca="1">IF(ISERROR(OFFSET(#REF!,SMALL(IF(#REF!=RM시즌체크판!C114,ROW(#REF!)-20),2),)),"",(OFFSET(#REF!,SMALL(IF(#REF!=RM시즌체크판!C114,ROW(#REF!)-20),2),)))</f>
        <v/>
      </c>
      <c r="J114" s="34" t="str">
        <f t="array" aca="1" ref="J114" ca="1">IF(ISERROR(OFFSET(#REF!,SMALL(IF(#REF!=RM시즌체크판!C114,ROW(#REF!)-20),3),)),"",(OFFSET(#REF!,SMALL(IF(#REF!=RM시즌체크판!C114,ROW(#REF!)-20),3),)))</f>
        <v/>
      </c>
      <c r="K114" s="34" t="str">
        <f t="array" aca="1" ref="K114" ca="1">IF(ISERROR(OFFSET(#REF!,SMALL(IF(#REF!=RM시즌체크판!C114,ROW(#REF!)-20),4),)),"",(OFFSET(#REF!,SMALL(IF(#REF!=RM시즌체크판!C114,ROW(#REF!)-20),4),)))</f>
        <v/>
      </c>
      <c r="L114" s="34" t="str">
        <f t="array" aca="1" ref="L114" ca="1">IF(ISERROR(OFFSET(#REF!,SMALL(IF(#REF!=RM시즌체크판!C114,ROW(#REF!)-20),5),)),"",(OFFSET(#REF!,SMALL(IF(#REF!=RM시즌체크판!C114,ROW(#REF!)-20),5),)))</f>
        <v/>
      </c>
      <c r="M114" s="35" t="str">
        <f t="array" aca="1" ref="M114" ca="1">IF(ISERROR(OFFSET(#REF!,SMALL(IF(#REF!=RM시즌체크판!C114,ROW(#REF!)-20),6),)),"",(OFFSET(#REF!,SMALL(IF(#REF!=RM시즌체크판!C114,ROW(#REF!)-20),6),)))</f>
        <v/>
      </c>
      <c r="N114" s="27" t="str">
        <f>IF(ISERROR(VLOOKUP(C114,모델촬영리스트!$C:$E,3,)),"",(VLOOKUP(C114,모델촬영리스트!$C:$E,3,)))</f>
        <v/>
      </c>
      <c r="O114" s="23" t="str">
        <f>IF(ISERROR(VLOOKUP(C114,배너촬영리스트!$C:$E,3,)),"",(VLOOKUP(C114,배너촬영리스트!$C:$E,3,)))</f>
        <v/>
      </c>
      <c r="P114" s="36" t="str">
        <f>IF(ISERROR(VLOOKUP(C114,배너촬영리스트!$C:$E,2,)),"",(VLOOKUP(C114,배너촬영리스트!$C:$E,2,)))</f>
        <v/>
      </c>
    </row>
    <row r="115" spans="2:16">
      <c r="B115" s="20" t="str">
        <f t="shared" si="2"/>
        <v>RM</v>
      </c>
      <c r="C115" s="11" t="s">
        <v>239</v>
      </c>
      <c r="D115" s="12" t="e">
        <f>VLOOKUP(C115,#REF!,2,0)</f>
        <v>#REF!</v>
      </c>
      <c r="E115" s="10" t="e">
        <f>VLOOKUP(C115,#REF!,4,0)</f>
        <v>#REF!</v>
      </c>
      <c r="F115" s="37" t="e">
        <f>VLOOKUP(C115,#REF!,8,0)</f>
        <v>#REF!</v>
      </c>
      <c r="G115" s="22" t="str">
        <f>IF(ISERROR(IF(VLOOKUP(C115,#REF!,2,0)&gt;0,"등록","")),"",(IF(VLOOKUP(C115,#REF!,2,0)&gt;0,"등록","")))</f>
        <v/>
      </c>
      <c r="H115" s="33" t="str">
        <f t="array" aca="1" ref="H115" ca="1">IF(ISERROR(OFFSET(#REF!,SMALL(IF(#REF!=RM시즌체크판!C115,ROW(#REF!)-20),1),)),"",(OFFSET(#REF!,SMALL(IF(#REF!=RM시즌체크판!C115,ROW(#REF!)-20),1),)))</f>
        <v/>
      </c>
      <c r="I115" s="34" t="str">
        <f t="array" aca="1" ref="I115" ca="1">IF(ISERROR(OFFSET(#REF!,SMALL(IF(#REF!=RM시즌체크판!C115,ROW(#REF!)-20),2),)),"",(OFFSET(#REF!,SMALL(IF(#REF!=RM시즌체크판!C115,ROW(#REF!)-20),2),)))</f>
        <v/>
      </c>
      <c r="J115" s="34" t="str">
        <f t="array" aca="1" ref="J115" ca="1">IF(ISERROR(OFFSET(#REF!,SMALL(IF(#REF!=RM시즌체크판!C115,ROW(#REF!)-20),3),)),"",(OFFSET(#REF!,SMALL(IF(#REF!=RM시즌체크판!C115,ROW(#REF!)-20),3),)))</f>
        <v/>
      </c>
      <c r="K115" s="34" t="str">
        <f t="array" aca="1" ref="K115" ca="1">IF(ISERROR(OFFSET(#REF!,SMALL(IF(#REF!=RM시즌체크판!C115,ROW(#REF!)-20),4),)),"",(OFFSET(#REF!,SMALL(IF(#REF!=RM시즌체크판!C115,ROW(#REF!)-20),4),)))</f>
        <v/>
      </c>
      <c r="L115" s="34" t="str">
        <f t="array" aca="1" ref="L115" ca="1">IF(ISERROR(OFFSET(#REF!,SMALL(IF(#REF!=RM시즌체크판!C115,ROW(#REF!)-20),5),)),"",(OFFSET(#REF!,SMALL(IF(#REF!=RM시즌체크판!C115,ROW(#REF!)-20),5),)))</f>
        <v/>
      </c>
      <c r="M115" s="35" t="str">
        <f t="array" aca="1" ref="M115" ca="1">IF(ISERROR(OFFSET(#REF!,SMALL(IF(#REF!=RM시즌체크판!C115,ROW(#REF!)-20),6),)),"",(OFFSET(#REF!,SMALL(IF(#REF!=RM시즌체크판!C115,ROW(#REF!)-20),6),)))</f>
        <v/>
      </c>
      <c r="N115" s="27" t="str">
        <f>IF(ISERROR(VLOOKUP(C115,모델촬영리스트!$C:$E,3,)),"",(VLOOKUP(C115,모델촬영리스트!$C:$E,3,)))</f>
        <v/>
      </c>
      <c r="O115" s="23" t="str">
        <f>IF(ISERROR(VLOOKUP(C115,배너촬영리스트!$C:$E,3,)),"",(VLOOKUP(C115,배너촬영리스트!$C:$E,3,)))</f>
        <v/>
      </c>
      <c r="P115" s="36" t="str">
        <f>IF(ISERROR(VLOOKUP(C115,배너촬영리스트!$C:$E,2,)),"",(VLOOKUP(C115,배너촬영리스트!$C:$E,2,)))</f>
        <v/>
      </c>
    </row>
    <row r="116" spans="2:16">
      <c r="B116" s="20" t="str">
        <f t="shared" si="2"/>
        <v>RM</v>
      </c>
      <c r="C116" s="11" t="s">
        <v>240</v>
      </c>
      <c r="D116" s="12" t="e">
        <f>VLOOKUP(C116,#REF!,2,0)</f>
        <v>#REF!</v>
      </c>
      <c r="E116" s="10" t="e">
        <f>VLOOKUP(C116,#REF!,4,0)</f>
        <v>#REF!</v>
      </c>
      <c r="F116" s="37" t="e">
        <f>VLOOKUP(C116,#REF!,8,0)</f>
        <v>#REF!</v>
      </c>
      <c r="G116" s="22" t="str">
        <f>IF(ISERROR(IF(VLOOKUP(C116,#REF!,2,0)&gt;0,"등록","")),"",(IF(VLOOKUP(C116,#REF!,2,0)&gt;0,"등록","")))</f>
        <v/>
      </c>
      <c r="H116" s="33" t="str">
        <f t="array" aca="1" ref="H116" ca="1">IF(ISERROR(OFFSET(#REF!,SMALL(IF(#REF!=RM시즌체크판!C116,ROW(#REF!)-20),1),)),"",(OFFSET(#REF!,SMALL(IF(#REF!=RM시즌체크판!C116,ROW(#REF!)-20),1),)))</f>
        <v/>
      </c>
      <c r="I116" s="34" t="str">
        <f t="array" aca="1" ref="I116" ca="1">IF(ISERROR(OFFSET(#REF!,SMALL(IF(#REF!=RM시즌체크판!C116,ROW(#REF!)-20),2),)),"",(OFFSET(#REF!,SMALL(IF(#REF!=RM시즌체크판!C116,ROW(#REF!)-20),2),)))</f>
        <v/>
      </c>
      <c r="J116" s="34" t="str">
        <f t="array" aca="1" ref="J116" ca="1">IF(ISERROR(OFFSET(#REF!,SMALL(IF(#REF!=RM시즌체크판!C116,ROW(#REF!)-20),3),)),"",(OFFSET(#REF!,SMALL(IF(#REF!=RM시즌체크판!C116,ROW(#REF!)-20),3),)))</f>
        <v/>
      </c>
      <c r="K116" s="34" t="str">
        <f t="array" aca="1" ref="K116" ca="1">IF(ISERROR(OFFSET(#REF!,SMALL(IF(#REF!=RM시즌체크판!C116,ROW(#REF!)-20),4),)),"",(OFFSET(#REF!,SMALL(IF(#REF!=RM시즌체크판!C116,ROW(#REF!)-20),4),)))</f>
        <v/>
      </c>
      <c r="L116" s="34" t="str">
        <f t="array" aca="1" ref="L116" ca="1">IF(ISERROR(OFFSET(#REF!,SMALL(IF(#REF!=RM시즌체크판!C116,ROW(#REF!)-20),5),)),"",(OFFSET(#REF!,SMALL(IF(#REF!=RM시즌체크판!C116,ROW(#REF!)-20),5),)))</f>
        <v/>
      </c>
      <c r="M116" s="35" t="str">
        <f t="array" aca="1" ref="M116" ca="1">IF(ISERROR(OFFSET(#REF!,SMALL(IF(#REF!=RM시즌체크판!C116,ROW(#REF!)-20),6),)),"",(OFFSET(#REF!,SMALL(IF(#REF!=RM시즌체크판!C116,ROW(#REF!)-20),6),)))</f>
        <v/>
      </c>
      <c r="N116" s="27" t="str">
        <f>IF(ISERROR(VLOOKUP(C116,모델촬영리스트!$C:$E,3,)),"",(VLOOKUP(C116,모델촬영리스트!$C:$E,3,)))</f>
        <v/>
      </c>
      <c r="O116" s="23" t="str">
        <f>IF(ISERROR(VLOOKUP(C116,배너촬영리스트!$C:$E,3,)),"",(VLOOKUP(C116,배너촬영리스트!$C:$E,3,)))</f>
        <v/>
      </c>
      <c r="P116" s="36" t="str">
        <f>IF(ISERROR(VLOOKUP(C116,배너촬영리스트!$C:$E,2,)),"",(VLOOKUP(C116,배너촬영리스트!$C:$E,2,)))</f>
        <v/>
      </c>
    </row>
    <row r="117" spans="2:16">
      <c r="B117" s="20" t="str">
        <f t="shared" si="2"/>
        <v>RM</v>
      </c>
      <c r="C117" s="11" t="s">
        <v>252</v>
      </c>
      <c r="D117" s="12" t="e">
        <f>VLOOKUP(C117,#REF!,2,0)</f>
        <v>#REF!</v>
      </c>
      <c r="E117" s="10" t="e">
        <f>VLOOKUP(C117,#REF!,4,0)</f>
        <v>#REF!</v>
      </c>
      <c r="F117" s="37" t="e">
        <f>VLOOKUP(C117,#REF!,8,0)</f>
        <v>#REF!</v>
      </c>
      <c r="G117" s="22" t="str">
        <f>IF(ISERROR(IF(VLOOKUP(C117,#REF!,2,0)&gt;0,"등록","")),"",(IF(VLOOKUP(C117,#REF!,2,0)&gt;0,"등록","")))</f>
        <v/>
      </c>
      <c r="H117" s="33" t="str">
        <f t="array" aca="1" ref="H117" ca="1">IF(ISERROR(OFFSET(#REF!,SMALL(IF(#REF!=RM시즌체크판!C117,ROW(#REF!)-20),1),)),"",(OFFSET(#REF!,SMALL(IF(#REF!=RM시즌체크판!C117,ROW(#REF!)-20),1),)))</f>
        <v/>
      </c>
      <c r="I117" s="34" t="str">
        <f t="array" aca="1" ref="I117" ca="1">IF(ISERROR(OFFSET(#REF!,SMALL(IF(#REF!=RM시즌체크판!C117,ROW(#REF!)-20),2),)),"",(OFFSET(#REF!,SMALL(IF(#REF!=RM시즌체크판!C117,ROW(#REF!)-20),2),)))</f>
        <v/>
      </c>
      <c r="J117" s="34" t="str">
        <f t="array" aca="1" ref="J117" ca="1">IF(ISERROR(OFFSET(#REF!,SMALL(IF(#REF!=RM시즌체크판!C117,ROW(#REF!)-20),3),)),"",(OFFSET(#REF!,SMALL(IF(#REF!=RM시즌체크판!C117,ROW(#REF!)-20),3),)))</f>
        <v/>
      </c>
      <c r="K117" s="34" t="str">
        <f t="array" aca="1" ref="K117" ca="1">IF(ISERROR(OFFSET(#REF!,SMALL(IF(#REF!=RM시즌체크판!C117,ROW(#REF!)-20),4),)),"",(OFFSET(#REF!,SMALL(IF(#REF!=RM시즌체크판!C117,ROW(#REF!)-20),4),)))</f>
        <v/>
      </c>
      <c r="L117" s="34" t="str">
        <f t="array" aca="1" ref="L117" ca="1">IF(ISERROR(OFFSET(#REF!,SMALL(IF(#REF!=RM시즌체크판!C117,ROW(#REF!)-20),5),)),"",(OFFSET(#REF!,SMALL(IF(#REF!=RM시즌체크판!C117,ROW(#REF!)-20),5),)))</f>
        <v/>
      </c>
      <c r="M117" s="35" t="str">
        <f t="array" aca="1" ref="M117" ca="1">IF(ISERROR(OFFSET(#REF!,SMALL(IF(#REF!=RM시즌체크판!C117,ROW(#REF!)-20),6),)),"",(OFFSET(#REF!,SMALL(IF(#REF!=RM시즌체크판!C117,ROW(#REF!)-20),6),)))</f>
        <v/>
      </c>
      <c r="N117" s="27" t="str">
        <f>IF(ISERROR(VLOOKUP(C117,모델촬영리스트!$C:$E,3,)),"",(VLOOKUP(C117,모델촬영리스트!$C:$E,3,)))</f>
        <v/>
      </c>
      <c r="O117" s="23" t="str">
        <f>IF(ISERROR(VLOOKUP(C117,배너촬영리스트!$C:$E,3,)),"",(VLOOKUP(C117,배너촬영리스트!$C:$E,3,)))</f>
        <v/>
      </c>
      <c r="P117" s="36" t="str">
        <f>IF(ISERROR(VLOOKUP(C117,배너촬영리스트!$C:$E,2,)),"",(VLOOKUP(C117,배너촬영리스트!$C:$E,2,)))</f>
        <v/>
      </c>
    </row>
    <row r="118" spans="2:16">
      <c r="B118" s="20" t="str">
        <f t="shared" si="2"/>
        <v>RM</v>
      </c>
      <c r="C118" s="11" t="s">
        <v>253</v>
      </c>
      <c r="D118" s="12" t="e">
        <f>VLOOKUP(C118,#REF!,2,0)</f>
        <v>#REF!</v>
      </c>
      <c r="E118" s="10" t="e">
        <f>VLOOKUP(C118,#REF!,4,0)</f>
        <v>#REF!</v>
      </c>
      <c r="F118" s="37" t="e">
        <f>VLOOKUP(C118,#REF!,8,0)</f>
        <v>#REF!</v>
      </c>
      <c r="G118" s="22" t="str">
        <f>IF(ISERROR(IF(VLOOKUP(C118,#REF!,2,0)&gt;0,"등록","")),"",(IF(VLOOKUP(C118,#REF!,2,0)&gt;0,"등록","")))</f>
        <v/>
      </c>
      <c r="H118" s="33" t="str">
        <f t="array" aca="1" ref="H118" ca="1">IF(ISERROR(OFFSET(#REF!,SMALL(IF(#REF!=RM시즌체크판!C118,ROW(#REF!)-20),1),)),"",(OFFSET(#REF!,SMALL(IF(#REF!=RM시즌체크판!C118,ROW(#REF!)-20),1),)))</f>
        <v/>
      </c>
      <c r="I118" s="34" t="str">
        <f t="array" aca="1" ref="I118" ca="1">IF(ISERROR(OFFSET(#REF!,SMALL(IF(#REF!=RM시즌체크판!C118,ROW(#REF!)-20),2),)),"",(OFFSET(#REF!,SMALL(IF(#REF!=RM시즌체크판!C118,ROW(#REF!)-20),2),)))</f>
        <v/>
      </c>
      <c r="J118" s="34" t="str">
        <f t="array" aca="1" ref="J118" ca="1">IF(ISERROR(OFFSET(#REF!,SMALL(IF(#REF!=RM시즌체크판!C118,ROW(#REF!)-20),3),)),"",(OFFSET(#REF!,SMALL(IF(#REF!=RM시즌체크판!C118,ROW(#REF!)-20),3),)))</f>
        <v/>
      </c>
      <c r="K118" s="34" t="str">
        <f t="array" aca="1" ref="K118" ca="1">IF(ISERROR(OFFSET(#REF!,SMALL(IF(#REF!=RM시즌체크판!C118,ROW(#REF!)-20),4),)),"",(OFFSET(#REF!,SMALL(IF(#REF!=RM시즌체크판!C118,ROW(#REF!)-20),4),)))</f>
        <v/>
      </c>
      <c r="L118" s="34" t="str">
        <f t="array" aca="1" ref="L118" ca="1">IF(ISERROR(OFFSET(#REF!,SMALL(IF(#REF!=RM시즌체크판!C118,ROW(#REF!)-20),5),)),"",(OFFSET(#REF!,SMALL(IF(#REF!=RM시즌체크판!C118,ROW(#REF!)-20),5),)))</f>
        <v/>
      </c>
      <c r="M118" s="35" t="str">
        <f t="array" aca="1" ref="M118" ca="1">IF(ISERROR(OFFSET(#REF!,SMALL(IF(#REF!=RM시즌체크판!C118,ROW(#REF!)-20),6),)),"",(OFFSET(#REF!,SMALL(IF(#REF!=RM시즌체크판!C118,ROW(#REF!)-20),6),)))</f>
        <v/>
      </c>
      <c r="N118" s="27" t="str">
        <f>IF(ISERROR(VLOOKUP(C118,모델촬영리스트!$C:$E,3,)),"",(VLOOKUP(C118,모델촬영리스트!$C:$E,3,)))</f>
        <v/>
      </c>
      <c r="O118" s="23" t="str">
        <f>IF(ISERROR(VLOOKUP(C118,배너촬영리스트!$C:$E,3,)),"",(VLOOKUP(C118,배너촬영리스트!$C:$E,3,)))</f>
        <v/>
      </c>
      <c r="P118" s="36" t="str">
        <f>IF(ISERROR(VLOOKUP(C118,배너촬영리스트!$C:$E,2,)),"",(VLOOKUP(C118,배너촬영리스트!$C:$E,2,)))</f>
        <v/>
      </c>
    </row>
    <row r="119" spans="2:16">
      <c r="B119" s="20" t="str">
        <f t="shared" si="2"/>
        <v>RM</v>
      </c>
      <c r="C119" s="11" t="s">
        <v>254</v>
      </c>
      <c r="D119" s="12" t="e">
        <f>VLOOKUP(C119,#REF!,2,0)</f>
        <v>#REF!</v>
      </c>
      <c r="E119" s="10" t="e">
        <f>VLOOKUP(C119,#REF!,4,0)</f>
        <v>#REF!</v>
      </c>
      <c r="F119" s="37" t="e">
        <f>VLOOKUP(C119,#REF!,8,0)</f>
        <v>#REF!</v>
      </c>
      <c r="G119" s="22" t="str">
        <f>IF(ISERROR(IF(VLOOKUP(C119,#REF!,2,0)&gt;0,"등록","")),"",(IF(VLOOKUP(C119,#REF!,2,0)&gt;0,"등록","")))</f>
        <v/>
      </c>
      <c r="H119" s="33" t="str">
        <f t="array" aca="1" ref="H119" ca="1">IF(ISERROR(OFFSET(#REF!,SMALL(IF(#REF!=RM시즌체크판!C119,ROW(#REF!)-20),1),)),"",(OFFSET(#REF!,SMALL(IF(#REF!=RM시즌체크판!C119,ROW(#REF!)-20),1),)))</f>
        <v/>
      </c>
      <c r="I119" s="34" t="str">
        <f t="array" aca="1" ref="I119" ca="1">IF(ISERROR(OFFSET(#REF!,SMALL(IF(#REF!=RM시즌체크판!C119,ROW(#REF!)-20),2),)),"",(OFFSET(#REF!,SMALL(IF(#REF!=RM시즌체크판!C119,ROW(#REF!)-20),2),)))</f>
        <v/>
      </c>
      <c r="J119" s="34" t="str">
        <f t="array" aca="1" ref="J119" ca="1">IF(ISERROR(OFFSET(#REF!,SMALL(IF(#REF!=RM시즌체크판!C119,ROW(#REF!)-20),3),)),"",(OFFSET(#REF!,SMALL(IF(#REF!=RM시즌체크판!C119,ROW(#REF!)-20),3),)))</f>
        <v/>
      </c>
      <c r="K119" s="34" t="str">
        <f t="array" aca="1" ref="K119" ca="1">IF(ISERROR(OFFSET(#REF!,SMALL(IF(#REF!=RM시즌체크판!C119,ROW(#REF!)-20),4),)),"",(OFFSET(#REF!,SMALL(IF(#REF!=RM시즌체크판!C119,ROW(#REF!)-20),4),)))</f>
        <v/>
      </c>
      <c r="L119" s="34" t="str">
        <f t="array" aca="1" ref="L119" ca="1">IF(ISERROR(OFFSET(#REF!,SMALL(IF(#REF!=RM시즌체크판!C119,ROW(#REF!)-20),5),)),"",(OFFSET(#REF!,SMALL(IF(#REF!=RM시즌체크판!C119,ROW(#REF!)-20),5),)))</f>
        <v/>
      </c>
      <c r="M119" s="35" t="str">
        <f t="array" aca="1" ref="M119" ca="1">IF(ISERROR(OFFSET(#REF!,SMALL(IF(#REF!=RM시즌체크판!C119,ROW(#REF!)-20),6),)),"",(OFFSET(#REF!,SMALL(IF(#REF!=RM시즌체크판!C119,ROW(#REF!)-20),6),)))</f>
        <v/>
      </c>
      <c r="N119" s="27" t="str">
        <f>IF(ISERROR(VLOOKUP(C119,모델촬영리스트!$C:$E,3,)),"",(VLOOKUP(C119,모델촬영리스트!$C:$E,3,)))</f>
        <v/>
      </c>
      <c r="O119" s="23" t="str">
        <f>IF(ISERROR(VLOOKUP(C119,배너촬영리스트!$C:$E,3,)),"",(VLOOKUP(C119,배너촬영리스트!$C:$E,3,)))</f>
        <v/>
      </c>
      <c r="P119" s="36" t="str">
        <f>IF(ISERROR(VLOOKUP(C119,배너촬영리스트!$C:$E,2,)),"",(VLOOKUP(C119,배너촬영리스트!$C:$E,2,)))</f>
        <v/>
      </c>
    </row>
    <row r="120" spans="2:16">
      <c r="B120" s="20" t="str">
        <f t="shared" si="2"/>
        <v>RM</v>
      </c>
      <c r="C120" s="11" t="s">
        <v>255</v>
      </c>
      <c r="D120" s="12" t="e">
        <f>VLOOKUP(C120,#REF!,2,0)</f>
        <v>#REF!</v>
      </c>
      <c r="E120" s="10" t="e">
        <f>VLOOKUP(C120,#REF!,4,0)</f>
        <v>#REF!</v>
      </c>
      <c r="F120" s="37" t="e">
        <f>VLOOKUP(C120,#REF!,8,0)</f>
        <v>#REF!</v>
      </c>
      <c r="G120" s="22" t="str">
        <f>IF(ISERROR(IF(VLOOKUP(C120,#REF!,2,0)&gt;0,"등록","")),"",(IF(VLOOKUP(C120,#REF!,2,0)&gt;0,"등록","")))</f>
        <v/>
      </c>
      <c r="H120" s="33" t="str">
        <f t="array" aca="1" ref="H120" ca="1">IF(ISERROR(OFFSET(#REF!,SMALL(IF(#REF!=RM시즌체크판!C120,ROW(#REF!)-20),1),)),"",(OFFSET(#REF!,SMALL(IF(#REF!=RM시즌체크판!C120,ROW(#REF!)-20),1),)))</f>
        <v/>
      </c>
      <c r="I120" s="34" t="str">
        <f t="array" aca="1" ref="I120" ca="1">IF(ISERROR(OFFSET(#REF!,SMALL(IF(#REF!=RM시즌체크판!C120,ROW(#REF!)-20),2),)),"",(OFFSET(#REF!,SMALL(IF(#REF!=RM시즌체크판!C120,ROW(#REF!)-20),2),)))</f>
        <v/>
      </c>
      <c r="J120" s="34" t="str">
        <f t="array" aca="1" ref="J120" ca="1">IF(ISERROR(OFFSET(#REF!,SMALL(IF(#REF!=RM시즌체크판!C120,ROW(#REF!)-20),3),)),"",(OFFSET(#REF!,SMALL(IF(#REF!=RM시즌체크판!C120,ROW(#REF!)-20),3),)))</f>
        <v/>
      </c>
      <c r="K120" s="34" t="str">
        <f t="array" aca="1" ref="K120" ca="1">IF(ISERROR(OFFSET(#REF!,SMALL(IF(#REF!=RM시즌체크판!C120,ROW(#REF!)-20),4),)),"",(OFFSET(#REF!,SMALL(IF(#REF!=RM시즌체크판!C120,ROW(#REF!)-20),4),)))</f>
        <v/>
      </c>
      <c r="L120" s="34" t="str">
        <f t="array" aca="1" ref="L120" ca="1">IF(ISERROR(OFFSET(#REF!,SMALL(IF(#REF!=RM시즌체크판!C120,ROW(#REF!)-20),5),)),"",(OFFSET(#REF!,SMALL(IF(#REF!=RM시즌체크판!C120,ROW(#REF!)-20),5),)))</f>
        <v/>
      </c>
      <c r="M120" s="35" t="str">
        <f t="array" aca="1" ref="M120" ca="1">IF(ISERROR(OFFSET(#REF!,SMALL(IF(#REF!=RM시즌체크판!C120,ROW(#REF!)-20),6),)),"",(OFFSET(#REF!,SMALL(IF(#REF!=RM시즌체크판!C120,ROW(#REF!)-20),6),)))</f>
        <v/>
      </c>
      <c r="N120" s="27" t="str">
        <f>IF(ISERROR(VLOOKUP(C120,모델촬영리스트!$C:$E,3,)),"",(VLOOKUP(C120,모델촬영리스트!$C:$E,3,)))</f>
        <v/>
      </c>
      <c r="O120" s="23" t="str">
        <f>IF(ISERROR(VLOOKUP(C120,배너촬영리스트!$C:$E,3,)),"",(VLOOKUP(C120,배너촬영리스트!$C:$E,3,)))</f>
        <v/>
      </c>
      <c r="P120" s="36" t="str">
        <f>IF(ISERROR(VLOOKUP(C120,배너촬영리스트!$C:$E,2,)),"",(VLOOKUP(C120,배너촬영리스트!$C:$E,2,)))</f>
        <v/>
      </c>
    </row>
    <row r="121" spans="2:16">
      <c r="B121" s="20" t="str">
        <f t="shared" si="2"/>
        <v>RM</v>
      </c>
      <c r="C121" s="11" t="s">
        <v>256</v>
      </c>
      <c r="D121" s="12" t="e">
        <f>VLOOKUP(C121,#REF!,2,0)</f>
        <v>#REF!</v>
      </c>
      <c r="E121" s="10" t="e">
        <f>VLOOKUP(C121,#REF!,4,0)</f>
        <v>#REF!</v>
      </c>
      <c r="F121" s="37" t="e">
        <f>VLOOKUP(C121,#REF!,8,0)</f>
        <v>#REF!</v>
      </c>
      <c r="G121" s="22" t="str">
        <f>IF(ISERROR(IF(VLOOKUP(C121,#REF!,2,0)&gt;0,"등록","")),"",(IF(VLOOKUP(C121,#REF!,2,0)&gt;0,"등록","")))</f>
        <v/>
      </c>
      <c r="H121" s="33" t="str">
        <f t="array" aca="1" ref="H121" ca="1">IF(ISERROR(OFFSET(#REF!,SMALL(IF(#REF!=RM시즌체크판!C121,ROW(#REF!)-20),1),)),"",(OFFSET(#REF!,SMALL(IF(#REF!=RM시즌체크판!C121,ROW(#REF!)-20),1),)))</f>
        <v/>
      </c>
      <c r="I121" s="34" t="str">
        <f t="array" aca="1" ref="I121" ca="1">IF(ISERROR(OFFSET(#REF!,SMALL(IF(#REF!=RM시즌체크판!C121,ROW(#REF!)-20),2),)),"",(OFFSET(#REF!,SMALL(IF(#REF!=RM시즌체크판!C121,ROW(#REF!)-20),2),)))</f>
        <v/>
      </c>
      <c r="J121" s="34" t="str">
        <f t="array" aca="1" ref="J121" ca="1">IF(ISERROR(OFFSET(#REF!,SMALL(IF(#REF!=RM시즌체크판!C121,ROW(#REF!)-20),3),)),"",(OFFSET(#REF!,SMALL(IF(#REF!=RM시즌체크판!C121,ROW(#REF!)-20),3),)))</f>
        <v/>
      </c>
      <c r="K121" s="34" t="str">
        <f t="array" aca="1" ref="K121" ca="1">IF(ISERROR(OFFSET(#REF!,SMALL(IF(#REF!=RM시즌체크판!C121,ROW(#REF!)-20),4),)),"",(OFFSET(#REF!,SMALL(IF(#REF!=RM시즌체크판!C121,ROW(#REF!)-20),4),)))</f>
        <v/>
      </c>
      <c r="L121" s="34" t="str">
        <f t="array" aca="1" ref="L121" ca="1">IF(ISERROR(OFFSET(#REF!,SMALL(IF(#REF!=RM시즌체크판!C121,ROW(#REF!)-20),5),)),"",(OFFSET(#REF!,SMALL(IF(#REF!=RM시즌체크판!C121,ROW(#REF!)-20),5),)))</f>
        <v/>
      </c>
      <c r="M121" s="35" t="str">
        <f t="array" aca="1" ref="M121" ca="1">IF(ISERROR(OFFSET(#REF!,SMALL(IF(#REF!=RM시즌체크판!C121,ROW(#REF!)-20),6),)),"",(OFFSET(#REF!,SMALL(IF(#REF!=RM시즌체크판!C121,ROW(#REF!)-20),6),)))</f>
        <v/>
      </c>
      <c r="N121" s="27" t="str">
        <f>IF(ISERROR(VLOOKUP(C121,모델촬영리스트!$C:$E,3,)),"",(VLOOKUP(C121,모델촬영리스트!$C:$E,3,)))</f>
        <v/>
      </c>
      <c r="O121" s="23" t="str">
        <f>IF(ISERROR(VLOOKUP(C121,배너촬영리스트!$C:$E,3,)),"",(VLOOKUP(C121,배너촬영리스트!$C:$E,3,)))</f>
        <v/>
      </c>
      <c r="P121" s="36" t="str">
        <f>IF(ISERROR(VLOOKUP(C121,배너촬영리스트!$C:$E,2,)),"",(VLOOKUP(C121,배너촬영리스트!$C:$E,2,)))</f>
        <v/>
      </c>
    </row>
    <row r="122" spans="2:16">
      <c r="B122" s="20" t="str">
        <f t="shared" si="2"/>
        <v>RM</v>
      </c>
      <c r="C122" s="11" t="s">
        <v>257</v>
      </c>
      <c r="D122" s="12" t="e">
        <f>VLOOKUP(C122,#REF!,2,0)</f>
        <v>#REF!</v>
      </c>
      <c r="E122" s="10" t="e">
        <f>VLOOKUP(C122,#REF!,4,0)</f>
        <v>#REF!</v>
      </c>
      <c r="F122" s="37" t="e">
        <f>VLOOKUP(C122,#REF!,8,0)</f>
        <v>#REF!</v>
      </c>
      <c r="G122" s="22" t="str">
        <f>IF(ISERROR(IF(VLOOKUP(C122,#REF!,2,0)&gt;0,"등록","")),"",(IF(VLOOKUP(C122,#REF!,2,0)&gt;0,"등록","")))</f>
        <v/>
      </c>
      <c r="H122" s="33" t="str">
        <f t="array" aca="1" ref="H122" ca="1">IF(ISERROR(OFFSET(#REF!,SMALL(IF(#REF!=RM시즌체크판!C122,ROW(#REF!)-20),1),)),"",(OFFSET(#REF!,SMALL(IF(#REF!=RM시즌체크판!C122,ROW(#REF!)-20),1),)))</f>
        <v/>
      </c>
      <c r="I122" s="34" t="str">
        <f t="array" aca="1" ref="I122" ca="1">IF(ISERROR(OFFSET(#REF!,SMALL(IF(#REF!=RM시즌체크판!C122,ROW(#REF!)-20),2),)),"",(OFFSET(#REF!,SMALL(IF(#REF!=RM시즌체크판!C122,ROW(#REF!)-20),2),)))</f>
        <v/>
      </c>
      <c r="J122" s="34" t="str">
        <f t="array" aca="1" ref="J122" ca="1">IF(ISERROR(OFFSET(#REF!,SMALL(IF(#REF!=RM시즌체크판!C122,ROW(#REF!)-20),3),)),"",(OFFSET(#REF!,SMALL(IF(#REF!=RM시즌체크판!C122,ROW(#REF!)-20),3),)))</f>
        <v/>
      </c>
      <c r="K122" s="34" t="str">
        <f t="array" aca="1" ref="K122" ca="1">IF(ISERROR(OFFSET(#REF!,SMALL(IF(#REF!=RM시즌체크판!C122,ROW(#REF!)-20),4),)),"",(OFFSET(#REF!,SMALL(IF(#REF!=RM시즌체크판!C122,ROW(#REF!)-20),4),)))</f>
        <v/>
      </c>
      <c r="L122" s="34" t="str">
        <f t="array" aca="1" ref="L122" ca="1">IF(ISERROR(OFFSET(#REF!,SMALL(IF(#REF!=RM시즌체크판!C122,ROW(#REF!)-20),5),)),"",(OFFSET(#REF!,SMALL(IF(#REF!=RM시즌체크판!C122,ROW(#REF!)-20),5),)))</f>
        <v/>
      </c>
      <c r="M122" s="35" t="str">
        <f t="array" aca="1" ref="M122" ca="1">IF(ISERROR(OFFSET(#REF!,SMALL(IF(#REF!=RM시즌체크판!C122,ROW(#REF!)-20),6),)),"",(OFFSET(#REF!,SMALL(IF(#REF!=RM시즌체크판!C122,ROW(#REF!)-20),6),)))</f>
        <v/>
      </c>
      <c r="N122" s="27" t="str">
        <f>IF(ISERROR(VLOOKUP(C122,모델촬영리스트!$C:$E,3,)),"",(VLOOKUP(C122,모델촬영리스트!$C:$E,3,)))</f>
        <v/>
      </c>
      <c r="O122" s="23" t="str">
        <f>IF(ISERROR(VLOOKUP(C122,배너촬영리스트!$C:$E,3,)),"",(VLOOKUP(C122,배너촬영리스트!$C:$E,3,)))</f>
        <v/>
      </c>
      <c r="P122" s="36" t="str">
        <f>IF(ISERROR(VLOOKUP(C122,배너촬영리스트!$C:$E,2,)),"",(VLOOKUP(C122,배너촬영리스트!$C:$E,2,)))</f>
        <v/>
      </c>
    </row>
    <row r="123" spans="2:16">
      <c r="B123" s="20" t="str">
        <f t="shared" si="2"/>
        <v>RM</v>
      </c>
      <c r="C123" s="11" t="s">
        <v>258</v>
      </c>
      <c r="D123" s="12" t="e">
        <f>VLOOKUP(C123,#REF!,2,0)</f>
        <v>#REF!</v>
      </c>
      <c r="E123" s="10" t="e">
        <f>VLOOKUP(C123,#REF!,4,0)</f>
        <v>#REF!</v>
      </c>
      <c r="F123" s="37" t="e">
        <f>VLOOKUP(C123,#REF!,8,0)</f>
        <v>#REF!</v>
      </c>
      <c r="G123" s="22" t="str">
        <f>IF(ISERROR(IF(VLOOKUP(C123,#REF!,2,0)&gt;0,"등록","")),"",(IF(VLOOKUP(C123,#REF!,2,0)&gt;0,"등록","")))</f>
        <v/>
      </c>
      <c r="H123" s="33" t="str">
        <f t="array" aca="1" ref="H123" ca="1">IF(ISERROR(OFFSET(#REF!,SMALL(IF(#REF!=RM시즌체크판!C123,ROW(#REF!)-20),1),)),"",(OFFSET(#REF!,SMALL(IF(#REF!=RM시즌체크판!C123,ROW(#REF!)-20),1),)))</f>
        <v/>
      </c>
      <c r="I123" s="34" t="str">
        <f t="array" aca="1" ref="I123" ca="1">IF(ISERROR(OFFSET(#REF!,SMALL(IF(#REF!=RM시즌체크판!C123,ROW(#REF!)-20),2),)),"",(OFFSET(#REF!,SMALL(IF(#REF!=RM시즌체크판!C123,ROW(#REF!)-20),2),)))</f>
        <v/>
      </c>
      <c r="J123" s="34" t="str">
        <f t="array" aca="1" ref="J123" ca="1">IF(ISERROR(OFFSET(#REF!,SMALL(IF(#REF!=RM시즌체크판!C123,ROW(#REF!)-20),3),)),"",(OFFSET(#REF!,SMALL(IF(#REF!=RM시즌체크판!C123,ROW(#REF!)-20),3),)))</f>
        <v/>
      </c>
      <c r="K123" s="34" t="str">
        <f t="array" aca="1" ref="K123" ca="1">IF(ISERROR(OFFSET(#REF!,SMALL(IF(#REF!=RM시즌체크판!C123,ROW(#REF!)-20),4),)),"",(OFFSET(#REF!,SMALL(IF(#REF!=RM시즌체크판!C123,ROW(#REF!)-20),4),)))</f>
        <v/>
      </c>
      <c r="L123" s="34" t="str">
        <f t="array" aca="1" ref="L123" ca="1">IF(ISERROR(OFFSET(#REF!,SMALL(IF(#REF!=RM시즌체크판!C123,ROW(#REF!)-20),5),)),"",(OFFSET(#REF!,SMALL(IF(#REF!=RM시즌체크판!C123,ROW(#REF!)-20),5),)))</f>
        <v/>
      </c>
      <c r="M123" s="35" t="str">
        <f t="array" aca="1" ref="M123" ca="1">IF(ISERROR(OFFSET(#REF!,SMALL(IF(#REF!=RM시즌체크판!C123,ROW(#REF!)-20),6),)),"",(OFFSET(#REF!,SMALL(IF(#REF!=RM시즌체크판!C123,ROW(#REF!)-20),6),)))</f>
        <v/>
      </c>
      <c r="N123" s="27" t="str">
        <f>IF(ISERROR(VLOOKUP(C123,모델촬영리스트!$C:$E,3,)),"",(VLOOKUP(C123,모델촬영리스트!$C:$E,3,)))</f>
        <v/>
      </c>
      <c r="O123" s="23" t="str">
        <f>IF(ISERROR(VLOOKUP(C123,배너촬영리스트!$C:$E,3,)),"",(VLOOKUP(C123,배너촬영리스트!$C:$E,3,)))</f>
        <v/>
      </c>
      <c r="P123" s="36" t="str">
        <f>IF(ISERROR(VLOOKUP(C123,배너촬영리스트!$C:$E,2,)),"",(VLOOKUP(C123,배너촬영리스트!$C:$E,2,)))</f>
        <v/>
      </c>
    </row>
    <row r="124" spans="2:16">
      <c r="B124" s="20" t="str">
        <f t="shared" si="2"/>
        <v>RM</v>
      </c>
      <c r="C124" s="11" t="s">
        <v>259</v>
      </c>
      <c r="D124" s="12" t="e">
        <f>VLOOKUP(C124,#REF!,2,0)</f>
        <v>#REF!</v>
      </c>
      <c r="E124" s="10" t="e">
        <f>VLOOKUP(C124,#REF!,4,0)</f>
        <v>#REF!</v>
      </c>
      <c r="F124" s="37" t="e">
        <f>VLOOKUP(C124,#REF!,8,0)</f>
        <v>#REF!</v>
      </c>
      <c r="G124" s="22" t="str">
        <f>IF(ISERROR(IF(VLOOKUP(C124,#REF!,2,0)&gt;0,"등록","")),"",(IF(VLOOKUP(C124,#REF!,2,0)&gt;0,"등록","")))</f>
        <v/>
      </c>
      <c r="H124" s="33" t="str">
        <f t="array" aca="1" ref="H124" ca="1">IF(ISERROR(OFFSET(#REF!,SMALL(IF(#REF!=RM시즌체크판!C124,ROW(#REF!)-20),1),)),"",(OFFSET(#REF!,SMALL(IF(#REF!=RM시즌체크판!C124,ROW(#REF!)-20),1),)))</f>
        <v/>
      </c>
      <c r="I124" s="34" t="str">
        <f t="array" aca="1" ref="I124" ca="1">IF(ISERROR(OFFSET(#REF!,SMALL(IF(#REF!=RM시즌체크판!C124,ROW(#REF!)-20),2),)),"",(OFFSET(#REF!,SMALL(IF(#REF!=RM시즌체크판!C124,ROW(#REF!)-20),2),)))</f>
        <v/>
      </c>
      <c r="J124" s="34" t="str">
        <f t="array" aca="1" ref="J124" ca="1">IF(ISERROR(OFFSET(#REF!,SMALL(IF(#REF!=RM시즌체크판!C124,ROW(#REF!)-20),3),)),"",(OFFSET(#REF!,SMALL(IF(#REF!=RM시즌체크판!C124,ROW(#REF!)-20),3),)))</f>
        <v/>
      </c>
      <c r="K124" s="34" t="str">
        <f t="array" aca="1" ref="K124" ca="1">IF(ISERROR(OFFSET(#REF!,SMALL(IF(#REF!=RM시즌체크판!C124,ROW(#REF!)-20),4),)),"",(OFFSET(#REF!,SMALL(IF(#REF!=RM시즌체크판!C124,ROW(#REF!)-20),4),)))</f>
        <v/>
      </c>
      <c r="L124" s="34" t="str">
        <f t="array" aca="1" ref="L124" ca="1">IF(ISERROR(OFFSET(#REF!,SMALL(IF(#REF!=RM시즌체크판!C124,ROW(#REF!)-20),5),)),"",(OFFSET(#REF!,SMALL(IF(#REF!=RM시즌체크판!C124,ROW(#REF!)-20),5),)))</f>
        <v/>
      </c>
      <c r="M124" s="35" t="str">
        <f t="array" aca="1" ref="M124" ca="1">IF(ISERROR(OFFSET(#REF!,SMALL(IF(#REF!=RM시즌체크판!C124,ROW(#REF!)-20),6),)),"",(OFFSET(#REF!,SMALL(IF(#REF!=RM시즌체크판!C124,ROW(#REF!)-20),6),)))</f>
        <v/>
      </c>
      <c r="N124" s="27" t="str">
        <f>IF(ISERROR(VLOOKUP(C124,모델촬영리스트!$C:$E,3,)),"",(VLOOKUP(C124,모델촬영리스트!$C:$E,3,)))</f>
        <v/>
      </c>
      <c r="O124" s="23" t="str">
        <f>IF(ISERROR(VLOOKUP(C124,배너촬영리스트!$C:$E,3,)),"",(VLOOKUP(C124,배너촬영리스트!$C:$E,3,)))</f>
        <v/>
      </c>
      <c r="P124" s="36" t="str">
        <f>IF(ISERROR(VLOOKUP(C124,배너촬영리스트!$C:$E,2,)),"",(VLOOKUP(C124,배너촬영리스트!$C:$E,2,)))</f>
        <v/>
      </c>
    </row>
    <row r="125" spans="2:16">
      <c r="B125" s="20" t="str">
        <f t="shared" si="2"/>
        <v>RM</v>
      </c>
      <c r="C125" s="11" t="s">
        <v>260</v>
      </c>
      <c r="D125" s="12" t="e">
        <f>VLOOKUP(C125,#REF!,2,0)</f>
        <v>#REF!</v>
      </c>
      <c r="E125" s="10" t="e">
        <f>VLOOKUP(C125,#REF!,4,0)</f>
        <v>#REF!</v>
      </c>
      <c r="F125" s="37" t="e">
        <f>VLOOKUP(C125,#REF!,8,0)</f>
        <v>#REF!</v>
      </c>
      <c r="G125" s="22" t="str">
        <f>IF(ISERROR(IF(VLOOKUP(C125,#REF!,2,0)&gt;0,"등록","")),"",(IF(VLOOKUP(C125,#REF!,2,0)&gt;0,"등록","")))</f>
        <v/>
      </c>
      <c r="H125" s="33" t="str">
        <f t="array" aca="1" ref="H125" ca="1">IF(ISERROR(OFFSET(#REF!,SMALL(IF(#REF!=RM시즌체크판!C125,ROW(#REF!)-20),1),)),"",(OFFSET(#REF!,SMALL(IF(#REF!=RM시즌체크판!C125,ROW(#REF!)-20),1),)))</f>
        <v/>
      </c>
      <c r="I125" s="34" t="str">
        <f t="array" aca="1" ref="I125" ca="1">IF(ISERROR(OFFSET(#REF!,SMALL(IF(#REF!=RM시즌체크판!C125,ROW(#REF!)-20),2),)),"",(OFFSET(#REF!,SMALL(IF(#REF!=RM시즌체크판!C125,ROW(#REF!)-20),2),)))</f>
        <v/>
      </c>
      <c r="J125" s="34" t="str">
        <f t="array" aca="1" ref="J125" ca="1">IF(ISERROR(OFFSET(#REF!,SMALL(IF(#REF!=RM시즌체크판!C125,ROW(#REF!)-20),3),)),"",(OFFSET(#REF!,SMALL(IF(#REF!=RM시즌체크판!C125,ROW(#REF!)-20),3),)))</f>
        <v/>
      </c>
      <c r="K125" s="34" t="str">
        <f t="array" aca="1" ref="K125" ca="1">IF(ISERROR(OFFSET(#REF!,SMALL(IF(#REF!=RM시즌체크판!C125,ROW(#REF!)-20),4),)),"",(OFFSET(#REF!,SMALL(IF(#REF!=RM시즌체크판!C125,ROW(#REF!)-20),4),)))</f>
        <v/>
      </c>
      <c r="L125" s="34" t="str">
        <f t="array" aca="1" ref="L125" ca="1">IF(ISERROR(OFFSET(#REF!,SMALL(IF(#REF!=RM시즌체크판!C125,ROW(#REF!)-20),5),)),"",(OFFSET(#REF!,SMALL(IF(#REF!=RM시즌체크판!C125,ROW(#REF!)-20),5),)))</f>
        <v/>
      </c>
      <c r="M125" s="35" t="str">
        <f t="array" aca="1" ref="M125" ca="1">IF(ISERROR(OFFSET(#REF!,SMALL(IF(#REF!=RM시즌체크판!C125,ROW(#REF!)-20),6),)),"",(OFFSET(#REF!,SMALL(IF(#REF!=RM시즌체크판!C125,ROW(#REF!)-20),6),)))</f>
        <v/>
      </c>
      <c r="N125" s="27" t="str">
        <f>IF(ISERROR(VLOOKUP(C125,모델촬영리스트!$C:$E,3,)),"",(VLOOKUP(C125,모델촬영리스트!$C:$E,3,)))</f>
        <v/>
      </c>
      <c r="O125" s="23" t="str">
        <f>IF(ISERROR(VLOOKUP(C125,배너촬영리스트!$C:$E,3,)),"",(VLOOKUP(C125,배너촬영리스트!$C:$E,3,)))</f>
        <v/>
      </c>
      <c r="P125" s="36" t="str">
        <f>IF(ISERROR(VLOOKUP(C125,배너촬영리스트!$C:$E,2,)),"",(VLOOKUP(C125,배너촬영리스트!$C:$E,2,)))</f>
        <v/>
      </c>
    </row>
    <row r="126" spans="2:16">
      <c r="B126" s="20" t="str">
        <f t="shared" si="2"/>
        <v>RM</v>
      </c>
      <c r="C126" s="11" t="s">
        <v>261</v>
      </c>
      <c r="D126" s="12" t="e">
        <f>VLOOKUP(C126,#REF!,2,0)</f>
        <v>#REF!</v>
      </c>
      <c r="E126" s="10" t="e">
        <f>VLOOKUP(C126,#REF!,4,0)</f>
        <v>#REF!</v>
      </c>
      <c r="F126" s="37" t="e">
        <f>VLOOKUP(C126,#REF!,8,0)</f>
        <v>#REF!</v>
      </c>
      <c r="G126" s="22" t="str">
        <f>IF(ISERROR(IF(VLOOKUP(C126,#REF!,2,0)&gt;0,"등록","")),"",(IF(VLOOKUP(C126,#REF!,2,0)&gt;0,"등록","")))</f>
        <v/>
      </c>
      <c r="H126" s="33" t="str">
        <f t="array" aca="1" ref="H126" ca="1">IF(ISERROR(OFFSET(#REF!,SMALL(IF(#REF!=RM시즌체크판!C126,ROW(#REF!)-20),1),)),"",(OFFSET(#REF!,SMALL(IF(#REF!=RM시즌체크판!C126,ROW(#REF!)-20),1),)))</f>
        <v/>
      </c>
      <c r="I126" s="34" t="str">
        <f t="array" aca="1" ref="I126" ca="1">IF(ISERROR(OFFSET(#REF!,SMALL(IF(#REF!=RM시즌체크판!C126,ROW(#REF!)-20),2),)),"",(OFFSET(#REF!,SMALL(IF(#REF!=RM시즌체크판!C126,ROW(#REF!)-20),2),)))</f>
        <v/>
      </c>
      <c r="J126" s="34" t="str">
        <f t="array" aca="1" ref="J126" ca="1">IF(ISERROR(OFFSET(#REF!,SMALL(IF(#REF!=RM시즌체크판!C126,ROW(#REF!)-20),3),)),"",(OFFSET(#REF!,SMALL(IF(#REF!=RM시즌체크판!C126,ROW(#REF!)-20),3),)))</f>
        <v/>
      </c>
      <c r="K126" s="34" t="str">
        <f t="array" aca="1" ref="K126" ca="1">IF(ISERROR(OFFSET(#REF!,SMALL(IF(#REF!=RM시즌체크판!C126,ROW(#REF!)-20),4),)),"",(OFFSET(#REF!,SMALL(IF(#REF!=RM시즌체크판!C126,ROW(#REF!)-20),4),)))</f>
        <v/>
      </c>
      <c r="L126" s="34" t="str">
        <f t="array" aca="1" ref="L126" ca="1">IF(ISERROR(OFFSET(#REF!,SMALL(IF(#REF!=RM시즌체크판!C126,ROW(#REF!)-20),5),)),"",(OFFSET(#REF!,SMALL(IF(#REF!=RM시즌체크판!C126,ROW(#REF!)-20),5),)))</f>
        <v/>
      </c>
      <c r="M126" s="35" t="str">
        <f t="array" aca="1" ref="M126" ca="1">IF(ISERROR(OFFSET(#REF!,SMALL(IF(#REF!=RM시즌체크판!C126,ROW(#REF!)-20),6),)),"",(OFFSET(#REF!,SMALL(IF(#REF!=RM시즌체크판!C126,ROW(#REF!)-20),6),)))</f>
        <v/>
      </c>
      <c r="N126" s="27" t="str">
        <f>IF(ISERROR(VLOOKUP(C126,모델촬영리스트!$C:$E,3,)),"",(VLOOKUP(C126,모델촬영리스트!$C:$E,3,)))</f>
        <v/>
      </c>
      <c r="O126" s="23" t="str">
        <f>IF(ISERROR(VLOOKUP(C126,배너촬영리스트!$C:$E,3,)),"",(VLOOKUP(C126,배너촬영리스트!$C:$E,3,)))</f>
        <v/>
      </c>
      <c r="P126" s="36" t="str">
        <f>IF(ISERROR(VLOOKUP(C126,배너촬영리스트!$C:$E,2,)),"",(VLOOKUP(C126,배너촬영리스트!$C:$E,2,)))</f>
        <v/>
      </c>
    </row>
    <row r="127" spans="2:16">
      <c r="B127" s="20" t="str">
        <f t="shared" si="2"/>
        <v>RM</v>
      </c>
      <c r="C127" s="11" t="s">
        <v>262</v>
      </c>
      <c r="D127" s="12" t="e">
        <f>VLOOKUP(C127,#REF!,2,0)</f>
        <v>#REF!</v>
      </c>
      <c r="E127" s="10" t="e">
        <f>VLOOKUP(C127,#REF!,4,0)</f>
        <v>#REF!</v>
      </c>
      <c r="F127" s="37" t="e">
        <f>VLOOKUP(C127,#REF!,8,0)</f>
        <v>#REF!</v>
      </c>
      <c r="G127" s="22" t="str">
        <f>IF(ISERROR(IF(VLOOKUP(C127,#REF!,2,0)&gt;0,"등록","")),"",(IF(VLOOKUP(C127,#REF!,2,0)&gt;0,"등록","")))</f>
        <v/>
      </c>
      <c r="H127" s="33" t="str">
        <f t="array" aca="1" ref="H127" ca="1">IF(ISERROR(OFFSET(#REF!,SMALL(IF(#REF!=RM시즌체크판!C127,ROW(#REF!)-20),1),)),"",(OFFSET(#REF!,SMALL(IF(#REF!=RM시즌체크판!C127,ROW(#REF!)-20),1),)))</f>
        <v/>
      </c>
      <c r="I127" s="34" t="str">
        <f t="array" aca="1" ref="I127" ca="1">IF(ISERROR(OFFSET(#REF!,SMALL(IF(#REF!=RM시즌체크판!C127,ROW(#REF!)-20),2),)),"",(OFFSET(#REF!,SMALL(IF(#REF!=RM시즌체크판!C127,ROW(#REF!)-20),2),)))</f>
        <v/>
      </c>
      <c r="J127" s="34" t="str">
        <f t="array" aca="1" ref="J127" ca="1">IF(ISERROR(OFFSET(#REF!,SMALL(IF(#REF!=RM시즌체크판!C127,ROW(#REF!)-20),3),)),"",(OFFSET(#REF!,SMALL(IF(#REF!=RM시즌체크판!C127,ROW(#REF!)-20),3),)))</f>
        <v/>
      </c>
      <c r="K127" s="34" t="str">
        <f t="array" aca="1" ref="K127" ca="1">IF(ISERROR(OFFSET(#REF!,SMALL(IF(#REF!=RM시즌체크판!C127,ROW(#REF!)-20),4),)),"",(OFFSET(#REF!,SMALL(IF(#REF!=RM시즌체크판!C127,ROW(#REF!)-20),4),)))</f>
        <v/>
      </c>
      <c r="L127" s="34" t="str">
        <f t="array" aca="1" ref="L127" ca="1">IF(ISERROR(OFFSET(#REF!,SMALL(IF(#REF!=RM시즌체크판!C127,ROW(#REF!)-20),5),)),"",(OFFSET(#REF!,SMALL(IF(#REF!=RM시즌체크판!C127,ROW(#REF!)-20),5),)))</f>
        <v/>
      </c>
      <c r="M127" s="35" t="str">
        <f t="array" aca="1" ref="M127" ca="1">IF(ISERROR(OFFSET(#REF!,SMALL(IF(#REF!=RM시즌체크판!C127,ROW(#REF!)-20),6),)),"",(OFFSET(#REF!,SMALL(IF(#REF!=RM시즌체크판!C127,ROW(#REF!)-20),6),)))</f>
        <v/>
      </c>
      <c r="N127" s="27" t="str">
        <f>IF(ISERROR(VLOOKUP(C127,모델촬영리스트!$C:$E,3,)),"",(VLOOKUP(C127,모델촬영리스트!$C:$E,3,)))</f>
        <v/>
      </c>
      <c r="O127" s="23" t="str">
        <f>IF(ISERROR(VLOOKUP(C127,배너촬영리스트!$C:$E,3,)),"",(VLOOKUP(C127,배너촬영리스트!$C:$E,3,)))</f>
        <v/>
      </c>
      <c r="P127" s="36" t="str">
        <f>IF(ISERROR(VLOOKUP(C127,배너촬영리스트!$C:$E,2,)),"",(VLOOKUP(C127,배너촬영리스트!$C:$E,2,)))</f>
        <v/>
      </c>
    </row>
    <row r="128" spans="2:16">
      <c r="B128" s="20" t="str">
        <f t="shared" si="2"/>
        <v>RM</v>
      </c>
      <c r="C128" s="11" t="s">
        <v>263</v>
      </c>
      <c r="D128" s="12" t="e">
        <f>VLOOKUP(C128,#REF!,2,0)</f>
        <v>#REF!</v>
      </c>
      <c r="E128" s="10" t="e">
        <f>VLOOKUP(C128,#REF!,4,0)</f>
        <v>#REF!</v>
      </c>
      <c r="F128" s="37" t="e">
        <f>VLOOKUP(C128,#REF!,8,0)</f>
        <v>#REF!</v>
      </c>
      <c r="G128" s="22" t="str">
        <f>IF(ISERROR(IF(VLOOKUP(C128,#REF!,2,0)&gt;0,"등록","")),"",(IF(VLOOKUP(C128,#REF!,2,0)&gt;0,"등록","")))</f>
        <v/>
      </c>
      <c r="H128" s="33" t="str">
        <f t="array" aca="1" ref="H128" ca="1">IF(ISERROR(OFFSET(#REF!,SMALL(IF(#REF!=RM시즌체크판!C128,ROW(#REF!)-20),1),)),"",(OFFSET(#REF!,SMALL(IF(#REF!=RM시즌체크판!C128,ROW(#REF!)-20),1),)))</f>
        <v/>
      </c>
      <c r="I128" s="34" t="str">
        <f t="array" aca="1" ref="I128" ca="1">IF(ISERROR(OFFSET(#REF!,SMALL(IF(#REF!=RM시즌체크판!C128,ROW(#REF!)-20),2),)),"",(OFFSET(#REF!,SMALL(IF(#REF!=RM시즌체크판!C128,ROW(#REF!)-20),2),)))</f>
        <v/>
      </c>
      <c r="J128" s="34" t="str">
        <f t="array" aca="1" ref="J128" ca="1">IF(ISERROR(OFFSET(#REF!,SMALL(IF(#REF!=RM시즌체크판!C128,ROW(#REF!)-20),3),)),"",(OFFSET(#REF!,SMALL(IF(#REF!=RM시즌체크판!C128,ROW(#REF!)-20),3),)))</f>
        <v/>
      </c>
      <c r="K128" s="34" t="str">
        <f t="array" aca="1" ref="K128" ca="1">IF(ISERROR(OFFSET(#REF!,SMALL(IF(#REF!=RM시즌체크판!C128,ROW(#REF!)-20),4),)),"",(OFFSET(#REF!,SMALL(IF(#REF!=RM시즌체크판!C128,ROW(#REF!)-20),4),)))</f>
        <v/>
      </c>
      <c r="L128" s="34" t="str">
        <f t="array" aca="1" ref="L128" ca="1">IF(ISERROR(OFFSET(#REF!,SMALL(IF(#REF!=RM시즌체크판!C128,ROW(#REF!)-20),5),)),"",(OFFSET(#REF!,SMALL(IF(#REF!=RM시즌체크판!C128,ROW(#REF!)-20),5),)))</f>
        <v/>
      </c>
      <c r="M128" s="35" t="str">
        <f t="array" aca="1" ref="M128" ca="1">IF(ISERROR(OFFSET(#REF!,SMALL(IF(#REF!=RM시즌체크판!C128,ROW(#REF!)-20),6),)),"",(OFFSET(#REF!,SMALL(IF(#REF!=RM시즌체크판!C128,ROW(#REF!)-20),6),)))</f>
        <v/>
      </c>
      <c r="N128" s="27" t="str">
        <f>IF(ISERROR(VLOOKUP(C128,모델촬영리스트!$C:$E,3,)),"",(VLOOKUP(C128,모델촬영리스트!$C:$E,3,)))</f>
        <v/>
      </c>
      <c r="O128" s="23" t="str">
        <f>IF(ISERROR(VLOOKUP(C128,배너촬영리스트!$C:$E,3,)),"",(VLOOKUP(C128,배너촬영리스트!$C:$E,3,)))</f>
        <v/>
      </c>
      <c r="P128" s="36" t="str">
        <f>IF(ISERROR(VLOOKUP(C128,배너촬영리스트!$C:$E,2,)),"",(VLOOKUP(C128,배너촬영리스트!$C:$E,2,)))</f>
        <v/>
      </c>
    </row>
    <row r="129" spans="2:16">
      <c r="B129" s="20" t="str">
        <f t="shared" si="2"/>
        <v>RM</v>
      </c>
      <c r="C129" s="11" t="s">
        <v>287</v>
      </c>
      <c r="D129" s="12" t="e">
        <f>VLOOKUP(C129,#REF!,2,0)</f>
        <v>#REF!</v>
      </c>
      <c r="E129" s="10" t="e">
        <f>VLOOKUP(C129,#REF!,4,0)</f>
        <v>#REF!</v>
      </c>
      <c r="F129" s="37" t="e">
        <f>VLOOKUP(C129,#REF!,8,0)</f>
        <v>#REF!</v>
      </c>
      <c r="G129" s="22" t="str">
        <f>IF(ISERROR(IF(VLOOKUP(C129,#REF!,2,0)&gt;0,"등록","")),"",(IF(VLOOKUP(C129,#REF!,2,0)&gt;0,"등록","")))</f>
        <v/>
      </c>
      <c r="H129" s="33" t="str">
        <f t="array" aca="1" ref="H129" ca="1">IF(ISERROR(OFFSET(#REF!,SMALL(IF(#REF!=RM시즌체크판!C129,ROW(#REF!)-20),1),)),"",(OFFSET(#REF!,SMALL(IF(#REF!=RM시즌체크판!C129,ROW(#REF!)-20),1),)))</f>
        <v/>
      </c>
      <c r="I129" s="34" t="str">
        <f t="array" aca="1" ref="I129" ca="1">IF(ISERROR(OFFSET(#REF!,SMALL(IF(#REF!=RM시즌체크판!C129,ROW(#REF!)-20),2),)),"",(OFFSET(#REF!,SMALL(IF(#REF!=RM시즌체크판!C129,ROW(#REF!)-20),2),)))</f>
        <v/>
      </c>
      <c r="J129" s="34" t="str">
        <f t="array" aca="1" ref="J129" ca="1">IF(ISERROR(OFFSET(#REF!,SMALL(IF(#REF!=RM시즌체크판!C129,ROW(#REF!)-20),3),)),"",(OFFSET(#REF!,SMALL(IF(#REF!=RM시즌체크판!C129,ROW(#REF!)-20),3),)))</f>
        <v/>
      </c>
      <c r="K129" s="34" t="str">
        <f t="array" aca="1" ref="K129" ca="1">IF(ISERROR(OFFSET(#REF!,SMALL(IF(#REF!=RM시즌체크판!C129,ROW(#REF!)-20),4),)),"",(OFFSET(#REF!,SMALL(IF(#REF!=RM시즌체크판!C129,ROW(#REF!)-20),4),)))</f>
        <v/>
      </c>
      <c r="L129" s="34" t="str">
        <f t="array" aca="1" ref="L129" ca="1">IF(ISERROR(OFFSET(#REF!,SMALL(IF(#REF!=RM시즌체크판!C129,ROW(#REF!)-20),5),)),"",(OFFSET(#REF!,SMALL(IF(#REF!=RM시즌체크판!C129,ROW(#REF!)-20),5),)))</f>
        <v/>
      </c>
      <c r="M129" s="35" t="str">
        <f t="array" aca="1" ref="M129" ca="1">IF(ISERROR(OFFSET(#REF!,SMALL(IF(#REF!=RM시즌체크판!C129,ROW(#REF!)-20),6),)),"",(OFFSET(#REF!,SMALL(IF(#REF!=RM시즌체크판!C129,ROW(#REF!)-20),6),)))</f>
        <v/>
      </c>
      <c r="N129" s="27" t="str">
        <f>IF(ISERROR(VLOOKUP(C129,모델촬영리스트!$C:$E,3,)),"",(VLOOKUP(C129,모델촬영리스트!$C:$E,3,)))</f>
        <v/>
      </c>
      <c r="O129" s="23" t="str">
        <f>IF(ISERROR(VLOOKUP(C129,배너촬영리스트!$C:$E,3,)),"",(VLOOKUP(C129,배너촬영리스트!$C:$E,3,)))</f>
        <v/>
      </c>
      <c r="P129" s="36" t="str">
        <f>IF(ISERROR(VLOOKUP(C129,배너촬영리스트!$C:$E,2,)),"",(VLOOKUP(C129,배너촬영리스트!$C:$E,2,)))</f>
        <v/>
      </c>
    </row>
    <row r="130" spans="2:16">
      <c r="B130" s="20" t="str">
        <f t="shared" si="2"/>
        <v>RM</v>
      </c>
      <c r="C130" s="11" t="s">
        <v>288</v>
      </c>
      <c r="D130" s="12" t="e">
        <f>VLOOKUP(C130,#REF!,2,0)</f>
        <v>#REF!</v>
      </c>
      <c r="E130" s="10" t="e">
        <f>VLOOKUP(C130,#REF!,4,0)</f>
        <v>#REF!</v>
      </c>
      <c r="F130" s="37" t="e">
        <f>VLOOKUP(C130,#REF!,8,0)</f>
        <v>#REF!</v>
      </c>
      <c r="G130" s="22" t="str">
        <f>IF(ISERROR(IF(VLOOKUP(C130,#REF!,2,0)&gt;0,"등록","")),"",(IF(VLOOKUP(C130,#REF!,2,0)&gt;0,"등록","")))</f>
        <v/>
      </c>
      <c r="H130" s="33" t="str">
        <f t="array" aca="1" ref="H130" ca="1">IF(ISERROR(OFFSET(#REF!,SMALL(IF(#REF!=RM시즌체크판!C130,ROW(#REF!)-20),1),)),"",(OFFSET(#REF!,SMALL(IF(#REF!=RM시즌체크판!C130,ROW(#REF!)-20),1),)))</f>
        <v/>
      </c>
      <c r="I130" s="34" t="str">
        <f t="array" aca="1" ref="I130" ca="1">IF(ISERROR(OFFSET(#REF!,SMALL(IF(#REF!=RM시즌체크판!C130,ROW(#REF!)-20),2),)),"",(OFFSET(#REF!,SMALL(IF(#REF!=RM시즌체크판!C130,ROW(#REF!)-20),2),)))</f>
        <v/>
      </c>
      <c r="J130" s="34" t="str">
        <f t="array" aca="1" ref="J130" ca="1">IF(ISERROR(OFFSET(#REF!,SMALL(IF(#REF!=RM시즌체크판!C130,ROW(#REF!)-20),3),)),"",(OFFSET(#REF!,SMALL(IF(#REF!=RM시즌체크판!C130,ROW(#REF!)-20),3),)))</f>
        <v/>
      </c>
      <c r="K130" s="34" t="str">
        <f t="array" aca="1" ref="K130" ca="1">IF(ISERROR(OFFSET(#REF!,SMALL(IF(#REF!=RM시즌체크판!C130,ROW(#REF!)-20),4),)),"",(OFFSET(#REF!,SMALL(IF(#REF!=RM시즌체크판!C130,ROW(#REF!)-20),4),)))</f>
        <v/>
      </c>
      <c r="L130" s="34" t="str">
        <f t="array" aca="1" ref="L130" ca="1">IF(ISERROR(OFFSET(#REF!,SMALL(IF(#REF!=RM시즌체크판!C130,ROW(#REF!)-20),5),)),"",(OFFSET(#REF!,SMALL(IF(#REF!=RM시즌체크판!C130,ROW(#REF!)-20),5),)))</f>
        <v/>
      </c>
      <c r="M130" s="35" t="str">
        <f t="array" aca="1" ref="M130" ca="1">IF(ISERROR(OFFSET(#REF!,SMALL(IF(#REF!=RM시즌체크판!C130,ROW(#REF!)-20),6),)),"",(OFFSET(#REF!,SMALL(IF(#REF!=RM시즌체크판!C130,ROW(#REF!)-20),6),)))</f>
        <v/>
      </c>
      <c r="N130" s="27" t="str">
        <f>IF(ISERROR(VLOOKUP(C130,모델촬영리스트!$C:$E,3,)),"",(VLOOKUP(C130,모델촬영리스트!$C:$E,3,)))</f>
        <v/>
      </c>
      <c r="O130" s="23" t="str">
        <f>IF(ISERROR(VLOOKUP(C130,배너촬영리스트!$C:$E,3,)),"",(VLOOKUP(C130,배너촬영리스트!$C:$E,3,)))</f>
        <v/>
      </c>
      <c r="P130" s="36" t="str">
        <f>IF(ISERROR(VLOOKUP(C130,배너촬영리스트!$C:$E,2,)),"",(VLOOKUP(C130,배너촬영리스트!$C:$E,2,)))</f>
        <v/>
      </c>
    </row>
    <row r="131" spans="2:16">
      <c r="B131" s="20" t="str">
        <f t="shared" si="2"/>
        <v>RM</v>
      </c>
      <c r="C131" s="11" t="s">
        <v>289</v>
      </c>
      <c r="D131" s="12" t="e">
        <f>VLOOKUP(C131,#REF!,2,0)</f>
        <v>#REF!</v>
      </c>
      <c r="E131" s="10" t="e">
        <f>VLOOKUP(C131,#REF!,4,0)</f>
        <v>#REF!</v>
      </c>
      <c r="F131" s="37" t="e">
        <f>VLOOKUP(C131,#REF!,8,0)</f>
        <v>#REF!</v>
      </c>
      <c r="G131" s="22" t="str">
        <f>IF(ISERROR(IF(VLOOKUP(C131,#REF!,2,0)&gt;0,"등록","")),"",(IF(VLOOKUP(C131,#REF!,2,0)&gt;0,"등록","")))</f>
        <v/>
      </c>
      <c r="H131" s="33" t="str">
        <f t="array" aca="1" ref="H131" ca="1">IF(ISERROR(OFFSET(#REF!,SMALL(IF(#REF!=RM시즌체크판!C131,ROW(#REF!)-20),1),)),"",(OFFSET(#REF!,SMALL(IF(#REF!=RM시즌체크판!C131,ROW(#REF!)-20),1),)))</f>
        <v/>
      </c>
      <c r="I131" s="34" t="str">
        <f t="array" aca="1" ref="I131" ca="1">IF(ISERROR(OFFSET(#REF!,SMALL(IF(#REF!=RM시즌체크판!C131,ROW(#REF!)-20),2),)),"",(OFFSET(#REF!,SMALL(IF(#REF!=RM시즌체크판!C131,ROW(#REF!)-20),2),)))</f>
        <v/>
      </c>
      <c r="J131" s="34" t="str">
        <f t="array" aca="1" ref="J131" ca="1">IF(ISERROR(OFFSET(#REF!,SMALL(IF(#REF!=RM시즌체크판!C131,ROW(#REF!)-20),3),)),"",(OFFSET(#REF!,SMALL(IF(#REF!=RM시즌체크판!C131,ROW(#REF!)-20),3),)))</f>
        <v/>
      </c>
      <c r="K131" s="34" t="str">
        <f t="array" aca="1" ref="K131" ca="1">IF(ISERROR(OFFSET(#REF!,SMALL(IF(#REF!=RM시즌체크판!C131,ROW(#REF!)-20),4),)),"",(OFFSET(#REF!,SMALL(IF(#REF!=RM시즌체크판!C131,ROW(#REF!)-20),4),)))</f>
        <v/>
      </c>
      <c r="L131" s="34" t="str">
        <f t="array" aca="1" ref="L131" ca="1">IF(ISERROR(OFFSET(#REF!,SMALL(IF(#REF!=RM시즌체크판!C131,ROW(#REF!)-20),5),)),"",(OFFSET(#REF!,SMALL(IF(#REF!=RM시즌체크판!C131,ROW(#REF!)-20),5),)))</f>
        <v/>
      </c>
      <c r="M131" s="35" t="str">
        <f t="array" aca="1" ref="M131" ca="1">IF(ISERROR(OFFSET(#REF!,SMALL(IF(#REF!=RM시즌체크판!C131,ROW(#REF!)-20),6),)),"",(OFFSET(#REF!,SMALL(IF(#REF!=RM시즌체크판!C131,ROW(#REF!)-20),6),)))</f>
        <v/>
      </c>
      <c r="N131" s="27" t="str">
        <f>IF(ISERROR(VLOOKUP(C131,모델촬영리스트!$C:$E,3,)),"",(VLOOKUP(C131,모델촬영리스트!$C:$E,3,)))</f>
        <v/>
      </c>
      <c r="O131" s="23" t="str">
        <f>IF(ISERROR(VLOOKUP(C131,배너촬영리스트!$C:$E,3,)),"",(VLOOKUP(C131,배너촬영리스트!$C:$E,3,)))</f>
        <v/>
      </c>
      <c r="P131" s="36" t="str">
        <f>IF(ISERROR(VLOOKUP(C131,배너촬영리스트!$C:$E,2,)),"",(VLOOKUP(C131,배너촬영리스트!$C:$E,2,)))</f>
        <v/>
      </c>
    </row>
    <row r="132" spans="2:16">
      <c r="B132" s="20" t="str">
        <f t="shared" si="2"/>
        <v>RM</v>
      </c>
      <c r="C132" s="11" t="s">
        <v>293</v>
      </c>
      <c r="D132" s="12" t="e">
        <f>VLOOKUP(C132,#REF!,2,0)</f>
        <v>#REF!</v>
      </c>
      <c r="E132" s="10" t="e">
        <f>VLOOKUP(C132,#REF!,4,0)</f>
        <v>#REF!</v>
      </c>
      <c r="F132" s="37" t="e">
        <f>VLOOKUP(C132,#REF!,8,0)</f>
        <v>#REF!</v>
      </c>
      <c r="G132" s="22" t="str">
        <f>IF(ISERROR(IF(VLOOKUP(C132,#REF!,2,0)&gt;0,"등록","")),"",(IF(VLOOKUP(C132,#REF!,2,0)&gt;0,"등록","")))</f>
        <v/>
      </c>
      <c r="H132" s="33" t="str">
        <f t="array" aca="1" ref="H132" ca="1">IF(ISERROR(OFFSET(#REF!,SMALL(IF(#REF!=RM시즌체크판!C132,ROW(#REF!)-20),1),)),"",(OFFSET(#REF!,SMALL(IF(#REF!=RM시즌체크판!C132,ROW(#REF!)-20),1),)))</f>
        <v/>
      </c>
      <c r="I132" s="34" t="str">
        <f t="array" aca="1" ref="I132" ca="1">IF(ISERROR(OFFSET(#REF!,SMALL(IF(#REF!=RM시즌체크판!C132,ROW(#REF!)-20),2),)),"",(OFFSET(#REF!,SMALL(IF(#REF!=RM시즌체크판!C132,ROW(#REF!)-20),2),)))</f>
        <v/>
      </c>
      <c r="J132" s="34" t="str">
        <f t="array" aca="1" ref="J132" ca="1">IF(ISERROR(OFFSET(#REF!,SMALL(IF(#REF!=RM시즌체크판!C132,ROW(#REF!)-20),3),)),"",(OFFSET(#REF!,SMALL(IF(#REF!=RM시즌체크판!C132,ROW(#REF!)-20),3),)))</f>
        <v/>
      </c>
      <c r="K132" s="34" t="str">
        <f t="array" aca="1" ref="K132" ca="1">IF(ISERROR(OFFSET(#REF!,SMALL(IF(#REF!=RM시즌체크판!C132,ROW(#REF!)-20),4),)),"",(OFFSET(#REF!,SMALL(IF(#REF!=RM시즌체크판!C132,ROW(#REF!)-20),4),)))</f>
        <v/>
      </c>
      <c r="L132" s="34" t="str">
        <f t="array" aca="1" ref="L132" ca="1">IF(ISERROR(OFFSET(#REF!,SMALL(IF(#REF!=RM시즌체크판!C132,ROW(#REF!)-20),5),)),"",(OFFSET(#REF!,SMALL(IF(#REF!=RM시즌체크판!C132,ROW(#REF!)-20),5),)))</f>
        <v/>
      </c>
      <c r="M132" s="35" t="str">
        <f t="array" aca="1" ref="M132" ca="1">IF(ISERROR(OFFSET(#REF!,SMALL(IF(#REF!=RM시즌체크판!C132,ROW(#REF!)-20),6),)),"",(OFFSET(#REF!,SMALL(IF(#REF!=RM시즌체크판!C132,ROW(#REF!)-20),6),)))</f>
        <v/>
      </c>
      <c r="N132" s="27" t="str">
        <f>IF(ISERROR(VLOOKUP(C132,모델촬영리스트!$C:$E,3,)),"",(VLOOKUP(C132,모델촬영리스트!$C:$E,3,)))</f>
        <v/>
      </c>
      <c r="O132" s="23" t="str">
        <f>IF(ISERROR(VLOOKUP(C132,배너촬영리스트!$C:$E,3,)),"",(VLOOKUP(C132,배너촬영리스트!$C:$E,3,)))</f>
        <v/>
      </c>
      <c r="P132" s="36" t="str">
        <f>IF(ISERROR(VLOOKUP(C132,배너촬영리스트!$C:$E,2,)),"",(VLOOKUP(C132,배너촬영리스트!$C:$E,2,)))</f>
        <v/>
      </c>
    </row>
    <row r="133" spans="2:16">
      <c r="B133" s="20" t="str">
        <f t="shared" si="2"/>
        <v>RM</v>
      </c>
      <c r="C133" s="11" t="s">
        <v>294</v>
      </c>
      <c r="D133" s="12" t="e">
        <f>VLOOKUP(C133,#REF!,2,0)</f>
        <v>#REF!</v>
      </c>
      <c r="E133" s="10" t="e">
        <f>VLOOKUP(C133,#REF!,4,0)</f>
        <v>#REF!</v>
      </c>
      <c r="F133" s="37" t="e">
        <f>VLOOKUP(C133,#REF!,8,0)</f>
        <v>#REF!</v>
      </c>
      <c r="G133" s="22" t="str">
        <f>IF(ISERROR(IF(VLOOKUP(C133,#REF!,2,0)&gt;0,"등록","")),"",(IF(VLOOKUP(C133,#REF!,2,0)&gt;0,"등록","")))</f>
        <v/>
      </c>
      <c r="H133" s="33" t="str">
        <f t="array" aca="1" ref="H133" ca="1">IF(ISERROR(OFFSET(#REF!,SMALL(IF(#REF!=RM시즌체크판!C133,ROW(#REF!)-20),1),)),"",(OFFSET(#REF!,SMALL(IF(#REF!=RM시즌체크판!C133,ROW(#REF!)-20),1),)))</f>
        <v/>
      </c>
      <c r="I133" s="34" t="str">
        <f t="array" aca="1" ref="I133" ca="1">IF(ISERROR(OFFSET(#REF!,SMALL(IF(#REF!=RM시즌체크판!C133,ROW(#REF!)-20),2),)),"",(OFFSET(#REF!,SMALL(IF(#REF!=RM시즌체크판!C133,ROW(#REF!)-20),2),)))</f>
        <v/>
      </c>
      <c r="J133" s="34" t="str">
        <f t="array" aca="1" ref="J133" ca="1">IF(ISERROR(OFFSET(#REF!,SMALL(IF(#REF!=RM시즌체크판!C133,ROW(#REF!)-20),3),)),"",(OFFSET(#REF!,SMALL(IF(#REF!=RM시즌체크판!C133,ROW(#REF!)-20),3),)))</f>
        <v/>
      </c>
      <c r="K133" s="34" t="str">
        <f t="array" aca="1" ref="K133" ca="1">IF(ISERROR(OFFSET(#REF!,SMALL(IF(#REF!=RM시즌체크판!C133,ROW(#REF!)-20),4),)),"",(OFFSET(#REF!,SMALL(IF(#REF!=RM시즌체크판!C133,ROW(#REF!)-20),4),)))</f>
        <v/>
      </c>
      <c r="L133" s="34" t="str">
        <f t="array" aca="1" ref="L133" ca="1">IF(ISERROR(OFFSET(#REF!,SMALL(IF(#REF!=RM시즌체크판!C133,ROW(#REF!)-20),5),)),"",(OFFSET(#REF!,SMALL(IF(#REF!=RM시즌체크판!C133,ROW(#REF!)-20),5),)))</f>
        <v/>
      </c>
      <c r="M133" s="35" t="str">
        <f t="array" aca="1" ref="M133" ca="1">IF(ISERROR(OFFSET(#REF!,SMALL(IF(#REF!=RM시즌체크판!C133,ROW(#REF!)-20),6),)),"",(OFFSET(#REF!,SMALL(IF(#REF!=RM시즌체크판!C133,ROW(#REF!)-20),6),)))</f>
        <v/>
      </c>
      <c r="N133" s="27" t="str">
        <f>IF(ISERROR(VLOOKUP(C133,모델촬영리스트!$C:$E,3,)),"",(VLOOKUP(C133,모델촬영리스트!$C:$E,3,)))</f>
        <v/>
      </c>
      <c r="O133" s="23" t="str">
        <f>IF(ISERROR(VLOOKUP(C133,배너촬영리스트!$C:$E,3,)),"",(VLOOKUP(C133,배너촬영리스트!$C:$E,3,)))</f>
        <v/>
      </c>
      <c r="P133" s="36" t="str">
        <f>IF(ISERROR(VLOOKUP(C133,배너촬영리스트!$C:$E,2,)),"",(VLOOKUP(C133,배너촬영리스트!$C:$E,2,)))</f>
        <v/>
      </c>
    </row>
    <row r="134" spans="2:16">
      <c r="B134" s="20" t="str">
        <f t="shared" si="2"/>
        <v>RM</v>
      </c>
      <c r="C134" s="11" t="s">
        <v>295</v>
      </c>
      <c r="D134" s="12" t="e">
        <f>VLOOKUP(C134,#REF!,2,0)</f>
        <v>#REF!</v>
      </c>
      <c r="E134" s="10" t="e">
        <f>VLOOKUP(C134,#REF!,4,0)</f>
        <v>#REF!</v>
      </c>
      <c r="F134" s="37" t="e">
        <f>VLOOKUP(C134,#REF!,8,0)</f>
        <v>#REF!</v>
      </c>
      <c r="G134" s="22" t="str">
        <f>IF(ISERROR(IF(VLOOKUP(C134,#REF!,2,0)&gt;0,"등록","")),"",(IF(VLOOKUP(C134,#REF!,2,0)&gt;0,"등록","")))</f>
        <v/>
      </c>
      <c r="H134" s="33" t="str">
        <f t="array" aca="1" ref="H134" ca="1">IF(ISERROR(OFFSET(#REF!,SMALL(IF(#REF!=RM시즌체크판!C134,ROW(#REF!)-20),1),)),"",(OFFSET(#REF!,SMALL(IF(#REF!=RM시즌체크판!C134,ROW(#REF!)-20),1),)))</f>
        <v/>
      </c>
      <c r="I134" s="34" t="str">
        <f t="array" aca="1" ref="I134" ca="1">IF(ISERROR(OFFSET(#REF!,SMALL(IF(#REF!=RM시즌체크판!C134,ROW(#REF!)-20),2),)),"",(OFFSET(#REF!,SMALL(IF(#REF!=RM시즌체크판!C134,ROW(#REF!)-20),2),)))</f>
        <v/>
      </c>
      <c r="J134" s="34" t="str">
        <f t="array" aca="1" ref="J134" ca="1">IF(ISERROR(OFFSET(#REF!,SMALL(IF(#REF!=RM시즌체크판!C134,ROW(#REF!)-20),3),)),"",(OFFSET(#REF!,SMALL(IF(#REF!=RM시즌체크판!C134,ROW(#REF!)-20),3),)))</f>
        <v/>
      </c>
      <c r="K134" s="34" t="str">
        <f t="array" aca="1" ref="K134" ca="1">IF(ISERROR(OFFSET(#REF!,SMALL(IF(#REF!=RM시즌체크판!C134,ROW(#REF!)-20),4),)),"",(OFFSET(#REF!,SMALL(IF(#REF!=RM시즌체크판!C134,ROW(#REF!)-20),4),)))</f>
        <v/>
      </c>
      <c r="L134" s="34" t="str">
        <f t="array" aca="1" ref="L134" ca="1">IF(ISERROR(OFFSET(#REF!,SMALL(IF(#REF!=RM시즌체크판!C134,ROW(#REF!)-20),5),)),"",(OFFSET(#REF!,SMALL(IF(#REF!=RM시즌체크판!C134,ROW(#REF!)-20),5),)))</f>
        <v/>
      </c>
      <c r="M134" s="35" t="str">
        <f t="array" aca="1" ref="M134" ca="1">IF(ISERROR(OFFSET(#REF!,SMALL(IF(#REF!=RM시즌체크판!C134,ROW(#REF!)-20),6),)),"",(OFFSET(#REF!,SMALL(IF(#REF!=RM시즌체크판!C134,ROW(#REF!)-20),6),)))</f>
        <v/>
      </c>
      <c r="N134" s="27" t="str">
        <f>IF(ISERROR(VLOOKUP(C134,모델촬영리스트!$C:$E,3,)),"",(VLOOKUP(C134,모델촬영리스트!$C:$E,3,)))</f>
        <v/>
      </c>
      <c r="O134" s="23" t="str">
        <f>IF(ISERROR(VLOOKUP(C134,배너촬영리스트!$C:$E,3,)),"",(VLOOKUP(C134,배너촬영리스트!$C:$E,3,)))</f>
        <v/>
      </c>
      <c r="P134" s="36" t="str">
        <f>IF(ISERROR(VLOOKUP(C134,배너촬영리스트!$C:$E,2,)),"",(VLOOKUP(C134,배너촬영리스트!$C:$E,2,)))</f>
        <v/>
      </c>
    </row>
    <row r="135" spans="2:16">
      <c r="B135" s="20" t="str">
        <f t="shared" si="2"/>
        <v>RM</v>
      </c>
      <c r="C135" s="11" t="s">
        <v>296</v>
      </c>
      <c r="D135" s="12" t="e">
        <f>VLOOKUP(C135,#REF!,2,0)</f>
        <v>#REF!</v>
      </c>
      <c r="E135" s="10" t="e">
        <f>VLOOKUP(C135,#REF!,4,0)</f>
        <v>#REF!</v>
      </c>
      <c r="F135" s="37" t="e">
        <f>VLOOKUP(C135,#REF!,8,0)</f>
        <v>#REF!</v>
      </c>
      <c r="G135" s="22" t="str">
        <f>IF(ISERROR(IF(VLOOKUP(C135,#REF!,2,0)&gt;0,"등록","")),"",(IF(VLOOKUP(C135,#REF!,2,0)&gt;0,"등록","")))</f>
        <v/>
      </c>
      <c r="H135" s="33" t="str">
        <f t="array" aca="1" ref="H135" ca="1">IF(ISERROR(OFFSET(#REF!,SMALL(IF(#REF!=RM시즌체크판!C135,ROW(#REF!)-20),1),)),"",(OFFSET(#REF!,SMALL(IF(#REF!=RM시즌체크판!C135,ROW(#REF!)-20),1),)))</f>
        <v/>
      </c>
      <c r="I135" s="34" t="str">
        <f t="array" aca="1" ref="I135" ca="1">IF(ISERROR(OFFSET(#REF!,SMALL(IF(#REF!=RM시즌체크판!C135,ROW(#REF!)-20),2),)),"",(OFFSET(#REF!,SMALL(IF(#REF!=RM시즌체크판!C135,ROW(#REF!)-20),2),)))</f>
        <v/>
      </c>
      <c r="J135" s="34" t="str">
        <f t="array" aca="1" ref="J135" ca="1">IF(ISERROR(OFFSET(#REF!,SMALL(IF(#REF!=RM시즌체크판!C135,ROW(#REF!)-20),3),)),"",(OFFSET(#REF!,SMALL(IF(#REF!=RM시즌체크판!C135,ROW(#REF!)-20),3),)))</f>
        <v/>
      </c>
      <c r="K135" s="34" t="str">
        <f t="array" aca="1" ref="K135" ca="1">IF(ISERROR(OFFSET(#REF!,SMALL(IF(#REF!=RM시즌체크판!C135,ROW(#REF!)-20),4),)),"",(OFFSET(#REF!,SMALL(IF(#REF!=RM시즌체크판!C135,ROW(#REF!)-20),4),)))</f>
        <v/>
      </c>
      <c r="L135" s="34" t="str">
        <f t="array" aca="1" ref="L135" ca="1">IF(ISERROR(OFFSET(#REF!,SMALL(IF(#REF!=RM시즌체크판!C135,ROW(#REF!)-20),5),)),"",(OFFSET(#REF!,SMALL(IF(#REF!=RM시즌체크판!C135,ROW(#REF!)-20),5),)))</f>
        <v/>
      </c>
      <c r="M135" s="35" t="str">
        <f t="array" aca="1" ref="M135" ca="1">IF(ISERROR(OFFSET(#REF!,SMALL(IF(#REF!=RM시즌체크판!C135,ROW(#REF!)-20),6),)),"",(OFFSET(#REF!,SMALL(IF(#REF!=RM시즌체크판!C135,ROW(#REF!)-20),6),)))</f>
        <v/>
      </c>
      <c r="N135" s="27" t="str">
        <f>IF(ISERROR(VLOOKUP(C135,모델촬영리스트!$C:$E,3,)),"",(VLOOKUP(C135,모델촬영리스트!$C:$E,3,)))</f>
        <v/>
      </c>
      <c r="O135" s="23" t="str">
        <f>IF(ISERROR(VLOOKUP(C135,배너촬영리스트!$C:$E,3,)),"",(VLOOKUP(C135,배너촬영리스트!$C:$E,3,)))</f>
        <v/>
      </c>
      <c r="P135" s="36" t="str">
        <f>IF(ISERROR(VLOOKUP(C135,배너촬영리스트!$C:$E,2,)),"",(VLOOKUP(C135,배너촬영리스트!$C:$E,2,)))</f>
        <v/>
      </c>
    </row>
    <row r="136" spans="2:16">
      <c r="B136" s="20" t="str">
        <f t="shared" si="2"/>
        <v>RM</v>
      </c>
      <c r="C136" s="11" t="s">
        <v>297</v>
      </c>
      <c r="D136" s="12" t="e">
        <f>VLOOKUP(C136,#REF!,2,0)</f>
        <v>#REF!</v>
      </c>
      <c r="E136" s="10" t="e">
        <f>VLOOKUP(C136,#REF!,4,0)</f>
        <v>#REF!</v>
      </c>
      <c r="F136" s="37" t="e">
        <f>VLOOKUP(C136,#REF!,8,0)</f>
        <v>#REF!</v>
      </c>
      <c r="G136" s="22" t="str">
        <f>IF(ISERROR(IF(VLOOKUP(C136,#REF!,2,0)&gt;0,"등록","")),"",(IF(VLOOKUP(C136,#REF!,2,0)&gt;0,"등록","")))</f>
        <v/>
      </c>
      <c r="H136" s="33" t="str">
        <f t="array" aca="1" ref="H136" ca="1">IF(ISERROR(OFFSET(#REF!,SMALL(IF(#REF!=RM시즌체크판!C136,ROW(#REF!)-20),1),)),"",(OFFSET(#REF!,SMALL(IF(#REF!=RM시즌체크판!C136,ROW(#REF!)-20),1),)))</f>
        <v/>
      </c>
      <c r="I136" s="34" t="str">
        <f t="array" aca="1" ref="I136" ca="1">IF(ISERROR(OFFSET(#REF!,SMALL(IF(#REF!=RM시즌체크판!C136,ROW(#REF!)-20),2),)),"",(OFFSET(#REF!,SMALL(IF(#REF!=RM시즌체크판!C136,ROW(#REF!)-20),2),)))</f>
        <v/>
      </c>
      <c r="J136" s="34" t="str">
        <f t="array" aca="1" ref="J136" ca="1">IF(ISERROR(OFFSET(#REF!,SMALL(IF(#REF!=RM시즌체크판!C136,ROW(#REF!)-20),3),)),"",(OFFSET(#REF!,SMALL(IF(#REF!=RM시즌체크판!C136,ROW(#REF!)-20),3),)))</f>
        <v/>
      </c>
      <c r="K136" s="34" t="str">
        <f t="array" aca="1" ref="K136" ca="1">IF(ISERROR(OFFSET(#REF!,SMALL(IF(#REF!=RM시즌체크판!C136,ROW(#REF!)-20),4),)),"",(OFFSET(#REF!,SMALL(IF(#REF!=RM시즌체크판!C136,ROW(#REF!)-20),4),)))</f>
        <v/>
      </c>
      <c r="L136" s="34" t="str">
        <f t="array" aca="1" ref="L136" ca="1">IF(ISERROR(OFFSET(#REF!,SMALL(IF(#REF!=RM시즌체크판!C136,ROW(#REF!)-20),5),)),"",(OFFSET(#REF!,SMALL(IF(#REF!=RM시즌체크판!C136,ROW(#REF!)-20),5),)))</f>
        <v/>
      </c>
      <c r="M136" s="35" t="str">
        <f t="array" aca="1" ref="M136" ca="1">IF(ISERROR(OFFSET(#REF!,SMALL(IF(#REF!=RM시즌체크판!C136,ROW(#REF!)-20),6),)),"",(OFFSET(#REF!,SMALL(IF(#REF!=RM시즌체크판!C136,ROW(#REF!)-20),6),)))</f>
        <v/>
      </c>
      <c r="N136" s="27" t="str">
        <f>IF(ISERROR(VLOOKUP(C136,모델촬영리스트!$C:$E,3,)),"",(VLOOKUP(C136,모델촬영리스트!$C:$E,3,)))</f>
        <v/>
      </c>
      <c r="O136" s="23" t="str">
        <f>IF(ISERROR(VLOOKUP(C136,배너촬영리스트!$C:$E,3,)),"",(VLOOKUP(C136,배너촬영리스트!$C:$E,3,)))</f>
        <v/>
      </c>
      <c r="P136" s="36" t="str">
        <f>IF(ISERROR(VLOOKUP(C136,배너촬영리스트!$C:$E,2,)),"",(VLOOKUP(C136,배너촬영리스트!$C:$E,2,)))</f>
        <v/>
      </c>
    </row>
    <row r="137" spans="2:16">
      <c r="B137" s="20" t="str">
        <f t="shared" si="2"/>
        <v>RM</v>
      </c>
      <c r="C137" s="11" t="s">
        <v>298</v>
      </c>
      <c r="D137" s="12" t="e">
        <f>VLOOKUP(C137,#REF!,2,0)</f>
        <v>#REF!</v>
      </c>
      <c r="E137" s="10" t="e">
        <f>VLOOKUP(C137,#REF!,4,0)</f>
        <v>#REF!</v>
      </c>
      <c r="F137" s="37" t="e">
        <f>VLOOKUP(C137,#REF!,8,0)</f>
        <v>#REF!</v>
      </c>
      <c r="G137" s="22" t="str">
        <f>IF(ISERROR(IF(VLOOKUP(C137,#REF!,2,0)&gt;0,"등록","")),"",(IF(VLOOKUP(C137,#REF!,2,0)&gt;0,"등록","")))</f>
        <v/>
      </c>
      <c r="H137" s="33" t="str">
        <f t="array" aca="1" ref="H137" ca="1">IF(ISERROR(OFFSET(#REF!,SMALL(IF(#REF!=RM시즌체크판!C137,ROW(#REF!)-20),1),)),"",(OFFSET(#REF!,SMALL(IF(#REF!=RM시즌체크판!C137,ROW(#REF!)-20),1),)))</f>
        <v/>
      </c>
      <c r="I137" s="34" t="str">
        <f t="array" aca="1" ref="I137" ca="1">IF(ISERROR(OFFSET(#REF!,SMALL(IF(#REF!=RM시즌체크판!C137,ROW(#REF!)-20),2),)),"",(OFFSET(#REF!,SMALL(IF(#REF!=RM시즌체크판!C137,ROW(#REF!)-20),2),)))</f>
        <v/>
      </c>
      <c r="J137" s="34" t="str">
        <f t="array" aca="1" ref="J137" ca="1">IF(ISERROR(OFFSET(#REF!,SMALL(IF(#REF!=RM시즌체크판!C137,ROW(#REF!)-20),3),)),"",(OFFSET(#REF!,SMALL(IF(#REF!=RM시즌체크판!C137,ROW(#REF!)-20),3),)))</f>
        <v/>
      </c>
      <c r="K137" s="34" t="str">
        <f t="array" aca="1" ref="K137" ca="1">IF(ISERROR(OFFSET(#REF!,SMALL(IF(#REF!=RM시즌체크판!C137,ROW(#REF!)-20),4),)),"",(OFFSET(#REF!,SMALL(IF(#REF!=RM시즌체크판!C137,ROW(#REF!)-20),4),)))</f>
        <v/>
      </c>
      <c r="L137" s="34" t="str">
        <f t="array" aca="1" ref="L137" ca="1">IF(ISERROR(OFFSET(#REF!,SMALL(IF(#REF!=RM시즌체크판!C137,ROW(#REF!)-20),5),)),"",(OFFSET(#REF!,SMALL(IF(#REF!=RM시즌체크판!C137,ROW(#REF!)-20),5),)))</f>
        <v/>
      </c>
      <c r="M137" s="35" t="str">
        <f t="array" aca="1" ref="M137" ca="1">IF(ISERROR(OFFSET(#REF!,SMALL(IF(#REF!=RM시즌체크판!C137,ROW(#REF!)-20),6),)),"",(OFFSET(#REF!,SMALL(IF(#REF!=RM시즌체크판!C137,ROW(#REF!)-20),6),)))</f>
        <v/>
      </c>
      <c r="N137" s="27" t="str">
        <f>IF(ISERROR(VLOOKUP(C137,모델촬영리스트!$C:$E,3,)),"",(VLOOKUP(C137,모델촬영리스트!$C:$E,3,)))</f>
        <v/>
      </c>
      <c r="O137" s="23" t="str">
        <f>IF(ISERROR(VLOOKUP(C137,배너촬영리스트!$C:$E,3,)),"",(VLOOKUP(C137,배너촬영리스트!$C:$E,3,)))</f>
        <v/>
      </c>
      <c r="P137" s="36" t="str">
        <f>IF(ISERROR(VLOOKUP(C137,배너촬영리스트!$C:$E,2,)),"",(VLOOKUP(C137,배너촬영리스트!$C:$E,2,)))</f>
        <v/>
      </c>
    </row>
    <row r="138" spans="2:16">
      <c r="B138" s="20" t="str">
        <f t="shared" si="2"/>
        <v>RM</v>
      </c>
      <c r="C138" s="11" t="s">
        <v>310</v>
      </c>
      <c r="D138" s="12" t="e">
        <f>VLOOKUP(C138,#REF!,2,0)</f>
        <v>#REF!</v>
      </c>
      <c r="E138" s="10" t="e">
        <f>VLOOKUP(C138,#REF!,4,0)</f>
        <v>#REF!</v>
      </c>
      <c r="F138" s="37" t="e">
        <f>VLOOKUP(C138,#REF!,8,0)</f>
        <v>#REF!</v>
      </c>
      <c r="G138" s="22" t="str">
        <f>IF(ISERROR(IF(VLOOKUP(C138,#REF!,2,0)&gt;0,"등록","")),"",(IF(VLOOKUP(C138,#REF!,2,0)&gt;0,"등록","")))</f>
        <v/>
      </c>
      <c r="H138" s="33" t="str">
        <f t="array" aca="1" ref="H138" ca="1">IF(ISERROR(OFFSET(#REF!,SMALL(IF(#REF!=RM시즌체크판!C138,ROW(#REF!)-20),1),)),"",(OFFSET(#REF!,SMALL(IF(#REF!=RM시즌체크판!C138,ROW(#REF!)-20),1),)))</f>
        <v/>
      </c>
      <c r="I138" s="34" t="str">
        <f t="array" aca="1" ref="I138" ca="1">IF(ISERROR(OFFSET(#REF!,SMALL(IF(#REF!=RM시즌체크판!C138,ROW(#REF!)-20),2),)),"",(OFFSET(#REF!,SMALL(IF(#REF!=RM시즌체크판!C138,ROW(#REF!)-20),2),)))</f>
        <v/>
      </c>
      <c r="J138" s="34" t="str">
        <f t="array" aca="1" ref="J138" ca="1">IF(ISERROR(OFFSET(#REF!,SMALL(IF(#REF!=RM시즌체크판!C138,ROW(#REF!)-20),3),)),"",(OFFSET(#REF!,SMALL(IF(#REF!=RM시즌체크판!C138,ROW(#REF!)-20),3),)))</f>
        <v/>
      </c>
      <c r="K138" s="34" t="str">
        <f t="array" aca="1" ref="K138" ca="1">IF(ISERROR(OFFSET(#REF!,SMALL(IF(#REF!=RM시즌체크판!C138,ROW(#REF!)-20),4),)),"",(OFFSET(#REF!,SMALL(IF(#REF!=RM시즌체크판!C138,ROW(#REF!)-20),4),)))</f>
        <v/>
      </c>
      <c r="L138" s="34" t="str">
        <f t="array" aca="1" ref="L138" ca="1">IF(ISERROR(OFFSET(#REF!,SMALL(IF(#REF!=RM시즌체크판!C138,ROW(#REF!)-20),5),)),"",(OFFSET(#REF!,SMALL(IF(#REF!=RM시즌체크판!C138,ROW(#REF!)-20),5),)))</f>
        <v/>
      </c>
      <c r="M138" s="35" t="str">
        <f t="array" aca="1" ref="M138" ca="1">IF(ISERROR(OFFSET(#REF!,SMALL(IF(#REF!=RM시즌체크판!C138,ROW(#REF!)-20),6),)),"",(OFFSET(#REF!,SMALL(IF(#REF!=RM시즌체크판!C138,ROW(#REF!)-20),6),)))</f>
        <v/>
      </c>
      <c r="N138" s="27" t="str">
        <f>IF(ISERROR(VLOOKUP(C138,모델촬영리스트!$C:$E,3,)),"",(VLOOKUP(C138,모델촬영리스트!$C:$E,3,)))</f>
        <v/>
      </c>
      <c r="O138" s="23" t="str">
        <f>IF(ISERROR(VLOOKUP(C138,배너촬영리스트!$C:$E,3,)),"",(VLOOKUP(C138,배너촬영리스트!$C:$E,3,)))</f>
        <v/>
      </c>
      <c r="P138" s="36" t="str">
        <f>IF(ISERROR(VLOOKUP(C138,배너촬영리스트!$C:$E,2,)),"",(VLOOKUP(C138,배너촬영리스트!$C:$E,2,)))</f>
        <v/>
      </c>
    </row>
    <row r="139" spans="2:16">
      <c r="B139" s="20" t="str">
        <f t="shared" si="2"/>
        <v>RM</v>
      </c>
      <c r="C139" s="11" t="s">
        <v>316</v>
      </c>
      <c r="D139" s="12" t="e">
        <f>VLOOKUP(C139,#REF!,2,0)</f>
        <v>#REF!</v>
      </c>
      <c r="E139" s="10" t="e">
        <f>VLOOKUP(C139,#REF!,4,0)</f>
        <v>#REF!</v>
      </c>
      <c r="F139" s="37" t="e">
        <f>VLOOKUP(C139,#REF!,8,0)</f>
        <v>#REF!</v>
      </c>
      <c r="G139" s="22" t="str">
        <f>IF(ISERROR(IF(VLOOKUP(C139,#REF!,2,0)&gt;0,"등록","")),"",(IF(VLOOKUP(C139,#REF!,2,0)&gt;0,"등록","")))</f>
        <v/>
      </c>
      <c r="H139" s="33" t="str">
        <f t="array" aca="1" ref="H139" ca="1">IF(ISERROR(OFFSET(#REF!,SMALL(IF(#REF!=RM시즌체크판!C139,ROW(#REF!)-20),1),)),"",(OFFSET(#REF!,SMALL(IF(#REF!=RM시즌체크판!C139,ROW(#REF!)-20),1),)))</f>
        <v/>
      </c>
      <c r="I139" s="34" t="str">
        <f t="array" aca="1" ref="I139" ca="1">IF(ISERROR(OFFSET(#REF!,SMALL(IF(#REF!=RM시즌체크판!C139,ROW(#REF!)-20),2),)),"",(OFFSET(#REF!,SMALL(IF(#REF!=RM시즌체크판!C139,ROW(#REF!)-20),2),)))</f>
        <v/>
      </c>
      <c r="J139" s="34" t="str">
        <f t="array" aca="1" ref="J139" ca="1">IF(ISERROR(OFFSET(#REF!,SMALL(IF(#REF!=RM시즌체크판!C139,ROW(#REF!)-20),3),)),"",(OFFSET(#REF!,SMALL(IF(#REF!=RM시즌체크판!C139,ROW(#REF!)-20),3),)))</f>
        <v/>
      </c>
      <c r="K139" s="34" t="str">
        <f t="array" aca="1" ref="K139" ca="1">IF(ISERROR(OFFSET(#REF!,SMALL(IF(#REF!=RM시즌체크판!C139,ROW(#REF!)-20),4),)),"",(OFFSET(#REF!,SMALL(IF(#REF!=RM시즌체크판!C139,ROW(#REF!)-20),4),)))</f>
        <v/>
      </c>
      <c r="L139" s="34" t="str">
        <f t="array" aca="1" ref="L139" ca="1">IF(ISERROR(OFFSET(#REF!,SMALL(IF(#REF!=RM시즌체크판!C139,ROW(#REF!)-20),5),)),"",(OFFSET(#REF!,SMALL(IF(#REF!=RM시즌체크판!C139,ROW(#REF!)-20),5),)))</f>
        <v/>
      </c>
      <c r="M139" s="35" t="str">
        <f t="array" aca="1" ref="M139" ca="1">IF(ISERROR(OFFSET(#REF!,SMALL(IF(#REF!=RM시즌체크판!C139,ROW(#REF!)-20),6),)),"",(OFFSET(#REF!,SMALL(IF(#REF!=RM시즌체크판!C139,ROW(#REF!)-20),6),)))</f>
        <v/>
      </c>
      <c r="N139" s="27" t="str">
        <f>IF(ISERROR(VLOOKUP(C139,모델촬영리스트!$C:$E,3,)),"",(VLOOKUP(C139,모델촬영리스트!$C:$E,3,)))</f>
        <v/>
      </c>
      <c r="O139" s="23" t="str">
        <f>IF(ISERROR(VLOOKUP(C139,배너촬영리스트!$C:$E,3,)),"",(VLOOKUP(C139,배너촬영리스트!$C:$E,3,)))</f>
        <v/>
      </c>
      <c r="P139" s="36" t="str">
        <f>IF(ISERROR(VLOOKUP(C139,배너촬영리스트!$C:$E,2,)),"",(VLOOKUP(C139,배너촬영리스트!$C:$E,2,)))</f>
        <v/>
      </c>
    </row>
    <row r="140" spans="2:16">
      <c r="B140" s="20" t="str">
        <f t="shared" si="2"/>
        <v>RM</v>
      </c>
      <c r="C140" s="11" t="s">
        <v>317</v>
      </c>
      <c r="D140" s="12" t="e">
        <f>VLOOKUP(C140,#REF!,2,0)</f>
        <v>#REF!</v>
      </c>
      <c r="E140" s="10" t="e">
        <f>VLOOKUP(C140,#REF!,4,0)</f>
        <v>#REF!</v>
      </c>
      <c r="F140" s="37" t="e">
        <f>VLOOKUP(C140,#REF!,8,0)</f>
        <v>#REF!</v>
      </c>
      <c r="G140" s="22" t="str">
        <f>IF(ISERROR(IF(VLOOKUP(C140,#REF!,2,0)&gt;0,"등록","")),"",(IF(VLOOKUP(C140,#REF!,2,0)&gt;0,"등록","")))</f>
        <v/>
      </c>
      <c r="H140" s="33" t="str">
        <f t="array" aca="1" ref="H140" ca="1">IF(ISERROR(OFFSET(#REF!,SMALL(IF(#REF!=RM시즌체크판!C140,ROW(#REF!)-20),1),)),"",(OFFSET(#REF!,SMALL(IF(#REF!=RM시즌체크판!C140,ROW(#REF!)-20),1),)))</f>
        <v/>
      </c>
      <c r="I140" s="34" t="str">
        <f t="array" aca="1" ref="I140" ca="1">IF(ISERROR(OFFSET(#REF!,SMALL(IF(#REF!=RM시즌체크판!C140,ROW(#REF!)-20),2),)),"",(OFFSET(#REF!,SMALL(IF(#REF!=RM시즌체크판!C140,ROW(#REF!)-20),2),)))</f>
        <v/>
      </c>
      <c r="J140" s="34" t="str">
        <f t="array" aca="1" ref="J140" ca="1">IF(ISERROR(OFFSET(#REF!,SMALL(IF(#REF!=RM시즌체크판!C140,ROW(#REF!)-20),3),)),"",(OFFSET(#REF!,SMALL(IF(#REF!=RM시즌체크판!C140,ROW(#REF!)-20),3),)))</f>
        <v/>
      </c>
      <c r="K140" s="34" t="str">
        <f t="array" aca="1" ref="K140" ca="1">IF(ISERROR(OFFSET(#REF!,SMALL(IF(#REF!=RM시즌체크판!C140,ROW(#REF!)-20),4),)),"",(OFFSET(#REF!,SMALL(IF(#REF!=RM시즌체크판!C140,ROW(#REF!)-20),4),)))</f>
        <v/>
      </c>
      <c r="L140" s="34" t="str">
        <f t="array" aca="1" ref="L140" ca="1">IF(ISERROR(OFFSET(#REF!,SMALL(IF(#REF!=RM시즌체크판!C140,ROW(#REF!)-20),5),)),"",(OFFSET(#REF!,SMALL(IF(#REF!=RM시즌체크판!C140,ROW(#REF!)-20),5),)))</f>
        <v/>
      </c>
      <c r="M140" s="35" t="str">
        <f t="array" aca="1" ref="M140" ca="1">IF(ISERROR(OFFSET(#REF!,SMALL(IF(#REF!=RM시즌체크판!C140,ROW(#REF!)-20),6),)),"",(OFFSET(#REF!,SMALL(IF(#REF!=RM시즌체크판!C140,ROW(#REF!)-20),6),)))</f>
        <v/>
      </c>
      <c r="N140" s="27" t="str">
        <f>IF(ISERROR(VLOOKUP(C140,모델촬영리스트!$C:$E,3,)),"",(VLOOKUP(C140,모델촬영리스트!$C:$E,3,)))</f>
        <v/>
      </c>
      <c r="O140" s="23" t="str">
        <f>IF(ISERROR(VLOOKUP(C140,배너촬영리스트!$C:$E,3,)),"",(VLOOKUP(C140,배너촬영리스트!$C:$E,3,)))</f>
        <v/>
      </c>
      <c r="P140" s="36" t="str">
        <f>IF(ISERROR(VLOOKUP(C140,배너촬영리스트!$C:$E,2,)),"",(VLOOKUP(C140,배너촬영리스트!$C:$E,2,)))</f>
        <v/>
      </c>
    </row>
    <row r="141" spans="2:16">
      <c r="B141" s="20" t="str">
        <f t="shared" si="2"/>
        <v>RM</v>
      </c>
      <c r="C141" s="11" t="s">
        <v>318</v>
      </c>
      <c r="D141" s="12" t="e">
        <f>VLOOKUP(C141,#REF!,2,0)</f>
        <v>#REF!</v>
      </c>
      <c r="E141" s="10" t="e">
        <f>VLOOKUP(C141,#REF!,4,0)</f>
        <v>#REF!</v>
      </c>
      <c r="F141" s="37" t="e">
        <f>VLOOKUP(C141,#REF!,8,0)</f>
        <v>#REF!</v>
      </c>
      <c r="G141" s="22" t="str">
        <f>IF(ISERROR(IF(VLOOKUP(C141,#REF!,2,0)&gt;0,"등록","")),"",(IF(VLOOKUP(C141,#REF!,2,0)&gt;0,"등록","")))</f>
        <v/>
      </c>
      <c r="H141" s="33" t="str">
        <f t="array" aca="1" ref="H141" ca="1">IF(ISERROR(OFFSET(#REF!,SMALL(IF(#REF!=RM시즌체크판!C141,ROW(#REF!)-20),1),)),"",(OFFSET(#REF!,SMALL(IF(#REF!=RM시즌체크판!C141,ROW(#REF!)-20),1),)))</f>
        <v/>
      </c>
      <c r="I141" s="34" t="str">
        <f t="array" aca="1" ref="I141" ca="1">IF(ISERROR(OFFSET(#REF!,SMALL(IF(#REF!=RM시즌체크판!C141,ROW(#REF!)-20),2),)),"",(OFFSET(#REF!,SMALL(IF(#REF!=RM시즌체크판!C141,ROW(#REF!)-20),2),)))</f>
        <v/>
      </c>
      <c r="J141" s="34" t="str">
        <f t="array" aca="1" ref="J141" ca="1">IF(ISERROR(OFFSET(#REF!,SMALL(IF(#REF!=RM시즌체크판!C141,ROW(#REF!)-20),3),)),"",(OFFSET(#REF!,SMALL(IF(#REF!=RM시즌체크판!C141,ROW(#REF!)-20),3),)))</f>
        <v/>
      </c>
      <c r="K141" s="34" t="str">
        <f t="array" aca="1" ref="K141" ca="1">IF(ISERROR(OFFSET(#REF!,SMALL(IF(#REF!=RM시즌체크판!C141,ROW(#REF!)-20),4),)),"",(OFFSET(#REF!,SMALL(IF(#REF!=RM시즌체크판!C141,ROW(#REF!)-20),4),)))</f>
        <v/>
      </c>
      <c r="L141" s="34" t="str">
        <f t="array" aca="1" ref="L141" ca="1">IF(ISERROR(OFFSET(#REF!,SMALL(IF(#REF!=RM시즌체크판!C141,ROW(#REF!)-20),5),)),"",(OFFSET(#REF!,SMALL(IF(#REF!=RM시즌체크판!C141,ROW(#REF!)-20),5),)))</f>
        <v/>
      </c>
      <c r="M141" s="35" t="str">
        <f t="array" aca="1" ref="M141" ca="1">IF(ISERROR(OFFSET(#REF!,SMALL(IF(#REF!=RM시즌체크판!C141,ROW(#REF!)-20),6),)),"",(OFFSET(#REF!,SMALL(IF(#REF!=RM시즌체크판!C141,ROW(#REF!)-20),6),)))</f>
        <v/>
      </c>
      <c r="N141" s="27" t="str">
        <f>IF(ISERROR(VLOOKUP(C141,모델촬영리스트!$C:$E,3,)),"",(VLOOKUP(C141,모델촬영리스트!$C:$E,3,)))</f>
        <v/>
      </c>
      <c r="O141" s="23" t="str">
        <f>IF(ISERROR(VLOOKUP(C141,배너촬영리스트!$C:$E,3,)),"",(VLOOKUP(C141,배너촬영리스트!$C:$E,3,)))</f>
        <v/>
      </c>
      <c r="P141" s="36" t="str">
        <f>IF(ISERROR(VLOOKUP(C141,배너촬영리스트!$C:$E,2,)),"",(VLOOKUP(C141,배너촬영리스트!$C:$E,2,)))</f>
        <v/>
      </c>
    </row>
    <row r="142" spans="2:16">
      <c r="B142" s="20" t="str">
        <f t="shared" si="2"/>
        <v>RM</v>
      </c>
      <c r="C142" s="11" t="s">
        <v>319</v>
      </c>
      <c r="D142" s="12" t="e">
        <f>VLOOKUP(C142,#REF!,2,0)</f>
        <v>#REF!</v>
      </c>
      <c r="E142" s="10" t="e">
        <f>VLOOKUP(C142,#REF!,4,0)</f>
        <v>#REF!</v>
      </c>
      <c r="F142" s="37" t="e">
        <f>VLOOKUP(C142,#REF!,8,0)</f>
        <v>#REF!</v>
      </c>
      <c r="G142" s="22" t="str">
        <f>IF(ISERROR(IF(VLOOKUP(C142,#REF!,2,0)&gt;0,"등록","")),"",(IF(VLOOKUP(C142,#REF!,2,0)&gt;0,"등록","")))</f>
        <v/>
      </c>
      <c r="H142" s="33" t="str">
        <f t="array" aca="1" ref="H142" ca="1">IF(ISERROR(OFFSET(#REF!,SMALL(IF(#REF!=RM시즌체크판!C142,ROW(#REF!)-20),1),)),"",(OFFSET(#REF!,SMALL(IF(#REF!=RM시즌체크판!C142,ROW(#REF!)-20),1),)))</f>
        <v/>
      </c>
      <c r="I142" s="34" t="str">
        <f t="array" aca="1" ref="I142" ca="1">IF(ISERROR(OFFSET(#REF!,SMALL(IF(#REF!=RM시즌체크판!C142,ROW(#REF!)-20),2),)),"",(OFFSET(#REF!,SMALL(IF(#REF!=RM시즌체크판!C142,ROW(#REF!)-20),2),)))</f>
        <v/>
      </c>
      <c r="J142" s="34" t="str">
        <f t="array" aca="1" ref="J142" ca="1">IF(ISERROR(OFFSET(#REF!,SMALL(IF(#REF!=RM시즌체크판!C142,ROW(#REF!)-20),3),)),"",(OFFSET(#REF!,SMALL(IF(#REF!=RM시즌체크판!C142,ROW(#REF!)-20),3),)))</f>
        <v/>
      </c>
      <c r="K142" s="34" t="str">
        <f t="array" aca="1" ref="K142" ca="1">IF(ISERROR(OFFSET(#REF!,SMALL(IF(#REF!=RM시즌체크판!C142,ROW(#REF!)-20),4),)),"",(OFFSET(#REF!,SMALL(IF(#REF!=RM시즌체크판!C142,ROW(#REF!)-20),4),)))</f>
        <v/>
      </c>
      <c r="L142" s="34" t="str">
        <f t="array" aca="1" ref="L142" ca="1">IF(ISERROR(OFFSET(#REF!,SMALL(IF(#REF!=RM시즌체크판!C142,ROW(#REF!)-20),5),)),"",(OFFSET(#REF!,SMALL(IF(#REF!=RM시즌체크판!C142,ROW(#REF!)-20),5),)))</f>
        <v/>
      </c>
      <c r="M142" s="35" t="str">
        <f t="array" aca="1" ref="M142" ca="1">IF(ISERROR(OFFSET(#REF!,SMALL(IF(#REF!=RM시즌체크판!C142,ROW(#REF!)-20),6),)),"",(OFFSET(#REF!,SMALL(IF(#REF!=RM시즌체크판!C142,ROW(#REF!)-20),6),)))</f>
        <v/>
      </c>
      <c r="N142" s="27" t="str">
        <f>IF(ISERROR(VLOOKUP(C142,모델촬영리스트!$C:$E,3,)),"",(VLOOKUP(C142,모델촬영리스트!$C:$E,3,)))</f>
        <v/>
      </c>
      <c r="O142" s="23" t="str">
        <f>IF(ISERROR(VLOOKUP(C142,배너촬영리스트!$C:$E,3,)),"",(VLOOKUP(C142,배너촬영리스트!$C:$E,3,)))</f>
        <v/>
      </c>
      <c r="P142" s="36" t="str">
        <f>IF(ISERROR(VLOOKUP(C142,배너촬영리스트!$C:$E,2,)),"",(VLOOKUP(C142,배너촬영리스트!$C:$E,2,)))</f>
        <v/>
      </c>
    </row>
    <row r="143" spans="2:16">
      <c r="B143" s="20" t="str">
        <f t="shared" si="2"/>
        <v>RM</v>
      </c>
      <c r="C143" s="11" t="s">
        <v>320</v>
      </c>
      <c r="D143" s="12" t="e">
        <f>VLOOKUP(C143,#REF!,2,0)</f>
        <v>#REF!</v>
      </c>
      <c r="E143" s="10" t="e">
        <f>VLOOKUP(C143,#REF!,4,0)</f>
        <v>#REF!</v>
      </c>
      <c r="F143" s="37" t="e">
        <f>VLOOKUP(C143,#REF!,8,0)</f>
        <v>#REF!</v>
      </c>
      <c r="G143" s="22" t="str">
        <f>IF(ISERROR(IF(VLOOKUP(C143,#REF!,2,0)&gt;0,"등록","")),"",(IF(VLOOKUP(C143,#REF!,2,0)&gt;0,"등록","")))</f>
        <v/>
      </c>
      <c r="H143" s="33" t="str">
        <f t="array" aca="1" ref="H143" ca="1">IF(ISERROR(OFFSET(#REF!,SMALL(IF(#REF!=RM시즌체크판!C143,ROW(#REF!)-20),1),)),"",(OFFSET(#REF!,SMALL(IF(#REF!=RM시즌체크판!C143,ROW(#REF!)-20),1),)))</f>
        <v/>
      </c>
      <c r="I143" s="34" t="str">
        <f t="array" aca="1" ref="I143" ca="1">IF(ISERROR(OFFSET(#REF!,SMALL(IF(#REF!=RM시즌체크판!C143,ROW(#REF!)-20),2),)),"",(OFFSET(#REF!,SMALL(IF(#REF!=RM시즌체크판!C143,ROW(#REF!)-20),2),)))</f>
        <v/>
      </c>
      <c r="J143" s="34" t="str">
        <f t="array" aca="1" ref="J143" ca="1">IF(ISERROR(OFFSET(#REF!,SMALL(IF(#REF!=RM시즌체크판!C143,ROW(#REF!)-20),3),)),"",(OFFSET(#REF!,SMALL(IF(#REF!=RM시즌체크판!C143,ROW(#REF!)-20),3),)))</f>
        <v/>
      </c>
      <c r="K143" s="34" t="str">
        <f t="array" aca="1" ref="K143" ca="1">IF(ISERROR(OFFSET(#REF!,SMALL(IF(#REF!=RM시즌체크판!C143,ROW(#REF!)-20),4),)),"",(OFFSET(#REF!,SMALL(IF(#REF!=RM시즌체크판!C143,ROW(#REF!)-20),4),)))</f>
        <v/>
      </c>
      <c r="L143" s="34" t="str">
        <f t="array" aca="1" ref="L143" ca="1">IF(ISERROR(OFFSET(#REF!,SMALL(IF(#REF!=RM시즌체크판!C143,ROW(#REF!)-20),5),)),"",(OFFSET(#REF!,SMALL(IF(#REF!=RM시즌체크판!C143,ROW(#REF!)-20),5),)))</f>
        <v/>
      </c>
      <c r="M143" s="35" t="str">
        <f t="array" aca="1" ref="M143" ca="1">IF(ISERROR(OFFSET(#REF!,SMALL(IF(#REF!=RM시즌체크판!C143,ROW(#REF!)-20),6),)),"",(OFFSET(#REF!,SMALL(IF(#REF!=RM시즌체크판!C143,ROW(#REF!)-20),6),)))</f>
        <v/>
      </c>
      <c r="N143" s="27" t="str">
        <f>IF(ISERROR(VLOOKUP(C143,모델촬영리스트!$C:$E,3,)),"",(VLOOKUP(C143,모델촬영리스트!$C:$E,3,)))</f>
        <v/>
      </c>
      <c r="O143" s="23" t="str">
        <f>IF(ISERROR(VLOOKUP(C143,배너촬영리스트!$C:$E,3,)),"",(VLOOKUP(C143,배너촬영리스트!$C:$E,3,)))</f>
        <v/>
      </c>
      <c r="P143" s="36" t="str">
        <f>IF(ISERROR(VLOOKUP(C143,배너촬영리스트!$C:$E,2,)),"",(VLOOKUP(C143,배너촬영리스트!$C:$E,2,)))</f>
        <v/>
      </c>
    </row>
    <row r="144" spans="2:16">
      <c r="B144" s="20" t="str">
        <f t="shared" si="2"/>
        <v>RM</v>
      </c>
      <c r="C144" s="11" t="s">
        <v>321</v>
      </c>
      <c r="D144" s="12" t="e">
        <f>VLOOKUP(C144,#REF!,2,0)</f>
        <v>#REF!</v>
      </c>
      <c r="E144" s="10" t="e">
        <f>VLOOKUP(C144,#REF!,4,0)</f>
        <v>#REF!</v>
      </c>
      <c r="F144" s="37" t="e">
        <f>VLOOKUP(C144,#REF!,8,0)</f>
        <v>#REF!</v>
      </c>
      <c r="G144" s="22" t="str">
        <f>IF(ISERROR(IF(VLOOKUP(C144,#REF!,2,0)&gt;0,"등록","")),"",(IF(VLOOKUP(C144,#REF!,2,0)&gt;0,"등록","")))</f>
        <v/>
      </c>
      <c r="H144" s="33" t="str">
        <f t="array" aca="1" ref="H144" ca="1">IF(ISERROR(OFFSET(#REF!,SMALL(IF(#REF!=RM시즌체크판!C144,ROW(#REF!)-20),1),)),"",(OFFSET(#REF!,SMALL(IF(#REF!=RM시즌체크판!C144,ROW(#REF!)-20),1),)))</f>
        <v/>
      </c>
      <c r="I144" s="34" t="str">
        <f t="array" aca="1" ref="I144" ca="1">IF(ISERROR(OFFSET(#REF!,SMALL(IF(#REF!=RM시즌체크판!C144,ROW(#REF!)-20),2),)),"",(OFFSET(#REF!,SMALL(IF(#REF!=RM시즌체크판!C144,ROW(#REF!)-20),2),)))</f>
        <v/>
      </c>
      <c r="J144" s="34" t="str">
        <f t="array" aca="1" ref="J144" ca="1">IF(ISERROR(OFFSET(#REF!,SMALL(IF(#REF!=RM시즌체크판!C144,ROW(#REF!)-20),3),)),"",(OFFSET(#REF!,SMALL(IF(#REF!=RM시즌체크판!C144,ROW(#REF!)-20),3),)))</f>
        <v/>
      </c>
      <c r="K144" s="34" t="str">
        <f t="array" aca="1" ref="K144" ca="1">IF(ISERROR(OFFSET(#REF!,SMALL(IF(#REF!=RM시즌체크판!C144,ROW(#REF!)-20),4),)),"",(OFFSET(#REF!,SMALL(IF(#REF!=RM시즌체크판!C144,ROW(#REF!)-20),4),)))</f>
        <v/>
      </c>
      <c r="L144" s="34" t="str">
        <f t="array" aca="1" ref="L144" ca="1">IF(ISERROR(OFFSET(#REF!,SMALL(IF(#REF!=RM시즌체크판!C144,ROW(#REF!)-20),5),)),"",(OFFSET(#REF!,SMALL(IF(#REF!=RM시즌체크판!C144,ROW(#REF!)-20),5),)))</f>
        <v/>
      </c>
      <c r="M144" s="35" t="str">
        <f t="array" aca="1" ref="M144" ca="1">IF(ISERROR(OFFSET(#REF!,SMALL(IF(#REF!=RM시즌체크판!C144,ROW(#REF!)-20),6),)),"",(OFFSET(#REF!,SMALL(IF(#REF!=RM시즌체크판!C144,ROW(#REF!)-20),6),)))</f>
        <v/>
      </c>
      <c r="N144" s="27" t="str">
        <f>IF(ISERROR(VLOOKUP(C144,모델촬영리스트!$C:$E,3,)),"",(VLOOKUP(C144,모델촬영리스트!$C:$E,3,)))</f>
        <v/>
      </c>
      <c r="O144" s="23" t="str">
        <f>IF(ISERROR(VLOOKUP(C144,배너촬영리스트!$C:$E,3,)),"",(VLOOKUP(C144,배너촬영리스트!$C:$E,3,)))</f>
        <v/>
      </c>
      <c r="P144" s="36" t="str">
        <f>IF(ISERROR(VLOOKUP(C144,배너촬영리스트!$C:$E,2,)),"",(VLOOKUP(C144,배너촬영리스트!$C:$E,2,)))</f>
        <v/>
      </c>
    </row>
    <row r="145" spans="2:16">
      <c r="B145" s="20" t="str">
        <f t="shared" si="2"/>
        <v>RM</v>
      </c>
      <c r="C145" s="11" t="s">
        <v>322</v>
      </c>
      <c r="D145" s="12" t="e">
        <f>VLOOKUP(C145,#REF!,2,0)</f>
        <v>#REF!</v>
      </c>
      <c r="E145" s="10" t="e">
        <f>VLOOKUP(C145,#REF!,4,0)</f>
        <v>#REF!</v>
      </c>
      <c r="F145" s="37" t="e">
        <f>VLOOKUP(C145,#REF!,8,0)</f>
        <v>#REF!</v>
      </c>
      <c r="G145" s="22" t="str">
        <f>IF(ISERROR(IF(VLOOKUP(C145,#REF!,2,0)&gt;0,"등록","")),"",(IF(VLOOKUP(C145,#REF!,2,0)&gt;0,"등록","")))</f>
        <v/>
      </c>
      <c r="H145" s="33" t="str">
        <f t="array" aca="1" ref="H145" ca="1">IF(ISERROR(OFFSET(#REF!,SMALL(IF(#REF!=RM시즌체크판!C145,ROW(#REF!)-20),1),)),"",(OFFSET(#REF!,SMALL(IF(#REF!=RM시즌체크판!C145,ROW(#REF!)-20),1),)))</f>
        <v/>
      </c>
      <c r="I145" s="34" t="str">
        <f t="array" aca="1" ref="I145" ca="1">IF(ISERROR(OFFSET(#REF!,SMALL(IF(#REF!=RM시즌체크판!C145,ROW(#REF!)-20),2),)),"",(OFFSET(#REF!,SMALL(IF(#REF!=RM시즌체크판!C145,ROW(#REF!)-20),2),)))</f>
        <v/>
      </c>
      <c r="J145" s="34" t="str">
        <f t="array" aca="1" ref="J145" ca="1">IF(ISERROR(OFFSET(#REF!,SMALL(IF(#REF!=RM시즌체크판!C145,ROW(#REF!)-20),3),)),"",(OFFSET(#REF!,SMALL(IF(#REF!=RM시즌체크판!C145,ROW(#REF!)-20),3),)))</f>
        <v/>
      </c>
      <c r="K145" s="34" t="str">
        <f t="array" aca="1" ref="K145" ca="1">IF(ISERROR(OFFSET(#REF!,SMALL(IF(#REF!=RM시즌체크판!C145,ROW(#REF!)-20),4),)),"",(OFFSET(#REF!,SMALL(IF(#REF!=RM시즌체크판!C145,ROW(#REF!)-20),4),)))</f>
        <v/>
      </c>
      <c r="L145" s="34" t="str">
        <f t="array" aca="1" ref="L145" ca="1">IF(ISERROR(OFFSET(#REF!,SMALL(IF(#REF!=RM시즌체크판!C145,ROW(#REF!)-20),5),)),"",(OFFSET(#REF!,SMALL(IF(#REF!=RM시즌체크판!C145,ROW(#REF!)-20),5),)))</f>
        <v/>
      </c>
      <c r="M145" s="35" t="str">
        <f t="array" aca="1" ref="M145" ca="1">IF(ISERROR(OFFSET(#REF!,SMALL(IF(#REF!=RM시즌체크판!C145,ROW(#REF!)-20),6),)),"",(OFFSET(#REF!,SMALL(IF(#REF!=RM시즌체크판!C145,ROW(#REF!)-20),6),)))</f>
        <v/>
      </c>
      <c r="N145" s="27" t="str">
        <f>IF(ISERROR(VLOOKUP(C145,모델촬영리스트!$C:$E,3,)),"",(VLOOKUP(C145,모델촬영리스트!$C:$E,3,)))</f>
        <v/>
      </c>
      <c r="O145" s="23" t="str">
        <f>IF(ISERROR(VLOOKUP(C145,배너촬영리스트!$C:$E,3,)),"",(VLOOKUP(C145,배너촬영리스트!$C:$E,3,)))</f>
        <v/>
      </c>
      <c r="P145" s="36" t="str">
        <f>IF(ISERROR(VLOOKUP(C145,배너촬영리스트!$C:$E,2,)),"",(VLOOKUP(C145,배너촬영리스트!$C:$E,2,)))</f>
        <v/>
      </c>
    </row>
    <row r="146" spans="2:16">
      <c r="B146" s="20" t="str">
        <f t="shared" si="2"/>
        <v>RM</v>
      </c>
      <c r="C146" s="11" t="s">
        <v>323</v>
      </c>
      <c r="D146" s="12" t="e">
        <f>VLOOKUP(C146,#REF!,2,0)</f>
        <v>#REF!</v>
      </c>
      <c r="E146" s="10" t="e">
        <f>VLOOKUP(C146,#REF!,4,0)</f>
        <v>#REF!</v>
      </c>
      <c r="F146" s="37" t="e">
        <f>VLOOKUP(C146,#REF!,8,0)</f>
        <v>#REF!</v>
      </c>
      <c r="G146" s="22" t="str">
        <f>IF(ISERROR(IF(VLOOKUP(C146,#REF!,2,0)&gt;0,"등록","")),"",(IF(VLOOKUP(C146,#REF!,2,0)&gt;0,"등록","")))</f>
        <v/>
      </c>
      <c r="H146" s="33" t="str">
        <f t="array" aca="1" ref="H146" ca="1">IF(ISERROR(OFFSET(#REF!,SMALL(IF(#REF!=RM시즌체크판!C146,ROW(#REF!)-20),1),)),"",(OFFSET(#REF!,SMALL(IF(#REF!=RM시즌체크판!C146,ROW(#REF!)-20),1),)))</f>
        <v/>
      </c>
      <c r="I146" s="34" t="str">
        <f t="array" aca="1" ref="I146" ca="1">IF(ISERROR(OFFSET(#REF!,SMALL(IF(#REF!=RM시즌체크판!C146,ROW(#REF!)-20),2),)),"",(OFFSET(#REF!,SMALL(IF(#REF!=RM시즌체크판!C146,ROW(#REF!)-20),2),)))</f>
        <v/>
      </c>
      <c r="J146" s="34" t="str">
        <f t="array" aca="1" ref="J146" ca="1">IF(ISERROR(OFFSET(#REF!,SMALL(IF(#REF!=RM시즌체크판!C146,ROW(#REF!)-20),3),)),"",(OFFSET(#REF!,SMALL(IF(#REF!=RM시즌체크판!C146,ROW(#REF!)-20),3),)))</f>
        <v/>
      </c>
      <c r="K146" s="34" t="str">
        <f t="array" aca="1" ref="K146" ca="1">IF(ISERROR(OFFSET(#REF!,SMALL(IF(#REF!=RM시즌체크판!C146,ROW(#REF!)-20),4),)),"",(OFFSET(#REF!,SMALL(IF(#REF!=RM시즌체크판!C146,ROW(#REF!)-20),4),)))</f>
        <v/>
      </c>
      <c r="L146" s="34" t="str">
        <f t="array" aca="1" ref="L146" ca="1">IF(ISERROR(OFFSET(#REF!,SMALL(IF(#REF!=RM시즌체크판!C146,ROW(#REF!)-20),5),)),"",(OFFSET(#REF!,SMALL(IF(#REF!=RM시즌체크판!C146,ROW(#REF!)-20),5),)))</f>
        <v/>
      </c>
      <c r="M146" s="35" t="str">
        <f t="array" aca="1" ref="M146" ca="1">IF(ISERROR(OFFSET(#REF!,SMALL(IF(#REF!=RM시즌체크판!C146,ROW(#REF!)-20),6),)),"",(OFFSET(#REF!,SMALL(IF(#REF!=RM시즌체크판!C146,ROW(#REF!)-20),6),)))</f>
        <v/>
      </c>
      <c r="N146" s="27" t="str">
        <f>IF(ISERROR(VLOOKUP(C146,모델촬영리스트!$C:$E,3,)),"",(VLOOKUP(C146,모델촬영리스트!$C:$E,3,)))</f>
        <v/>
      </c>
      <c r="O146" s="23" t="str">
        <f>IF(ISERROR(VLOOKUP(C146,배너촬영리스트!$C:$E,3,)),"",(VLOOKUP(C146,배너촬영리스트!$C:$E,3,)))</f>
        <v/>
      </c>
      <c r="P146" s="36" t="str">
        <f>IF(ISERROR(VLOOKUP(C146,배너촬영리스트!$C:$E,2,)),"",(VLOOKUP(C146,배너촬영리스트!$C:$E,2,)))</f>
        <v/>
      </c>
    </row>
    <row r="147" spans="2:16">
      <c r="B147" s="20" t="str">
        <f t="shared" si="2"/>
        <v>RM</v>
      </c>
      <c r="C147" s="11" t="s">
        <v>324</v>
      </c>
      <c r="D147" s="12" t="e">
        <f>VLOOKUP(C147,#REF!,2,0)</f>
        <v>#REF!</v>
      </c>
      <c r="E147" s="10" t="e">
        <f>VLOOKUP(C147,#REF!,4,0)</f>
        <v>#REF!</v>
      </c>
      <c r="F147" s="37" t="e">
        <f>VLOOKUP(C147,#REF!,8,0)</f>
        <v>#REF!</v>
      </c>
      <c r="G147" s="22" t="str">
        <f>IF(ISERROR(IF(VLOOKUP(C147,#REF!,2,0)&gt;0,"등록","")),"",(IF(VLOOKUP(C147,#REF!,2,0)&gt;0,"등록","")))</f>
        <v/>
      </c>
      <c r="H147" s="33" t="str">
        <f t="array" aca="1" ref="H147" ca="1">IF(ISERROR(OFFSET(#REF!,SMALL(IF(#REF!=RM시즌체크판!C147,ROW(#REF!)-20),1),)),"",(OFFSET(#REF!,SMALL(IF(#REF!=RM시즌체크판!C147,ROW(#REF!)-20),1),)))</f>
        <v/>
      </c>
      <c r="I147" s="34" t="str">
        <f t="array" aca="1" ref="I147" ca="1">IF(ISERROR(OFFSET(#REF!,SMALL(IF(#REF!=RM시즌체크판!C147,ROW(#REF!)-20),2),)),"",(OFFSET(#REF!,SMALL(IF(#REF!=RM시즌체크판!C147,ROW(#REF!)-20),2),)))</f>
        <v/>
      </c>
      <c r="J147" s="34" t="str">
        <f t="array" aca="1" ref="J147" ca="1">IF(ISERROR(OFFSET(#REF!,SMALL(IF(#REF!=RM시즌체크판!C147,ROW(#REF!)-20),3),)),"",(OFFSET(#REF!,SMALL(IF(#REF!=RM시즌체크판!C147,ROW(#REF!)-20),3),)))</f>
        <v/>
      </c>
      <c r="K147" s="34" t="str">
        <f t="array" aca="1" ref="K147" ca="1">IF(ISERROR(OFFSET(#REF!,SMALL(IF(#REF!=RM시즌체크판!C147,ROW(#REF!)-20),4),)),"",(OFFSET(#REF!,SMALL(IF(#REF!=RM시즌체크판!C147,ROW(#REF!)-20),4),)))</f>
        <v/>
      </c>
      <c r="L147" s="34" t="str">
        <f t="array" aca="1" ref="L147" ca="1">IF(ISERROR(OFFSET(#REF!,SMALL(IF(#REF!=RM시즌체크판!C147,ROW(#REF!)-20),5),)),"",(OFFSET(#REF!,SMALL(IF(#REF!=RM시즌체크판!C147,ROW(#REF!)-20),5),)))</f>
        <v/>
      </c>
      <c r="M147" s="35" t="str">
        <f t="array" aca="1" ref="M147" ca="1">IF(ISERROR(OFFSET(#REF!,SMALL(IF(#REF!=RM시즌체크판!C147,ROW(#REF!)-20),6),)),"",(OFFSET(#REF!,SMALL(IF(#REF!=RM시즌체크판!C147,ROW(#REF!)-20),6),)))</f>
        <v/>
      </c>
      <c r="N147" s="27" t="str">
        <f>IF(ISERROR(VLOOKUP(C147,모델촬영리스트!$C:$E,3,)),"",(VLOOKUP(C147,모델촬영리스트!$C:$E,3,)))</f>
        <v/>
      </c>
      <c r="O147" s="23" t="str">
        <f>IF(ISERROR(VLOOKUP(C147,배너촬영리스트!$C:$E,3,)),"",(VLOOKUP(C147,배너촬영리스트!$C:$E,3,)))</f>
        <v/>
      </c>
      <c r="P147" s="36" t="str">
        <f>IF(ISERROR(VLOOKUP(C147,배너촬영리스트!$C:$E,2,)),"",(VLOOKUP(C147,배너촬영리스트!$C:$E,2,)))</f>
        <v/>
      </c>
    </row>
    <row r="148" spans="2:16">
      <c r="B148" s="20" t="str">
        <f t="shared" si="2"/>
        <v>RM</v>
      </c>
      <c r="C148" s="11" t="s">
        <v>325</v>
      </c>
      <c r="D148" s="12" t="e">
        <f>VLOOKUP(C148,#REF!,2,0)</f>
        <v>#REF!</v>
      </c>
      <c r="E148" s="10" t="e">
        <f>VLOOKUP(C148,#REF!,4,0)</f>
        <v>#REF!</v>
      </c>
      <c r="F148" s="37" t="e">
        <f>VLOOKUP(C148,#REF!,8,0)</f>
        <v>#REF!</v>
      </c>
      <c r="G148" s="22" t="str">
        <f>IF(ISERROR(IF(VLOOKUP(C148,#REF!,2,0)&gt;0,"등록","")),"",(IF(VLOOKUP(C148,#REF!,2,0)&gt;0,"등록","")))</f>
        <v/>
      </c>
      <c r="H148" s="33" t="str">
        <f t="array" aca="1" ref="H148" ca="1">IF(ISERROR(OFFSET(#REF!,SMALL(IF(#REF!=RM시즌체크판!C148,ROW(#REF!)-20),1),)),"",(OFFSET(#REF!,SMALL(IF(#REF!=RM시즌체크판!C148,ROW(#REF!)-20),1),)))</f>
        <v/>
      </c>
      <c r="I148" s="34" t="str">
        <f t="array" aca="1" ref="I148" ca="1">IF(ISERROR(OFFSET(#REF!,SMALL(IF(#REF!=RM시즌체크판!C148,ROW(#REF!)-20),2),)),"",(OFFSET(#REF!,SMALL(IF(#REF!=RM시즌체크판!C148,ROW(#REF!)-20),2),)))</f>
        <v/>
      </c>
      <c r="J148" s="34" t="str">
        <f t="array" aca="1" ref="J148" ca="1">IF(ISERROR(OFFSET(#REF!,SMALL(IF(#REF!=RM시즌체크판!C148,ROW(#REF!)-20),3),)),"",(OFFSET(#REF!,SMALL(IF(#REF!=RM시즌체크판!C148,ROW(#REF!)-20),3),)))</f>
        <v/>
      </c>
      <c r="K148" s="34" t="str">
        <f t="array" aca="1" ref="K148" ca="1">IF(ISERROR(OFFSET(#REF!,SMALL(IF(#REF!=RM시즌체크판!C148,ROW(#REF!)-20),4),)),"",(OFFSET(#REF!,SMALL(IF(#REF!=RM시즌체크판!C148,ROW(#REF!)-20),4),)))</f>
        <v/>
      </c>
      <c r="L148" s="34" t="str">
        <f t="array" aca="1" ref="L148" ca="1">IF(ISERROR(OFFSET(#REF!,SMALL(IF(#REF!=RM시즌체크판!C148,ROW(#REF!)-20),5),)),"",(OFFSET(#REF!,SMALL(IF(#REF!=RM시즌체크판!C148,ROW(#REF!)-20),5),)))</f>
        <v/>
      </c>
      <c r="M148" s="35" t="str">
        <f t="array" aca="1" ref="M148" ca="1">IF(ISERROR(OFFSET(#REF!,SMALL(IF(#REF!=RM시즌체크판!C148,ROW(#REF!)-20),6),)),"",(OFFSET(#REF!,SMALL(IF(#REF!=RM시즌체크판!C148,ROW(#REF!)-20),6),)))</f>
        <v/>
      </c>
      <c r="N148" s="27" t="str">
        <f>IF(ISERROR(VLOOKUP(C148,모델촬영리스트!$C:$E,3,)),"",(VLOOKUP(C148,모델촬영리스트!$C:$E,3,)))</f>
        <v/>
      </c>
      <c r="O148" s="23" t="str">
        <f>IF(ISERROR(VLOOKUP(C148,배너촬영리스트!$C:$E,3,)),"",(VLOOKUP(C148,배너촬영리스트!$C:$E,3,)))</f>
        <v/>
      </c>
      <c r="P148" s="36" t="str">
        <f>IF(ISERROR(VLOOKUP(C148,배너촬영리스트!$C:$E,2,)),"",(VLOOKUP(C148,배너촬영리스트!$C:$E,2,)))</f>
        <v/>
      </c>
    </row>
    <row r="149" spans="2:16">
      <c r="B149" s="20" t="str">
        <f t="shared" si="2"/>
        <v>RM</v>
      </c>
      <c r="C149" s="11" t="s">
        <v>352</v>
      </c>
      <c r="D149" s="12" t="e">
        <f>VLOOKUP(C149,#REF!,2,0)</f>
        <v>#REF!</v>
      </c>
      <c r="E149" s="10" t="e">
        <f>VLOOKUP(C149,#REF!,4,0)</f>
        <v>#REF!</v>
      </c>
      <c r="F149" s="37" t="e">
        <f>VLOOKUP(C149,#REF!,8,0)</f>
        <v>#REF!</v>
      </c>
      <c r="G149" s="22" t="str">
        <f>IF(ISERROR(IF(VLOOKUP(C149,#REF!,2,0)&gt;0,"등록","")),"",(IF(VLOOKUP(C149,#REF!,2,0)&gt;0,"등록","")))</f>
        <v/>
      </c>
      <c r="H149" s="33" t="str">
        <f t="array" aca="1" ref="H149" ca="1">IF(ISERROR(OFFSET(#REF!,SMALL(IF(#REF!=RM시즌체크판!C149,ROW(#REF!)-20),1),)),"",(OFFSET(#REF!,SMALL(IF(#REF!=RM시즌체크판!C149,ROW(#REF!)-20),1),)))</f>
        <v/>
      </c>
      <c r="I149" s="34" t="str">
        <f t="array" aca="1" ref="I149" ca="1">IF(ISERROR(OFFSET(#REF!,SMALL(IF(#REF!=RM시즌체크판!C149,ROW(#REF!)-20),2),)),"",(OFFSET(#REF!,SMALL(IF(#REF!=RM시즌체크판!C149,ROW(#REF!)-20),2),)))</f>
        <v/>
      </c>
      <c r="J149" s="34" t="str">
        <f t="array" aca="1" ref="J149" ca="1">IF(ISERROR(OFFSET(#REF!,SMALL(IF(#REF!=RM시즌체크판!C149,ROW(#REF!)-20),3),)),"",(OFFSET(#REF!,SMALL(IF(#REF!=RM시즌체크판!C149,ROW(#REF!)-20),3),)))</f>
        <v/>
      </c>
      <c r="K149" s="34" t="str">
        <f t="array" aca="1" ref="K149" ca="1">IF(ISERROR(OFFSET(#REF!,SMALL(IF(#REF!=RM시즌체크판!C149,ROW(#REF!)-20),4),)),"",(OFFSET(#REF!,SMALL(IF(#REF!=RM시즌체크판!C149,ROW(#REF!)-20),4),)))</f>
        <v/>
      </c>
      <c r="L149" s="34" t="str">
        <f t="array" aca="1" ref="L149" ca="1">IF(ISERROR(OFFSET(#REF!,SMALL(IF(#REF!=RM시즌체크판!C149,ROW(#REF!)-20),5),)),"",(OFFSET(#REF!,SMALL(IF(#REF!=RM시즌체크판!C149,ROW(#REF!)-20),5),)))</f>
        <v/>
      </c>
      <c r="M149" s="35" t="str">
        <f t="array" aca="1" ref="M149" ca="1">IF(ISERROR(OFFSET(#REF!,SMALL(IF(#REF!=RM시즌체크판!C149,ROW(#REF!)-20),6),)),"",(OFFSET(#REF!,SMALL(IF(#REF!=RM시즌체크판!C149,ROW(#REF!)-20),6),)))</f>
        <v/>
      </c>
      <c r="N149" s="27" t="str">
        <f>IF(ISERROR(VLOOKUP(C149,모델촬영리스트!$C:$E,3,)),"",(VLOOKUP(C149,모델촬영리스트!$C:$E,3,)))</f>
        <v/>
      </c>
      <c r="O149" s="23" t="str">
        <f>IF(ISERROR(VLOOKUP(C149,배너촬영리스트!$C:$E,3,)),"",(VLOOKUP(C149,배너촬영리스트!$C:$E,3,)))</f>
        <v/>
      </c>
      <c r="P149" s="36" t="str">
        <f>IF(ISERROR(VLOOKUP(C149,배너촬영리스트!$C:$E,2,)),"",(VLOOKUP(C149,배너촬영리스트!$C:$E,2,)))</f>
        <v/>
      </c>
    </row>
    <row r="150" spans="2:16">
      <c r="B150" s="20" t="str">
        <f t="shared" si="2"/>
        <v>RM</v>
      </c>
      <c r="C150" s="11" t="s">
        <v>355</v>
      </c>
      <c r="D150" s="12" t="e">
        <f>VLOOKUP(C150,#REF!,2,0)</f>
        <v>#REF!</v>
      </c>
      <c r="E150" s="10" t="e">
        <f>VLOOKUP(C150,#REF!,4,0)</f>
        <v>#REF!</v>
      </c>
      <c r="F150" s="37" t="e">
        <f>VLOOKUP(C150,#REF!,8,0)</f>
        <v>#REF!</v>
      </c>
      <c r="G150" s="22" t="str">
        <f>IF(ISERROR(IF(VLOOKUP(C150,#REF!,2,0)&gt;0,"등록","")),"",(IF(VLOOKUP(C150,#REF!,2,0)&gt;0,"등록","")))</f>
        <v/>
      </c>
      <c r="H150" s="33" t="str">
        <f t="array" aca="1" ref="H150" ca="1">IF(ISERROR(OFFSET(#REF!,SMALL(IF(#REF!=RM시즌체크판!C150,ROW(#REF!)-20),1),)),"",(OFFSET(#REF!,SMALL(IF(#REF!=RM시즌체크판!C150,ROW(#REF!)-20),1),)))</f>
        <v/>
      </c>
      <c r="I150" s="34" t="str">
        <f t="array" aca="1" ref="I150" ca="1">IF(ISERROR(OFFSET(#REF!,SMALL(IF(#REF!=RM시즌체크판!C150,ROW(#REF!)-20),2),)),"",(OFFSET(#REF!,SMALL(IF(#REF!=RM시즌체크판!C150,ROW(#REF!)-20),2),)))</f>
        <v/>
      </c>
      <c r="J150" s="34" t="str">
        <f t="array" aca="1" ref="J150" ca="1">IF(ISERROR(OFFSET(#REF!,SMALL(IF(#REF!=RM시즌체크판!C150,ROW(#REF!)-20),3),)),"",(OFFSET(#REF!,SMALL(IF(#REF!=RM시즌체크판!C150,ROW(#REF!)-20),3),)))</f>
        <v/>
      </c>
      <c r="K150" s="34" t="str">
        <f t="array" aca="1" ref="K150" ca="1">IF(ISERROR(OFFSET(#REF!,SMALL(IF(#REF!=RM시즌체크판!C150,ROW(#REF!)-20),4),)),"",(OFFSET(#REF!,SMALL(IF(#REF!=RM시즌체크판!C150,ROW(#REF!)-20),4),)))</f>
        <v/>
      </c>
      <c r="L150" s="34" t="str">
        <f t="array" aca="1" ref="L150" ca="1">IF(ISERROR(OFFSET(#REF!,SMALL(IF(#REF!=RM시즌체크판!C150,ROW(#REF!)-20),5),)),"",(OFFSET(#REF!,SMALL(IF(#REF!=RM시즌체크판!C150,ROW(#REF!)-20),5),)))</f>
        <v/>
      </c>
      <c r="M150" s="35" t="str">
        <f t="array" aca="1" ref="M150" ca="1">IF(ISERROR(OFFSET(#REF!,SMALL(IF(#REF!=RM시즌체크판!C150,ROW(#REF!)-20),6),)),"",(OFFSET(#REF!,SMALL(IF(#REF!=RM시즌체크판!C150,ROW(#REF!)-20),6),)))</f>
        <v/>
      </c>
      <c r="N150" s="27" t="str">
        <f>IF(ISERROR(VLOOKUP(C150,모델촬영리스트!$C:$E,3,)),"",(VLOOKUP(C150,모델촬영리스트!$C:$E,3,)))</f>
        <v/>
      </c>
      <c r="O150" s="23" t="str">
        <f>IF(ISERROR(VLOOKUP(C150,배너촬영리스트!$C:$E,3,)),"",(VLOOKUP(C150,배너촬영리스트!$C:$E,3,)))</f>
        <v/>
      </c>
      <c r="P150" s="36" t="str">
        <f>IF(ISERROR(VLOOKUP(C150,배너촬영리스트!$C:$E,2,)),"",(VLOOKUP(C150,배너촬영리스트!$C:$E,2,)))</f>
        <v/>
      </c>
    </row>
    <row r="151" spans="2:16">
      <c r="B151" s="20" t="str">
        <f t="shared" si="2"/>
        <v>RM</v>
      </c>
      <c r="C151" s="11" t="s">
        <v>356</v>
      </c>
      <c r="D151" s="12" t="e">
        <f>VLOOKUP(C151,#REF!,2,0)</f>
        <v>#REF!</v>
      </c>
      <c r="E151" s="10" t="e">
        <f>VLOOKUP(C151,#REF!,4,0)</f>
        <v>#REF!</v>
      </c>
      <c r="F151" s="37" t="e">
        <f>VLOOKUP(C151,#REF!,8,0)</f>
        <v>#REF!</v>
      </c>
      <c r="G151" s="22" t="str">
        <f>IF(ISERROR(IF(VLOOKUP(C151,#REF!,2,0)&gt;0,"등록","")),"",(IF(VLOOKUP(C151,#REF!,2,0)&gt;0,"등록","")))</f>
        <v/>
      </c>
      <c r="H151" s="33" t="str">
        <f t="array" aca="1" ref="H151" ca="1">IF(ISERROR(OFFSET(#REF!,SMALL(IF(#REF!=RM시즌체크판!C151,ROW(#REF!)-20),1),)),"",(OFFSET(#REF!,SMALL(IF(#REF!=RM시즌체크판!C151,ROW(#REF!)-20),1),)))</f>
        <v/>
      </c>
      <c r="I151" s="34" t="str">
        <f t="array" aca="1" ref="I151" ca="1">IF(ISERROR(OFFSET(#REF!,SMALL(IF(#REF!=RM시즌체크판!C151,ROW(#REF!)-20),2),)),"",(OFFSET(#REF!,SMALL(IF(#REF!=RM시즌체크판!C151,ROW(#REF!)-20),2),)))</f>
        <v/>
      </c>
      <c r="J151" s="34" t="str">
        <f t="array" aca="1" ref="J151" ca="1">IF(ISERROR(OFFSET(#REF!,SMALL(IF(#REF!=RM시즌체크판!C151,ROW(#REF!)-20),3),)),"",(OFFSET(#REF!,SMALL(IF(#REF!=RM시즌체크판!C151,ROW(#REF!)-20),3),)))</f>
        <v/>
      </c>
      <c r="K151" s="34" t="str">
        <f t="array" aca="1" ref="K151" ca="1">IF(ISERROR(OFFSET(#REF!,SMALL(IF(#REF!=RM시즌체크판!C151,ROW(#REF!)-20),4),)),"",(OFFSET(#REF!,SMALL(IF(#REF!=RM시즌체크판!C151,ROW(#REF!)-20),4),)))</f>
        <v/>
      </c>
      <c r="L151" s="34" t="str">
        <f t="array" aca="1" ref="L151" ca="1">IF(ISERROR(OFFSET(#REF!,SMALL(IF(#REF!=RM시즌체크판!C151,ROW(#REF!)-20),5),)),"",(OFFSET(#REF!,SMALL(IF(#REF!=RM시즌체크판!C151,ROW(#REF!)-20),5),)))</f>
        <v/>
      </c>
      <c r="M151" s="35" t="str">
        <f t="array" aca="1" ref="M151" ca="1">IF(ISERROR(OFFSET(#REF!,SMALL(IF(#REF!=RM시즌체크판!C151,ROW(#REF!)-20),6),)),"",(OFFSET(#REF!,SMALL(IF(#REF!=RM시즌체크판!C151,ROW(#REF!)-20),6),)))</f>
        <v/>
      </c>
      <c r="N151" s="27" t="str">
        <f>IF(ISERROR(VLOOKUP(C151,모델촬영리스트!$C:$E,3,)),"",(VLOOKUP(C151,모델촬영리스트!$C:$E,3,)))</f>
        <v/>
      </c>
      <c r="O151" s="23" t="str">
        <f>IF(ISERROR(VLOOKUP(C151,배너촬영리스트!$C:$E,3,)),"",(VLOOKUP(C151,배너촬영리스트!$C:$E,3,)))</f>
        <v/>
      </c>
      <c r="P151" s="36" t="str">
        <f>IF(ISERROR(VLOOKUP(C151,배너촬영리스트!$C:$E,2,)),"",(VLOOKUP(C151,배너촬영리스트!$C:$E,2,)))</f>
        <v/>
      </c>
    </row>
    <row r="152" spans="2:16">
      <c r="B152" s="20" t="str">
        <f t="shared" si="2"/>
        <v>RM</v>
      </c>
      <c r="C152" s="11" t="s">
        <v>357</v>
      </c>
      <c r="D152" s="12" t="e">
        <f>VLOOKUP(C152,#REF!,2,0)</f>
        <v>#REF!</v>
      </c>
      <c r="E152" s="10" t="e">
        <f>VLOOKUP(C152,#REF!,4,0)</f>
        <v>#REF!</v>
      </c>
      <c r="F152" s="37" t="e">
        <f>VLOOKUP(C152,#REF!,8,0)</f>
        <v>#REF!</v>
      </c>
      <c r="G152" s="22" t="str">
        <f>IF(ISERROR(IF(VLOOKUP(C152,#REF!,2,0)&gt;0,"등록","")),"",(IF(VLOOKUP(C152,#REF!,2,0)&gt;0,"등록","")))</f>
        <v/>
      </c>
      <c r="H152" s="33" t="str">
        <f t="array" aca="1" ref="H152" ca="1">IF(ISERROR(OFFSET(#REF!,SMALL(IF(#REF!=RM시즌체크판!C152,ROW(#REF!)-20),1),)),"",(OFFSET(#REF!,SMALL(IF(#REF!=RM시즌체크판!C152,ROW(#REF!)-20),1),)))</f>
        <v/>
      </c>
      <c r="I152" s="34" t="str">
        <f t="array" aca="1" ref="I152" ca="1">IF(ISERROR(OFFSET(#REF!,SMALL(IF(#REF!=RM시즌체크판!C152,ROW(#REF!)-20),2),)),"",(OFFSET(#REF!,SMALL(IF(#REF!=RM시즌체크판!C152,ROW(#REF!)-20),2),)))</f>
        <v/>
      </c>
      <c r="J152" s="34" t="str">
        <f t="array" aca="1" ref="J152" ca="1">IF(ISERROR(OFFSET(#REF!,SMALL(IF(#REF!=RM시즌체크판!C152,ROW(#REF!)-20),3),)),"",(OFFSET(#REF!,SMALL(IF(#REF!=RM시즌체크판!C152,ROW(#REF!)-20),3),)))</f>
        <v/>
      </c>
      <c r="K152" s="34" t="str">
        <f t="array" aca="1" ref="K152" ca="1">IF(ISERROR(OFFSET(#REF!,SMALL(IF(#REF!=RM시즌체크판!C152,ROW(#REF!)-20),4),)),"",(OFFSET(#REF!,SMALL(IF(#REF!=RM시즌체크판!C152,ROW(#REF!)-20),4),)))</f>
        <v/>
      </c>
      <c r="L152" s="34" t="str">
        <f t="array" aca="1" ref="L152" ca="1">IF(ISERROR(OFFSET(#REF!,SMALL(IF(#REF!=RM시즌체크판!C152,ROW(#REF!)-20),5),)),"",(OFFSET(#REF!,SMALL(IF(#REF!=RM시즌체크판!C152,ROW(#REF!)-20),5),)))</f>
        <v/>
      </c>
      <c r="M152" s="35" t="str">
        <f t="array" aca="1" ref="M152" ca="1">IF(ISERROR(OFFSET(#REF!,SMALL(IF(#REF!=RM시즌체크판!C152,ROW(#REF!)-20),6),)),"",(OFFSET(#REF!,SMALL(IF(#REF!=RM시즌체크판!C152,ROW(#REF!)-20),6),)))</f>
        <v/>
      </c>
      <c r="N152" s="27" t="str">
        <f>IF(ISERROR(VLOOKUP(C152,모델촬영리스트!$C:$E,3,)),"",(VLOOKUP(C152,모델촬영리스트!$C:$E,3,)))</f>
        <v/>
      </c>
      <c r="O152" s="23" t="str">
        <f>IF(ISERROR(VLOOKUP(C152,배너촬영리스트!$C:$E,3,)),"",(VLOOKUP(C152,배너촬영리스트!$C:$E,3,)))</f>
        <v/>
      </c>
      <c r="P152" s="36" t="str">
        <f>IF(ISERROR(VLOOKUP(C152,배너촬영리스트!$C:$E,2,)),"",(VLOOKUP(C152,배너촬영리스트!$C:$E,2,)))</f>
        <v/>
      </c>
    </row>
    <row r="153" spans="2:16">
      <c r="B153" s="20" t="str">
        <f t="shared" si="2"/>
        <v>RM</v>
      </c>
      <c r="C153" s="11" t="s">
        <v>358</v>
      </c>
      <c r="D153" s="12" t="e">
        <f>VLOOKUP(C153,#REF!,2,0)</f>
        <v>#REF!</v>
      </c>
      <c r="E153" s="10" t="e">
        <f>VLOOKUP(C153,#REF!,4,0)</f>
        <v>#REF!</v>
      </c>
      <c r="F153" s="37" t="e">
        <f>VLOOKUP(C153,#REF!,8,0)</f>
        <v>#REF!</v>
      </c>
      <c r="G153" s="22" t="str">
        <f>IF(ISERROR(IF(VLOOKUP(C153,#REF!,2,0)&gt;0,"등록","")),"",(IF(VLOOKUP(C153,#REF!,2,0)&gt;0,"등록","")))</f>
        <v/>
      </c>
      <c r="H153" s="33" t="str">
        <f t="array" aca="1" ref="H153" ca="1">IF(ISERROR(OFFSET(#REF!,SMALL(IF(#REF!=RM시즌체크판!C153,ROW(#REF!)-20),1),)),"",(OFFSET(#REF!,SMALL(IF(#REF!=RM시즌체크판!C153,ROW(#REF!)-20),1),)))</f>
        <v/>
      </c>
      <c r="I153" s="34" t="str">
        <f t="array" aca="1" ref="I153" ca="1">IF(ISERROR(OFFSET(#REF!,SMALL(IF(#REF!=RM시즌체크판!C153,ROW(#REF!)-20),2),)),"",(OFFSET(#REF!,SMALL(IF(#REF!=RM시즌체크판!C153,ROW(#REF!)-20),2),)))</f>
        <v/>
      </c>
      <c r="J153" s="34" t="str">
        <f t="array" aca="1" ref="J153" ca="1">IF(ISERROR(OFFSET(#REF!,SMALL(IF(#REF!=RM시즌체크판!C153,ROW(#REF!)-20),3),)),"",(OFFSET(#REF!,SMALL(IF(#REF!=RM시즌체크판!C153,ROW(#REF!)-20),3),)))</f>
        <v/>
      </c>
      <c r="K153" s="34" t="str">
        <f t="array" aca="1" ref="K153" ca="1">IF(ISERROR(OFFSET(#REF!,SMALL(IF(#REF!=RM시즌체크판!C153,ROW(#REF!)-20),4),)),"",(OFFSET(#REF!,SMALL(IF(#REF!=RM시즌체크판!C153,ROW(#REF!)-20),4),)))</f>
        <v/>
      </c>
      <c r="L153" s="34" t="str">
        <f t="array" aca="1" ref="L153" ca="1">IF(ISERROR(OFFSET(#REF!,SMALL(IF(#REF!=RM시즌체크판!C153,ROW(#REF!)-20),5),)),"",(OFFSET(#REF!,SMALL(IF(#REF!=RM시즌체크판!C153,ROW(#REF!)-20),5),)))</f>
        <v/>
      </c>
      <c r="M153" s="35" t="str">
        <f t="array" aca="1" ref="M153" ca="1">IF(ISERROR(OFFSET(#REF!,SMALL(IF(#REF!=RM시즌체크판!C153,ROW(#REF!)-20),6),)),"",(OFFSET(#REF!,SMALL(IF(#REF!=RM시즌체크판!C153,ROW(#REF!)-20),6),)))</f>
        <v/>
      </c>
      <c r="N153" s="27" t="str">
        <f>IF(ISERROR(VLOOKUP(C153,모델촬영리스트!$C:$E,3,)),"",(VLOOKUP(C153,모델촬영리스트!$C:$E,3,)))</f>
        <v/>
      </c>
      <c r="O153" s="23" t="str">
        <f>IF(ISERROR(VLOOKUP(C153,배너촬영리스트!$C:$E,3,)),"",(VLOOKUP(C153,배너촬영리스트!$C:$E,3,)))</f>
        <v/>
      </c>
      <c r="P153" s="36" t="str">
        <f>IF(ISERROR(VLOOKUP(C153,배너촬영리스트!$C:$E,2,)),"",(VLOOKUP(C153,배너촬영리스트!$C:$E,2,)))</f>
        <v/>
      </c>
    </row>
    <row r="154" spans="2:16">
      <c r="B154" s="20" t="str">
        <f t="shared" si="2"/>
        <v>RM</v>
      </c>
      <c r="C154" s="11" t="s">
        <v>359</v>
      </c>
      <c r="D154" s="12" t="e">
        <f>VLOOKUP(C154,#REF!,2,0)</f>
        <v>#REF!</v>
      </c>
      <c r="E154" s="10" t="e">
        <f>VLOOKUP(C154,#REF!,4,0)</f>
        <v>#REF!</v>
      </c>
      <c r="F154" s="37" t="e">
        <f>VLOOKUP(C154,#REF!,8,0)</f>
        <v>#REF!</v>
      </c>
      <c r="G154" s="22" t="str">
        <f>IF(ISERROR(IF(VLOOKUP(C154,#REF!,2,0)&gt;0,"등록","")),"",(IF(VLOOKUP(C154,#REF!,2,0)&gt;0,"등록","")))</f>
        <v/>
      </c>
      <c r="H154" s="33" t="str">
        <f t="array" aca="1" ref="H154" ca="1">IF(ISERROR(OFFSET(#REF!,SMALL(IF(#REF!=RM시즌체크판!C154,ROW(#REF!)-20),1),)),"",(OFFSET(#REF!,SMALL(IF(#REF!=RM시즌체크판!C154,ROW(#REF!)-20),1),)))</f>
        <v/>
      </c>
      <c r="I154" s="34" t="str">
        <f t="array" aca="1" ref="I154" ca="1">IF(ISERROR(OFFSET(#REF!,SMALL(IF(#REF!=RM시즌체크판!C154,ROW(#REF!)-20),2),)),"",(OFFSET(#REF!,SMALL(IF(#REF!=RM시즌체크판!C154,ROW(#REF!)-20),2),)))</f>
        <v/>
      </c>
      <c r="J154" s="34" t="str">
        <f t="array" aca="1" ref="J154" ca="1">IF(ISERROR(OFFSET(#REF!,SMALL(IF(#REF!=RM시즌체크판!C154,ROW(#REF!)-20),3),)),"",(OFFSET(#REF!,SMALL(IF(#REF!=RM시즌체크판!C154,ROW(#REF!)-20),3),)))</f>
        <v/>
      </c>
      <c r="K154" s="34" t="str">
        <f t="array" aca="1" ref="K154" ca="1">IF(ISERROR(OFFSET(#REF!,SMALL(IF(#REF!=RM시즌체크판!C154,ROW(#REF!)-20),4),)),"",(OFFSET(#REF!,SMALL(IF(#REF!=RM시즌체크판!C154,ROW(#REF!)-20),4),)))</f>
        <v/>
      </c>
      <c r="L154" s="34" t="str">
        <f t="array" aca="1" ref="L154" ca="1">IF(ISERROR(OFFSET(#REF!,SMALL(IF(#REF!=RM시즌체크판!C154,ROW(#REF!)-20),5),)),"",(OFFSET(#REF!,SMALL(IF(#REF!=RM시즌체크판!C154,ROW(#REF!)-20),5),)))</f>
        <v/>
      </c>
      <c r="M154" s="35" t="str">
        <f t="array" aca="1" ref="M154" ca="1">IF(ISERROR(OFFSET(#REF!,SMALL(IF(#REF!=RM시즌체크판!C154,ROW(#REF!)-20),6),)),"",(OFFSET(#REF!,SMALL(IF(#REF!=RM시즌체크판!C154,ROW(#REF!)-20),6),)))</f>
        <v/>
      </c>
      <c r="N154" s="27" t="str">
        <f>IF(ISERROR(VLOOKUP(C154,모델촬영리스트!$C:$E,3,)),"",(VLOOKUP(C154,모델촬영리스트!$C:$E,3,)))</f>
        <v/>
      </c>
      <c r="O154" s="23" t="str">
        <f>IF(ISERROR(VLOOKUP(C154,배너촬영리스트!$C:$E,3,)),"",(VLOOKUP(C154,배너촬영리스트!$C:$E,3,)))</f>
        <v/>
      </c>
      <c r="P154" s="36" t="str">
        <f>IF(ISERROR(VLOOKUP(C154,배너촬영리스트!$C:$E,2,)),"",(VLOOKUP(C154,배너촬영리스트!$C:$E,2,)))</f>
        <v/>
      </c>
    </row>
    <row r="155" spans="2:16">
      <c r="B155" s="20" t="str">
        <f t="shared" si="2"/>
        <v>RM</v>
      </c>
      <c r="C155" s="11" t="s">
        <v>360</v>
      </c>
      <c r="D155" s="12" t="e">
        <f>VLOOKUP(C155,#REF!,2,0)</f>
        <v>#REF!</v>
      </c>
      <c r="E155" s="10" t="e">
        <f>VLOOKUP(C155,#REF!,4,0)</f>
        <v>#REF!</v>
      </c>
      <c r="F155" s="37" t="e">
        <f>VLOOKUP(C155,#REF!,8,0)</f>
        <v>#REF!</v>
      </c>
      <c r="G155" s="22" t="str">
        <f>IF(ISERROR(IF(VLOOKUP(C155,#REF!,2,0)&gt;0,"등록","")),"",(IF(VLOOKUP(C155,#REF!,2,0)&gt;0,"등록","")))</f>
        <v/>
      </c>
      <c r="H155" s="33" t="str">
        <f t="array" aca="1" ref="H155" ca="1">IF(ISERROR(OFFSET(#REF!,SMALL(IF(#REF!=RM시즌체크판!C155,ROW(#REF!)-20),1),)),"",(OFFSET(#REF!,SMALL(IF(#REF!=RM시즌체크판!C155,ROW(#REF!)-20),1),)))</f>
        <v/>
      </c>
      <c r="I155" s="34" t="str">
        <f t="array" aca="1" ref="I155" ca="1">IF(ISERROR(OFFSET(#REF!,SMALL(IF(#REF!=RM시즌체크판!C155,ROW(#REF!)-20),2),)),"",(OFFSET(#REF!,SMALL(IF(#REF!=RM시즌체크판!C155,ROW(#REF!)-20),2),)))</f>
        <v/>
      </c>
      <c r="J155" s="34" t="str">
        <f t="array" aca="1" ref="J155" ca="1">IF(ISERROR(OFFSET(#REF!,SMALL(IF(#REF!=RM시즌체크판!C155,ROW(#REF!)-20),3),)),"",(OFFSET(#REF!,SMALL(IF(#REF!=RM시즌체크판!C155,ROW(#REF!)-20),3),)))</f>
        <v/>
      </c>
      <c r="K155" s="34" t="str">
        <f t="array" aca="1" ref="K155" ca="1">IF(ISERROR(OFFSET(#REF!,SMALL(IF(#REF!=RM시즌체크판!C155,ROW(#REF!)-20),4),)),"",(OFFSET(#REF!,SMALL(IF(#REF!=RM시즌체크판!C155,ROW(#REF!)-20),4),)))</f>
        <v/>
      </c>
      <c r="L155" s="34" t="str">
        <f t="array" aca="1" ref="L155" ca="1">IF(ISERROR(OFFSET(#REF!,SMALL(IF(#REF!=RM시즌체크판!C155,ROW(#REF!)-20),5),)),"",(OFFSET(#REF!,SMALL(IF(#REF!=RM시즌체크판!C155,ROW(#REF!)-20),5),)))</f>
        <v/>
      </c>
      <c r="M155" s="35" t="str">
        <f t="array" aca="1" ref="M155" ca="1">IF(ISERROR(OFFSET(#REF!,SMALL(IF(#REF!=RM시즌체크판!C155,ROW(#REF!)-20),6),)),"",(OFFSET(#REF!,SMALL(IF(#REF!=RM시즌체크판!C155,ROW(#REF!)-20),6),)))</f>
        <v/>
      </c>
      <c r="N155" s="27" t="str">
        <f>IF(ISERROR(VLOOKUP(C155,모델촬영리스트!$C:$E,3,)),"",(VLOOKUP(C155,모델촬영리스트!$C:$E,3,)))</f>
        <v/>
      </c>
      <c r="O155" s="23" t="str">
        <f>IF(ISERROR(VLOOKUP(C155,배너촬영리스트!$C:$E,3,)),"",(VLOOKUP(C155,배너촬영리스트!$C:$E,3,)))</f>
        <v/>
      </c>
      <c r="P155" s="36" t="str">
        <f>IF(ISERROR(VLOOKUP(C155,배너촬영리스트!$C:$E,2,)),"",(VLOOKUP(C155,배너촬영리스트!$C:$E,2,)))</f>
        <v/>
      </c>
    </row>
    <row r="156" spans="2:16">
      <c r="B156" s="20" t="str">
        <f t="shared" si="2"/>
        <v>RM</v>
      </c>
      <c r="C156" s="11" t="s">
        <v>361</v>
      </c>
      <c r="D156" s="12" t="e">
        <f>VLOOKUP(C156,#REF!,2,0)</f>
        <v>#REF!</v>
      </c>
      <c r="E156" s="10" t="e">
        <f>VLOOKUP(C156,#REF!,4,0)</f>
        <v>#REF!</v>
      </c>
      <c r="F156" s="37" t="e">
        <f>VLOOKUP(C156,#REF!,8,0)</f>
        <v>#REF!</v>
      </c>
      <c r="G156" s="22" t="str">
        <f>IF(ISERROR(IF(VLOOKUP(C156,#REF!,2,0)&gt;0,"등록","")),"",(IF(VLOOKUP(C156,#REF!,2,0)&gt;0,"등록","")))</f>
        <v/>
      </c>
      <c r="H156" s="33" t="str">
        <f t="array" aca="1" ref="H156" ca="1">IF(ISERROR(OFFSET(#REF!,SMALL(IF(#REF!=RM시즌체크판!C156,ROW(#REF!)-20),1),)),"",(OFFSET(#REF!,SMALL(IF(#REF!=RM시즌체크판!C156,ROW(#REF!)-20),1),)))</f>
        <v/>
      </c>
      <c r="I156" s="34" t="str">
        <f t="array" aca="1" ref="I156" ca="1">IF(ISERROR(OFFSET(#REF!,SMALL(IF(#REF!=RM시즌체크판!C156,ROW(#REF!)-20),2),)),"",(OFFSET(#REF!,SMALL(IF(#REF!=RM시즌체크판!C156,ROW(#REF!)-20),2),)))</f>
        <v/>
      </c>
      <c r="J156" s="34" t="str">
        <f t="array" aca="1" ref="J156" ca="1">IF(ISERROR(OFFSET(#REF!,SMALL(IF(#REF!=RM시즌체크판!C156,ROW(#REF!)-20),3),)),"",(OFFSET(#REF!,SMALL(IF(#REF!=RM시즌체크판!C156,ROW(#REF!)-20),3),)))</f>
        <v/>
      </c>
      <c r="K156" s="34" t="str">
        <f t="array" aca="1" ref="K156" ca="1">IF(ISERROR(OFFSET(#REF!,SMALL(IF(#REF!=RM시즌체크판!C156,ROW(#REF!)-20),4),)),"",(OFFSET(#REF!,SMALL(IF(#REF!=RM시즌체크판!C156,ROW(#REF!)-20),4),)))</f>
        <v/>
      </c>
      <c r="L156" s="34" t="str">
        <f t="array" aca="1" ref="L156" ca="1">IF(ISERROR(OFFSET(#REF!,SMALL(IF(#REF!=RM시즌체크판!C156,ROW(#REF!)-20),5),)),"",(OFFSET(#REF!,SMALL(IF(#REF!=RM시즌체크판!C156,ROW(#REF!)-20),5),)))</f>
        <v/>
      </c>
      <c r="M156" s="35" t="str">
        <f t="array" aca="1" ref="M156" ca="1">IF(ISERROR(OFFSET(#REF!,SMALL(IF(#REF!=RM시즌체크판!C156,ROW(#REF!)-20),6),)),"",(OFFSET(#REF!,SMALL(IF(#REF!=RM시즌체크판!C156,ROW(#REF!)-20),6),)))</f>
        <v/>
      </c>
      <c r="N156" s="27" t="str">
        <f>IF(ISERROR(VLOOKUP(C156,모델촬영리스트!$C:$E,3,)),"",(VLOOKUP(C156,모델촬영리스트!$C:$E,3,)))</f>
        <v/>
      </c>
      <c r="O156" s="23" t="str">
        <f>IF(ISERROR(VLOOKUP(C156,배너촬영리스트!$C:$E,3,)),"",(VLOOKUP(C156,배너촬영리스트!$C:$E,3,)))</f>
        <v/>
      </c>
      <c r="P156" s="36" t="str">
        <f>IF(ISERROR(VLOOKUP(C156,배너촬영리스트!$C:$E,2,)),"",(VLOOKUP(C156,배너촬영리스트!$C:$E,2,)))</f>
        <v/>
      </c>
    </row>
    <row r="157" spans="2:16">
      <c r="B157" s="20" t="str">
        <f t="shared" si="2"/>
        <v>RM</v>
      </c>
      <c r="C157" s="11" t="s">
        <v>26</v>
      </c>
      <c r="D157" s="12" t="e">
        <f>VLOOKUP(C157,#REF!,2,0)</f>
        <v>#REF!</v>
      </c>
      <c r="E157" s="10" t="e">
        <f>VLOOKUP(C157,#REF!,4,0)</f>
        <v>#REF!</v>
      </c>
      <c r="F157" s="37" t="e">
        <f>VLOOKUP(C157,#REF!,8,0)</f>
        <v>#REF!</v>
      </c>
      <c r="G157" s="22" t="str">
        <f>IF(ISERROR(IF(VLOOKUP(C157,#REF!,2,0)&gt;0,"등록","")),"",(IF(VLOOKUP(C157,#REF!,2,0)&gt;0,"등록","")))</f>
        <v/>
      </c>
      <c r="H157" s="33" t="str">
        <f t="array" aca="1" ref="H157" ca="1">IF(ISERROR(OFFSET(#REF!,SMALL(IF(#REF!=RM시즌체크판!C157,ROW(#REF!)-20),1),)),"",(OFFSET(#REF!,SMALL(IF(#REF!=RM시즌체크판!C157,ROW(#REF!)-20),1),)))</f>
        <v/>
      </c>
      <c r="I157" s="34" t="str">
        <f t="array" aca="1" ref="I157" ca="1">IF(ISERROR(OFFSET(#REF!,SMALL(IF(#REF!=RM시즌체크판!C157,ROW(#REF!)-20),2),)),"",(OFFSET(#REF!,SMALL(IF(#REF!=RM시즌체크판!C157,ROW(#REF!)-20),2),)))</f>
        <v/>
      </c>
      <c r="J157" s="34" t="str">
        <f t="array" aca="1" ref="J157" ca="1">IF(ISERROR(OFFSET(#REF!,SMALL(IF(#REF!=RM시즌체크판!C157,ROW(#REF!)-20),3),)),"",(OFFSET(#REF!,SMALL(IF(#REF!=RM시즌체크판!C157,ROW(#REF!)-20),3),)))</f>
        <v/>
      </c>
      <c r="K157" s="34" t="str">
        <f t="array" aca="1" ref="K157" ca="1">IF(ISERROR(OFFSET(#REF!,SMALL(IF(#REF!=RM시즌체크판!C157,ROW(#REF!)-20),4),)),"",(OFFSET(#REF!,SMALL(IF(#REF!=RM시즌체크판!C157,ROW(#REF!)-20),4),)))</f>
        <v/>
      </c>
      <c r="L157" s="34" t="str">
        <f t="array" aca="1" ref="L157" ca="1">IF(ISERROR(OFFSET(#REF!,SMALL(IF(#REF!=RM시즌체크판!C157,ROW(#REF!)-20),5),)),"",(OFFSET(#REF!,SMALL(IF(#REF!=RM시즌체크판!C157,ROW(#REF!)-20),5),)))</f>
        <v/>
      </c>
      <c r="M157" s="35" t="str">
        <f t="array" aca="1" ref="M157" ca="1">IF(ISERROR(OFFSET(#REF!,SMALL(IF(#REF!=RM시즌체크판!C157,ROW(#REF!)-20),6),)),"",(OFFSET(#REF!,SMALL(IF(#REF!=RM시즌체크판!C157,ROW(#REF!)-20),6),)))</f>
        <v/>
      </c>
      <c r="N157" s="27" t="str">
        <f>IF(ISERROR(VLOOKUP(C157,모델촬영리스트!$C:$E,3,)),"",(VLOOKUP(C157,모델촬영리스트!$C:$E,3,)))</f>
        <v/>
      </c>
      <c r="O157" s="23" t="str">
        <f>IF(ISERROR(VLOOKUP(C157,배너촬영리스트!$C:$E,3,)),"",(VLOOKUP(C157,배너촬영리스트!$C:$E,3,)))</f>
        <v/>
      </c>
      <c r="P157" s="36" t="str">
        <f>IF(ISERROR(VLOOKUP(C157,배너촬영리스트!$C:$E,2,)),"",(VLOOKUP(C157,배너촬영리스트!$C:$E,2,)))</f>
        <v/>
      </c>
    </row>
    <row r="158" spans="2:16">
      <c r="B158" s="20" t="str">
        <f t="shared" si="2"/>
        <v>RM</v>
      </c>
      <c r="C158" s="11" t="s">
        <v>27</v>
      </c>
      <c r="D158" s="12" t="e">
        <f>VLOOKUP(C158,#REF!,2,0)</f>
        <v>#REF!</v>
      </c>
      <c r="E158" s="10" t="e">
        <f>VLOOKUP(C158,#REF!,4,0)</f>
        <v>#REF!</v>
      </c>
      <c r="F158" s="37" t="e">
        <f>VLOOKUP(C158,#REF!,8,0)</f>
        <v>#REF!</v>
      </c>
      <c r="G158" s="22" t="str">
        <f>IF(ISERROR(IF(VLOOKUP(C158,#REF!,2,0)&gt;0,"등록","")),"",(IF(VLOOKUP(C158,#REF!,2,0)&gt;0,"등록","")))</f>
        <v/>
      </c>
      <c r="H158" s="33" t="str">
        <f t="array" aca="1" ref="H158" ca="1">IF(ISERROR(OFFSET(#REF!,SMALL(IF(#REF!=RM시즌체크판!C158,ROW(#REF!)-20),1),)),"",(OFFSET(#REF!,SMALL(IF(#REF!=RM시즌체크판!C158,ROW(#REF!)-20),1),)))</f>
        <v/>
      </c>
      <c r="I158" s="34" t="str">
        <f t="array" aca="1" ref="I158" ca="1">IF(ISERROR(OFFSET(#REF!,SMALL(IF(#REF!=RM시즌체크판!C158,ROW(#REF!)-20),2),)),"",(OFFSET(#REF!,SMALL(IF(#REF!=RM시즌체크판!C158,ROW(#REF!)-20),2),)))</f>
        <v/>
      </c>
      <c r="J158" s="34" t="str">
        <f t="array" aca="1" ref="J158" ca="1">IF(ISERROR(OFFSET(#REF!,SMALL(IF(#REF!=RM시즌체크판!C158,ROW(#REF!)-20),3),)),"",(OFFSET(#REF!,SMALL(IF(#REF!=RM시즌체크판!C158,ROW(#REF!)-20),3),)))</f>
        <v/>
      </c>
      <c r="K158" s="34" t="str">
        <f t="array" aca="1" ref="K158" ca="1">IF(ISERROR(OFFSET(#REF!,SMALL(IF(#REF!=RM시즌체크판!C158,ROW(#REF!)-20),4),)),"",(OFFSET(#REF!,SMALL(IF(#REF!=RM시즌체크판!C158,ROW(#REF!)-20),4),)))</f>
        <v/>
      </c>
      <c r="L158" s="34" t="str">
        <f t="array" aca="1" ref="L158" ca="1">IF(ISERROR(OFFSET(#REF!,SMALL(IF(#REF!=RM시즌체크판!C158,ROW(#REF!)-20),5),)),"",(OFFSET(#REF!,SMALL(IF(#REF!=RM시즌체크판!C158,ROW(#REF!)-20),5),)))</f>
        <v/>
      </c>
      <c r="M158" s="35" t="str">
        <f t="array" aca="1" ref="M158" ca="1">IF(ISERROR(OFFSET(#REF!,SMALL(IF(#REF!=RM시즌체크판!C158,ROW(#REF!)-20),6),)),"",(OFFSET(#REF!,SMALL(IF(#REF!=RM시즌체크판!C158,ROW(#REF!)-20),6),)))</f>
        <v/>
      </c>
      <c r="N158" s="27" t="str">
        <f>IF(ISERROR(VLOOKUP(C158,모델촬영리스트!$C:$E,3,)),"",(VLOOKUP(C158,모델촬영리스트!$C:$E,3,)))</f>
        <v/>
      </c>
      <c r="O158" s="23" t="str">
        <f>IF(ISERROR(VLOOKUP(C158,배너촬영리스트!$C:$E,3,)),"",(VLOOKUP(C158,배너촬영리스트!$C:$E,3,)))</f>
        <v/>
      </c>
      <c r="P158" s="36" t="str">
        <f>IF(ISERROR(VLOOKUP(C158,배너촬영리스트!$C:$E,2,)),"",(VLOOKUP(C158,배너촬영리스트!$C:$E,2,)))</f>
        <v/>
      </c>
    </row>
    <row r="159" spans="2:16">
      <c r="B159" s="20" t="str">
        <f t="shared" si="2"/>
        <v>RM</v>
      </c>
      <c r="C159" s="11" t="s">
        <v>28</v>
      </c>
      <c r="D159" s="12" t="e">
        <f>VLOOKUP(C159,#REF!,2,0)</f>
        <v>#REF!</v>
      </c>
      <c r="E159" s="10" t="e">
        <f>VLOOKUP(C159,#REF!,4,0)</f>
        <v>#REF!</v>
      </c>
      <c r="F159" s="37" t="e">
        <f>VLOOKUP(C159,#REF!,8,0)</f>
        <v>#REF!</v>
      </c>
      <c r="G159" s="22" t="str">
        <f>IF(ISERROR(IF(VLOOKUP(C159,#REF!,2,0)&gt;0,"등록","")),"",(IF(VLOOKUP(C159,#REF!,2,0)&gt;0,"등록","")))</f>
        <v/>
      </c>
      <c r="H159" s="33" t="str">
        <f t="array" aca="1" ref="H159" ca="1">IF(ISERROR(OFFSET(#REF!,SMALL(IF(#REF!=RM시즌체크판!C159,ROW(#REF!)-20),1),)),"",(OFFSET(#REF!,SMALL(IF(#REF!=RM시즌체크판!C159,ROW(#REF!)-20),1),)))</f>
        <v/>
      </c>
      <c r="I159" s="34" t="str">
        <f t="array" aca="1" ref="I159" ca="1">IF(ISERROR(OFFSET(#REF!,SMALL(IF(#REF!=RM시즌체크판!C159,ROW(#REF!)-20),2),)),"",(OFFSET(#REF!,SMALL(IF(#REF!=RM시즌체크판!C159,ROW(#REF!)-20),2),)))</f>
        <v/>
      </c>
      <c r="J159" s="34" t="str">
        <f t="array" aca="1" ref="J159" ca="1">IF(ISERROR(OFFSET(#REF!,SMALL(IF(#REF!=RM시즌체크판!C159,ROW(#REF!)-20),3),)),"",(OFFSET(#REF!,SMALL(IF(#REF!=RM시즌체크판!C159,ROW(#REF!)-20),3),)))</f>
        <v/>
      </c>
      <c r="K159" s="34" t="str">
        <f t="array" aca="1" ref="K159" ca="1">IF(ISERROR(OFFSET(#REF!,SMALL(IF(#REF!=RM시즌체크판!C159,ROW(#REF!)-20),4),)),"",(OFFSET(#REF!,SMALL(IF(#REF!=RM시즌체크판!C159,ROW(#REF!)-20),4),)))</f>
        <v/>
      </c>
      <c r="L159" s="34" t="str">
        <f t="array" aca="1" ref="L159" ca="1">IF(ISERROR(OFFSET(#REF!,SMALL(IF(#REF!=RM시즌체크판!C159,ROW(#REF!)-20),5),)),"",(OFFSET(#REF!,SMALL(IF(#REF!=RM시즌체크판!C159,ROW(#REF!)-20),5),)))</f>
        <v/>
      </c>
      <c r="M159" s="35" t="str">
        <f t="array" aca="1" ref="M159" ca="1">IF(ISERROR(OFFSET(#REF!,SMALL(IF(#REF!=RM시즌체크판!C159,ROW(#REF!)-20),6),)),"",(OFFSET(#REF!,SMALL(IF(#REF!=RM시즌체크판!C159,ROW(#REF!)-20),6),)))</f>
        <v/>
      </c>
      <c r="N159" s="27" t="str">
        <f>IF(ISERROR(VLOOKUP(C159,모델촬영리스트!$C:$E,3,)),"",(VLOOKUP(C159,모델촬영리스트!$C:$E,3,)))</f>
        <v/>
      </c>
      <c r="O159" s="23" t="str">
        <f>IF(ISERROR(VLOOKUP(C159,배너촬영리스트!$C:$E,3,)),"",(VLOOKUP(C159,배너촬영리스트!$C:$E,3,)))</f>
        <v/>
      </c>
      <c r="P159" s="36" t="str">
        <f>IF(ISERROR(VLOOKUP(C159,배너촬영리스트!$C:$E,2,)),"",(VLOOKUP(C159,배너촬영리스트!$C:$E,2,)))</f>
        <v/>
      </c>
    </row>
    <row r="160" spans="2:16">
      <c r="B160" s="20" t="str">
        <f t="shared" si="2"/>
        <v>RM</v>
      </c>
      <c r="C160" s="11" t="s">
        <v>29</v>
      </c>
      <c r="D160" s="12" t="e">
        <f>VLOOKUP(C160,#REF!,2,0)</f>
        <v>#REF!</v>
      </c>
      <c r="E160" s="10" t="e">
        <f>VLOOKUP(C160,#REF!,4,0)</f>
        <v>#REF!</v>
      </c>
      <c r="F160" s="37" t="e">
        <f>VLOOKUP(C160,#REF!,8,0)</f>
        <v>#REF!</v>
      </c>
      <c r="G160" s="22" t="str">
        <f>IF(ISERROR(IF(VLOOKUP(C160,#REF!,2,0)&gt;0,"등록","")),"",(IF(VLOOKUP(C160,#REF!,2,0)&gt;0,"등록","")))</f>
        <v/>
      </c>
      <c r="H160" s="33" t="str">
        <f t="array" aca="1" ref="H160" ca="1">IF(ISERROR(OFFSET(#REF!,SMALL(IF(#REF!=RM시즌체크판!C160,ROW(#REF!)-20),1),)),"",(OFFSET(#REF!,SMALL(IF(#REF!=RM시즌체크판!C160,ROW(#REF!)-20),1),)))</f>
        <v/>
      </c>
      <c r="I160" s="34" t="str">
        <f t="array" aca="1" ref="I160" ca="1">IF(ISERROR(OFFSET(#REF!,SMALL(IF(#REF!=RM시즌체크판!C160,ROW(#REF!)-20),2),)),"",(OFFSET(#REF!,SMALL(IF(#REF!=RM시즌체크판!C160,ROW(#REF!)-20),2),)))</f>
        <v/>
      </c>
      <c r="J160" s="34" t="str">
        <f t="array" aca="1" ref="J160" ca="1">IF(ISERROR(OFFSET(#REF!,SMALL(IF(#REF!=RM시즌체크판!C160,ROW(#REF!)-20),3),)),"",(OFFSET(#REF!,SMALL(IF(#REF!=RM시즌체크판!C160,ROW(#REF!)-20),3),)))</f>
        <v/>
      </c>
      <c r="K160" s="34" t="str">
        <f t="array" aca="1" ref="K160" ca="1">IF(ISERROR(OFFSET(#REF!,SMALL(IF(#REF!=RM시즌체크판!C160,ROW(#REF!)-20),4),)),"",(OFFSET(#REF!,SMALL(IF(#REF!=RM시즌체크판!C160,ROW(#REF!)-20),4),)))</f>
        <v/>
      </c>
      <c r="L160" s="34" t="str">
        <f t="array" aca="1" ref="L160" ca="1">IF(ISERROR(OFFSET(#REF!,SMALL(IF(#REF!=RM시즌체크판!C160,ROW(#REF!)-20),5),)),"",(OFFSET(#REF!,SMALL(IF(#REF!=RM시즌체크판!C160,ROW(#REF!)-20),5),)))</f>
        <v/>
      </c>
      <c r="M160" s="35" t="str">
        <f t="array" aca="1" ref="M160" ca="1">IF(ISERROR(OFFSET(#REF!,SMALL(IF(#REF!=RM시즌체크판!C160,ROW(#REF!)-20),6),)),"",(OFFSET(#REF!,SMALL(IF(#REF!=RM시즌체크판!C160,ROW(#REF!)-20),6),)))</f>
        <v/>
      </c>
      <c r="N160" s="27" t="str">
        <f>IF(ISERROR(VLOOKUP(C160,모델촬영리스트!$C:$E,3,)),"",(VLOOKUP(C160,모델촬영리스트!$C:$E,3,)))</f>
        <v/>
      </c>
      <c r="O160" s="23" t="str">
        <f>IF(ISERROR(VLOOKUP(C160,배너촬영리스트!$C:$E,3,)),"",(VLOOKUP(C160,배너촬영리스트!$C:$E,3,)))</f>
        <v/>
      </c>
      <c r="P160" s="36" t="str">
        <f>IF(ISERROR(VLOOKUP(C160,배너촬영리스트!$C:$E,2,)),"",(VLOOKUP(C160,배너촬영리스트!$C:$E,2,)))</f>
        <v/>
      </c>
    </row>
    <row r="161" spans="2:16">
      <c r="B161" s="20" t="str">
        <f t="shared" si="2"/>
        <v>RM</v>
      </c>
      <c r="C161" s="11" t="s">
        <v>30</v>
      </c>
      <c r="D161" s="12" t="e">
        <f>VLOOKUP(C161,#REF!,2,0)</f>
        <v>#REF!</v>
      </c>
      <c r="E161" s="10" t="e">
        <f>VLOOKUP(C161,#REF!,4,0)</f>
        <v>#REF!</v>
      </c>
      <c r="F161" s="37" t="e">
        <f>VLOOKUP(C161,#REF!,8,0)</f>
        <v>#REF!</v>
      </c>
      <c r="G161" s="22" t="str">
        <f>IF(ISERROR(IF(VLOOKUP(C161,#REF!,2,0)&gt;0,"등록","")),"",(IF(VLOOKUP(C161,#REF!,2,0)&gt;0,"등록","")))</f>
        <v/>
      </c>
      <c r="H161" s="33" t="str">
        <f t="array" aca="1" ref="H161" ca="1">IF(ISERROR(OFFSET(#REF!,SMALL(IF(#REF!=RM시즌체크판!C161,ROW(#REF!)-20),1),)),"",(OFFSET(#REF!,SMALL(IF(#REF!=RM시즌체크판!C161,ROW(#REF!)-20),1),)))</f>
        <v/>
      </c>
      <c r="I161" s="34" t="str">
        <f t="array" aca="1" ref="I161" ca="1">IF(ISERROR(OFFSET(#REF!,SMALL(IF(#REF!=RM시즌체크판!C161,ROW(#REF!)-20),2),)),"",(OFFSET(#REF!,SMALL(IF(#REF!=RM시즌체크판!C161,ROW(#REF!)-20),2),)))</f>
        <v/>
      </c>
      <c r="J161" s="34" t="str">
        <f t="array" aca="1" ref="J161" ca="1">IF(ISERROR(OFFSET(#REF!,SMALL(IF(#REF!=RM시즌체크판!C161,ROW(#REF!)-20),3),)),"",(OFFSET(#REF!,SMALL(IF(#REF!=RM시즌체크판!C161,ROW(#REF!)-20),3),)))</f>
        <v/>
      </c>
      <c r="K161" s="34" t="str">
        <f t="array" aca="1" ref="K161" ca="1">IF(ISERROR(OFFSET(#REF!,SMALL(IF(#REF!=RM시즌체크판!C161,ROW(#REF!)-20),4),)),"",(OFFSET(#REF!,SMALL(IF(#REF!=RM시즌체크판!C161,ROW(#REF!)-20),4),)))</f>
        <v/>
      </c>
      <c r="L161" s="34" t="str">
        <f t="array" aca="1" ref="L161" ca="1">IF(ISERROR(OFFSET(#REF!,SMALL(IF(#REF!=RM시즌체크판!C161,ROW(#REF!)-20),5),)),"",(OFFSET(#REF!,SMALL(IF(#REF!=RM시즌체크판!C161,ROW(#REF!)-20),5),)))</f>
        <v/>
      </c>
      <c r="M161" s="35" t="str">
        <f t="array" aca="1" ref="M161" ca="1">IF(ISERROR(OFFSET(#REF!,SMALL(IF(#REF!=RM시즌체크판!C161,ROW(#REF!)-20),6),)),"",(OFFSET(#REF!,SMALL(IF(#REF!=RM시즌체크판!C161,ROW(#REF!)-20),6),)))</f>
        <v/>
      </c>
      <c r="N161" s="27" t="str">
        <f>IF(ISERROR(VLOOKUP(C161,모델촬영리스트!$C:$E,3,)),"",(VLOOKUP(C161,모델촬영리스트!$C:$E,3,)))</f>
        <v/>
      </c>
      <c r="O161" s="23" t="str">
        <f>IF(ISERROR(VLOOKUP(C161,배너촬영리스트!$C:$E,3,)),"",(VLOOKUP(C161,배너촬영리스트!$C:$E,3,)))</f>
        <v/>
      </c>
      <c r="P161" s="36" t="str">
        <f>IF(ISERROR(VLOOKUP(C161,배너촬영리스트!$C:$E,2,)),"",(VLOOKUP(C161,배너촬영리스트!$C:$E,2,)))</f>
        <v/>
      </c>
    </row>
    <row r="162" spans="2:16">
      <c r="B162" s="20" t="str">
        <f t="shared" si="2"/>
        <v>RM</v>
      </c>
      <c r="C162" s="11" t="s">
        <v>31</v>
      </c>
      <c r="D162" s="12" t="e">
        <f>VLOOKUP(C162,#REF!,2,0)</f>
        <v>#REF!</v>
      </c>
      <c r="E162" s="10" t="e">
        <f>VLOOKUP(C162,#REF!,4,0)</f>
        <v>#REF!</v>
      </c>
      <c r="F162" s="37" t="e">
        <f>VLOOKUP(C162,#REF!,8,0)</f>
        <v>#REF!</v>
      </c>
      <c r="G162" s="22" t="str">
        <f>IF(ISERROR(IF(VLOOKUP(C162,#REF!,2,0)&gt;0,"등록","")),"",(IF(VLOOKUP(C162,#REF!,2,0)&gt;0,"등록","")))</f>
        <v/>
      </c>
      <c r="H162" s="33" t="str">
        <f t="array" aca="1" ref="H162" ca="1">IF(ISERROR(OFFSET(#REF!,SMALL(IF(#REF!=RM시즌체크판!C162,ROW(#REF!)-20),1),)),"",(OFFSET(#REF!,SMALL(IF(#REF!=RM시즌체크판!C162,ROW(#REF!)-20),1),)))</f>
        <v/>
      </c>
      <c r="I162" s="34" t="str">
        <f t="array" aca="1" ref="I162" ca="1">IF(ISERROR(OFFSET(#REF!,SMALL(IF(#REF!=RM시즌체크판!C162,ROW(#REF!)-20),2),)),"",(OFFSET(#REF!,SMALL(IF(#REF!=RM시즌체크판!C162,ROW(#REF!)-20),2),)))</f>
        <v/>
      </c>
      <c r="J162" s="34" t="str">
        <f t="array" aca="1" ref="J162" ca="1">IF(ISERROR(OFFSET(#REF!,SMALL(IF(#REF!=RM시즌체크판!C162,ROW(#REF!)-20),3),)),"",(OFFSET(#REF!,SMALL(IF(#REF!=RM시즌체크판!C162,ROW(#REF!)-20),3),)))</f>
        <v/>
      </c>
      <c r="K162" s="34" t="str">
        <f t="array" aca="1" ref="K162" ca="1">IF(ISERROR(OFFSET(#REF!,SMALL(IF(#REF!=RM시즌체크판!C162,ROW(#REF!)-20),4),)),"",(OFFSET(#REF!,SMALL(IF(#REF!=RM시즌체크판!C162,ROW(#REF!)-20),4),)))</f>
        <v/>
      </c>
      <c r="L162" s="34" t="str">
        <f t="array" aca="1" ref="L162" ca="1">IF(ISERROR(OFFSET(#REF!,SMALL(IF(#REF!=RM시즌체크판!C162,ROW(#REF!)-20),5),)),"",(OFFSET(#REF!,SMALL(IF(#REF!=RM시즌체크판!C162,ROW(#REF!)-20),5),)))</f>
        <v/>
      </c>
      <c r="M162" s="35" t="str">
        <f t="array" aca="1" ref="M162" ca="1">IF(ISERROR(OFFSET(#REF!,SMALL(IF(#REF!=RM시즌체크판!C162,ROW(#REF!)-20),6),)),"",(OFFSET(#REF!,SMALL(IF(#REF!=RM시즌체크판!C162,ROW(#REF!)-20),6),)))</f>
        <v/>
      </c>
      <c r="N162" s="27" t="str">
        <f>IF(ISERROR(VLOOKUP(C162,모델촬영리스트!$C:$E,3,)),"",(VLOOKUP(C162,모델촬영리스트!$C:$E,3,)))</f>
        <v/>
      </c>
      <c r="O162" s="23" t="str">
        <f>IF(ISERROR(VLOOKUP(C162,배너촬영리스트!$C:$E,3,)),"",(VLOOKUP(C162,배너촬영리스트!$C:$E,3,)))</f>
        <v/>
      </c>
      <c r="P162" s="36" t="str">
        <f>IF(ISERROR(VLOOKUP(C162,배너촬영리스트!$C:$E,2,)),"",(VLOOKUP(C162,배너촬영리스트!$C:$E,2,)))</f>
        <v/>
      </c>
    </row>
    <row r="163" spans="2:16">
      <c r="B163" s="20" t="str">
        <f t="shared" si="2"/>
        <v>RM</v>
      </c>
      <c r="C163" s="11" t="s">
        <v>32</v>
      </c>
      <c r="D163" s="12" t="e">
        <f>VLOOKUP(C163,#REF!,2,0)</f>
        <v>#REF!</v>
      </c>
      <c r="E163" s="10" t="e">
        <f>VLOOKUP(C163,#REF!,4,0)</f>
        <v>#REF!</v>
      </c>
      <c r="F163" s="37" t="e">
        <f>VLOOKUP(C163,#REF!,8,0)</f>
        <v>#REF!</v>
      </c>
      <c r="G163" s="22" t="str">
        <f>IF(ISERROR(IF(VLOOKUP(C163,#REF!,2,0)&gt;0,"등록","")),"",(IF(VLOOKUP(C163,#REF!,2,0)&gt;0,"등록","")))</f>
        <v/>
      </c>
      <c r="H163" s="33" t="str">
        <f t="array" aca="1" ref="H163" ca="1">IF(ISERROR(OFFSET(#REF!,SMALL(IF(#REF!=RM시즌체크판!C163,ROW(#REF!)-20),1),)),"",(OFFSET(#REF!,SMALL(IF(#REF!=RM시즌체크판!C163,ROW(#REF!)-20),1),)))</f>
        <v/>
      </c>
      <c r="I163" s="34" t="str">
        <f t="array" aca="1" ref="I163" ca="1">IF(ISERROR(OFFSET(#REF!,SMALL(IF(#REF!=RM시즌체크판!C163,ROW(#REF!)-20),2),)),"",(OFFSET(#REF!,SMALL(IF(#REF!=RM시즌체크판!C163,ROW(#REF!)-20),2),)))</f>
        <v/>
      </c>
      <c r="J163" s="34" t="str">
        <f t="array" aca="1" ref="J163" ca="1">IF(ISERROR(OFFSET(#REF!,SMALL(IF(#REF!=RM시즌체크판!C163,ROW(#REF!)-20),3),)),"",(OFFSET(#REF!,SMALL(IF(#REF!=RM시즌체크판!C163,ROW(#REF!)-20),3),)))</f>
        <v/>
      </c>
      <c r="K163" s="34" t="str">
        <f t="array" aca="1" ref="K163" ca="1">IF(ISERROR(OFFSET(#REF!,SMALL(IF(#REF!=RM시즌체크판!C163,ROW(#REF!)-20),4),)),"",(OFFSET(#REF!,SMALL(IF(#REF!=RM시즌체크판!C163,ROW(#REF!)-20),4),)))</f>
        <v/>
      </c>
      <c r="L163" s="34" t="str">
        <f t="array" aca="1" ref="L163" ca="1">IF(ISERROR(OFFSET(#REF!,SMALL(IF(#REF!=RM시즌체크판!C163,ROW(#REF!)-20),5),)),"",(OFFSET(#REF!,SMALL(IF(#REF!=RM시즌체크판!C163,ROW(#REF!)-20),5),)))</f>
        <v/>
      </c>
      <c r="M163" s="35" t="str">
        <f t="array" aca="1" ref="M163" ca="1">IF(ISERROR(OFFSET(#REF!,SMALL(IF(#REF!=RM시즌체크판!C163,ROW(#REF!)-20),6),)),"",(OFFSET(#REF!,SMALL(IF(#REF!=RM시즌체크판!C163,ROW(#REF!)-20),6),)))</f>
        <v/>
      </c>
      <c r="N163" s="27" t="str">
        <f>IF(ISERROR(VLOOKUP(C163,모델촬영리스트!$C:$E,3,)),"",(VLOOKUP(C163,모델촬영리스트!$C:$E,3,)))</f>
        <v/>
      </c>
      <c r="O163" s="23" t="str">
        <f>IF(ISERROR(VLOOKUP(C163,배너촬영리스트!$C:$E,3,)),"",(VLOOKUP(C163,배너촬영리스트!$C:$E,3,)))</f>
        <v/>
      </c>
      <c r="P163" s="36" t="str">
        <f>IF(ISERROR(VLOOKUP(C163,배너촬영리스트!$C:$E,2,)),"",(VLOOKUP(C163,배너촬영리스트!$C:$E,2,)))</f>
        <v/>
      </c>
    </row>
    <row r="164" spans="2:16">
      <c r="B164" s="20" t="str">
        <f t="shared" si="2"/>
        <v>RM</v>
      </c>
      <c r="C164" s="11" t="s">
        <v>33</v>
      </c>
      <c r="D164" s="12" t="e">
        <f>VLOOKUP(C164,#REF!,2,0)</f>
        <v>#REF!</v>
      </c>
      <c r="E164" s="10" t="e">
        <f>VLOOKUP(C164,#REF!,4,0)</f>
        <v>#REF!</v>
      </c>
      <c r="F164" s="37" t="e">
        <f>VLOOKUP(C164,#REF!,8,0)</f>
        <v>#REF!</v>
      </c>
      <c r="G164" s="22" t="str">
        <f>IF(ISERROR(IF(VLOOKUP(C164,#REF!,2,0)&gt;0,"등록","")),"",(IF(VLOOKUP(C164,#REF!,2,0)&gt;0,"등록","")))</f>
        <v/>
      </c>
      <c r="H164" s="33" t="str">
        <f t="array" aca="1" ref="H164" ca="1">IF(ISERROR(OFFSET(#REF!,SMALL(IF(#REF!=RM시즌체크판!C164,ROW(#REF!)-20),1),)),"",(OFFSET(#REF!,SMALL(IF(#REF!=RM시즌체크판!C164,ROW(#REF!)-20),1),)))</f>
        <v/>
      </c>
      <c r="I164" s="34" t="str">
        <f t="array" aca="1" ref="I164" ca="1">IF(ISERROR(OFFSET(#REF!,SMALL(IF(#REF!=RM시즌체크판!C164,ROW(#REF!)-20),2),)),"",(OFFSET(#REF!,SMALL(IF(#REF!=RM시즌체크판!C164,ROW(#REF!)-20),2),)))</f>
        <v/>
      </c>
      <c r="J164" s="34" t="str">
        <f t="array" aca="1" ref="J164" ca="1">IF(ISERROR(OFFSET(#REF!,SMALL(IF(#REF!=RM시즌체크판!C164,ROW(#REF!)-20),3),)),"",(OFFSET(#REF!,SMALL(IF(#REF!=RM시즌체크판!C164,ROW(#REF!)-20),3),)))</f>
        <v/>
      </c>
      <c r="K164" s="34" t="str">
        <f t="array" aca="1" ref="K164" ca="1">IF(ISERROR(OFFSET(#REF!,SMALL(IF(#REF!=RM시즌체크판!C164,ROW(#REF!)-20),4),)),"",(OFFSET(#REF!,SMALL(IF(#REF!=RM시즌체크판!C164,ROW(#REF!)-20),4),)))</f>
        <v/>
      </c>
      <c r="L164" s="34" t="str">
        <f t="array" aca="1" ref="L164" ca="1">IF(ISERROR(OFFSET(#REF!,SMALL(IF(#REF!=RM시즌체크판!C164,ROW(#REF!)-20),5),)),"",(OFFSET(#REF!,SMALL(IF(#REF!=RM시즌체크판!C164,ROW(#REF!)-20),5),)))</f>
        <v/>
      </c>
      <c r="M164" s="35" t="str">
        <f t="array" aca="1" ref="M164" ca="1">IF(ISERROR(OFFSET(#REF!,SMALL(IF(#REF!=RM시즌체크판!C164,ROW(#REF!)-20),6),)),"",(OFFSET(#REF!,SMALL(IF(#REF!=RM시즌체크판!C164,ROW(#REF!)-20),6),)))</f>
        <v/>
      </c>
      <c r="N164" s="27" t="str">
        <f>IF(ISERROR(VLOOKUP(C164,모델촬영리스트!$C:$E,3,)),"",(VLOOKUP(C164,모델촬영리스트!$C:$E,3,)))</f>
        <v/>
      </c>
      <c r="O164" s="23" t="str">
        <f>IF(ISERROR(VLOOKUP(C164,배너촬영리스트!$C:$E,3,)),"",(VLOOKUP(C164,배너촬영리스트!$C:$E,3,)))</f>
        <v/>
      </c>
      <c r="P164" s="36" t="str">
        <f>IF(ISERROR(VLOOKUP(C164,배너촬영리스트!$C:$E,2,)),"",(VLOOKUP(C164,배너촬영리스트!$C:$E,2,)))</f>
        <v/>
      </c>
    </row>
    <row r="165" spans="2:16">
      <c r="B165" s="20" t="str">
        <f t="shared" si="2"/>
        <v>RM</v>
      </c>
      <c r="C165" s="11" t="s">
        <v>34</v>
      </c>
      <c r="D165" s="12" t="e">
        <f>VLOOKUP(C165,#REF!,2,0)</f>
        <v>#REF!</v>
      </c>
      <c r="E165" s="10" t="e">
        <f>VLOOKUP(C165,#REF!,4,0)</f>
        <v>#REF!</v>
      </c>
      <c r="F165" s="37" t="e">
        <f>VLOOKUP(C165,#REF!,8,0)</f>
        <v>#REF!</v>
      </c>
      <c r="G165" s="22" t="str">
        <f>IF(ISERROR(IF(VLOOKUP(C165,#REF!,2,0)&gt;0,"등록","")),"",(IF(VLOOKUP(C165,#REF!,2,0)&gt;0,"등록","")))</f>
        <v/>
      </c>
      <c r="H165" s="33" t="str">
        <f t="array" aca="1" ref="H165" ca="1">IF(ISERROR(OFFSET(#REF!,SMALL(IF(#REF!=RM시즌체크판!C165,ROW(#REF!)-20),1),)),"",(OFFSET(#REF!,SMALL(IF(#REF!=RM시즌체크판!C165,ROW(#REF!)-20),1),)))</f>
        <v/>
      </c>
      <c r="I165" s="34" t="str">
        <f t="array" aca="1" ref="I165" ca="1">IF(ISERROR(OFFSET(#REF!,SMALL(IF(#REF!=RM시즌체크판!C165,ROW(#REF!)-20),2),)),"",(OFFSET(#REF!,SMALL(IF(#REF!=RM시즌체크판!C165,ROW(#REF!)-20),2),)))</f>
        <v/>
      </c>
      <c r="J165" s="34" t="str">
        <f t="array" aca="1" ref="J165" ca="1">IF(ISERROR(OFFSET(#REF!,SMALL(IF(#REF!=RM시즌체크판!C165,ROW(#REF!)-20),3),)),"",(OFFSET(#REF!,SMALL(IF(#REF!=RM시즌체크판!C165,ROW(#REF!)-20),3),)))</f>
        <v/>
      </c>
      <c r="K165" s="34" t="str">
        <f t="array" aca="1" ref="K165" ca="1">IF(ISERROR(OFFSET(#REF!,SMALL(IF(#REF!=RM시즌체크판!C165,ROW(#REF!)-20),4),)),"",(OFFSET(#REF!,SMALL(IF(#REF!=RM시즌체크판!C165,ROW(#REF!)-20),4),)))</f>
        <v/>
      </c>
      <c r="L165" s="34" t="str">
        <f t="array" aca="1" ref="L165" ca="1">IF(ISERROR(OFFSET(#REF!,SMALL(IF(#REF!=RM시즌체크판!C165,ROW(#REF!)-20),5),)),"",(OFFSET(#REF!,SMALL(IF(#REF!=RM시즌체크판!C165,ROW(#REF!)-20),5),)))</f>
        <v/>
      </c>
      <c r="M165" s="35" t="str">
        <f t="array" aca="1" ref="M165" ca="1">IF(ISERROR(OFFSET(#REF!,SMALL(IF(#REF!=RM시즌체크판!C165,ROW(#REF!)-20),6),)),"",(OFFSET(#REF!,SMALL(IF(#REF!=RM시즌체크판!C165,ROW(#REF!)-20),6),)))</f>
        <v/>
      </c>
      <c r="N165" s="27" t="str">
        <f>IF(ISERROR(VLOOKUP(C165,모델촬영리스트!$C:$E,3,)),"",(VLOOKUP(C165,모델촬영리스트!$C:$E,3,)))</f>
        <v/>
      </c>
      <c r="O165" s="23" t="str">
        <f>IF(ISERROR(VLOOKUP(C165,배너촬영리스트!$C:$E,3,)),"",(VLOOKUP(C165,배너촬영리스트!$C:$E,3,)))</f>
        <v/>
      </c>
      <c r="P165" s="36" t="str">
        <f>IF(ISERROR(VLOOKUP(C165,배너촬영리스트!$C:$E,2,)),"",(VLOOKUP(C165,배너촬영리스트!$C:$E,2,)))</f>
        <v/>
      </c>
    </row>
    <row r="166" spans="2:16">
      <c r="B166" s="20" t="str">
        <f t="shared" si="2"/>
        <v>RM</v>
      </c>
      <c r="C166" s="11" t="s">
        <v>35</v>
      </c>
      <c r="D166" s="12" t="e">
        <f>VLOOKUP(C166,#REF!,2,0)</f>
        <v>#REF!</v>
      </c>
      <c r="E166" s="10" t="e">
        <f>VLOOKUP(C166,#REF!,4,0)</f>
        <v>#REF!</v>
      </c>
      <c r="F166" s="37" t="e">
        <f>VLOOKUP(C166,#REF!,8,0)</f>
        <v>#REF!</v>
      </c>
      <c r="G166" s="22" t="str">
        <f>IF(ISERROR(IF(VLOOKUP(C166,#REF!,2,0)&gt;0,"등록","")),"",(IF(VLOOKUP(C166,#REF!,2,0)&gt;0,"등록","")))</f>
        <v/>
      </c>
      <c r="H166" s="33" t="str">
        <f t="array" aca="1" ref="H166" ca="1">IF(ISERROR(OFFSET(#REF!,SMALL(IF(#REF!=RM시즌체크판!C166,ROW(#REF!)-20),1),)),"",(OFFSET(#REF!,SMALL(IF(#REF!=RM시즌체크판!C166,ROW(#REF!)-20),1),)))</f>
        <v/>
      </c>
      <c r="I166" s="34" t="str">
        <f t="array" aca="1" ref="I166" ca="1">IF(ISERROR(OFFSET(#REF!,SMALL(IF(#REF!=RM시즌체크판!C166,ROW(#REF!)-20),2),)),"",(OFFSET(#REF!,SMALL(IF(#REF!=RM시즌체크판!C166,ROW(#REF!)-20),2),)))</f>
        <v/>
      </c>
      <c r="J166" s="34" t="str">
        <f t="array" aca="1" ref="J166" ca="1">IF(ISERROR(OFFSET(#REF!,SMALL(IF(#REF!=RM시즌체크판!C166,ROW(#REF!)-20),3),)),"",(OFFSET(#REF!,SMALL(IF(#REF!=RM시즌체크판!C166,ROW(#REF!)-20),3),)))</f>
        <v/>
      </c>
      <c r="K166" s="34" t="str">
        <f t="array" aca="1" ref="K166" ca="1">IF(ISERROR(OFFSET(#REF!,SMALL(IF(#REF!=RM시즌체크판!C166,ROW(#REF!)-20),4),)),"",(OFFSET(#REF!,SMALL(IF(#REF!=RM시즌체크판!C166,ROW(#REF!)-20),4),)))</f>
        <v/>
      </c>
      <c r="L166" s="34" t="str">
        <f t="array" aca="1" ref="L166" ca="1">IF(ISERROR(OFFSET(#REF!,SMALL(IF(#REF!=RM시즌체크판!C166,ROW(#REF!)-20),5),)),"",(OFFSET(#REF!,SMALL(IF(#REF!=RM시즌체크판!C166,ROW(#REF!)-20),5),)))</f>
        <v/>
      </c>
      <c r="M166" s="35" t="str">
        <f t="array" aca="1" ref="M166" ca="1">IF(ISERROR(OFFSET(#REF!,SMALL(IF(#REF!=RM시즌체크판!C166,ROW(#REF!)-20),6),)),"",(OFFSET(#REF!,SMALL(IF(#REF!=RM시즌체크판!C166,ROW(#REF!)-20),6),)))</f>
        <v/>
      </c>
      <c r="N166" s="27" t="str">
        <f>IF(ISERROR(VLOOKUP(C166,모델촬영리스트!$C:$E,3,)),"",(VLOOKUP(C166,모델촬영리스트!$C:$E,3,)))</f>
        <v/>
      </c>
      <c r="O166" s="23" t="str">
        <f>IF(ISERROR(VLOOKUP(C166,배너촬영리스트!$C:$E,3,)),"",(VLOOKUP(C166,배너촬영리스트!$C:$E,3,)))</f>
        <v/>
      </c>
      <c r="P166" s="36" t="str">
        <f>IF(ISERROR(VLOOKUP(C166,배너촬영리스트!$C:$E,2,)),"",(VLOOKUP(C166,배너촬영리스트!$C:$E,2,)))</f>
        <v/>
      </c>
    </row>
    <row r="167" spans="2:16">
      <c r="B167" s="20" t="str">
        <f t="shared" si="2"/>
        <v>RM</v>
      </c>
      <c r="C167" s="11" t="s">
        <v>36</v>
      </c>
      <c r="D167" s="12" t="e">
        <f>VLOOKUP(C167,#REF!,2,0)</f>
        <v>#REF!</v>
      </c>
      <c r="E167" s="10" t="e">
        <f>VLOOKUP(C167,#REF!,4,0)</f>
        <v>#REF!</v>
      </c>
      <c r="F167" s="37" t="e">
        <f>VLOOKUP(C167,#REF!,8,0)</f>
        <v>#REF!</v>
      </c>
      <c r="G167" s="22" t="str">
        <f>IF(ISERROR(IF(VLOOKUP(C167,#REF!,2,0)&gt;0,"등록","")),"",(IF(VLOOKUP(C167,#REF!,2,0)&gt;0,"등록","")))</f>
        <v/>
      </c>
      <c r="H167" s="33" t="str">
        <f t="array" aca="1" ref="H167" ca="1">IF(ISERROR(OFFSET(#REF!,SMALL(IF(#REF!=RM시즌체크판!C167,ROW(#REF!)-20),1),)),"",(OFFSET(#REF!,SMALL(IF(#REF!=RM시즌체크판!C167,ROW(#REF!)-20),1),)))</f>
        <v/>
      </c>
      <c r="I167" s="34" t="str">
        <f t="array" aca="1" ref="I167" ca="1">IF(ISERROR(OFFSET(#REF!,SMALL(IF(#REF!=RM시즌체크판!C167,ROW(#REF!)-20),2),)),"",(OFFSET(#REF!,SMALL(IF(#REF!=RM시즌체크판!C167,ROW(#REF!)-20),2),)))</f>
        <v/>
      </c>
      <c r="J167" s="34" t="str">
        <f t="array" aca="1" ref="J167" ca="1">IF(ISERROR(OFFSET(#REF!,SMALL(IF(#REF!=RM시즌체크판!C167,ROW(#REF!)-20),3),)),"",(OFFSET(#REF!,SMALL(IF(#REF!=RM시즌체크판!C167,ROW(#REF!)-20),3),)))</f>
        <v/>
      </c>
      <c r="K167" s="34" t="str">
        <f t="array" aca="1" ref="K167" ca="1">IF(ISERROR(OFFSET(#REF!,SMALL(IF(#REF!=RM시즌체크판!C167,ROW(#REF!)-20),4),)),"",(OFFSET(#REF!,SMALL(IF(#REF!=RM시즌체크판!C167,ROW(#REF!)-20),4),)))</f>
        <v/>
      </c>
      <c r="L167" s="34" t="str">
        <f t="array" aca="1" ref="L167" ca="1">IF(ISERROR(OFFSET(#REF!,SMALL(IF(#REF!=RM시즌체크판!C167,ROW(#REF!)-20),5),)),"",(OFFSET(#REF!,SMALL(IF(#REF!=RM시즌체크판!C167,ROW(#REF!)-20),5),)))</f>
        <v/>
      </c>
      <c r="M167" s="35" t="str">
        <f t="array" aca="1" ref="M167" ca="1">IF(ISERROR(OFFSET(#REF!,SMALL(IF(#REF!=RM시즌체크판!C167,ROW(#REF!)-20),6),)),"",(OFFSET(#REF!,SMALL(IF(#REF!=RM시즌체크판!C167,ROW(#REF!)-20),6),)))</f>
        <v/>
      </c>
      <c r="N167" s="27" t="str">
        <f>IF(ISERROR(VLOOKUP(C167,모델촬영리스트!$C:$E,3,)),"",(VLOOKUP(C167,모델촬영리스트!$C:$E,3,)))</f>
        <v/>
      </c>
      <c r="O167" s="23" t="str">
        <f>IF(ISERROR(VLOOKUP(C167,배너촬영리스트!$C:$E,3,)),"",(VLOOKUP(C167,배너촬영리스트!$C:$E,3,)))</f>
        <v/>
      </c>
      <c r="P167" s="36" t="str">
        <f>IF(ISERROR(VLOOKUP(C167,배너촬영리스트!$C:$E,2,)),"",(VLOOKUP(C167,배너촬영리스트!$C:$E,2,)))</f>
        <v/>
      </c>
    </row>
    <row r="168" spans="2:16">
      <c r="B168" s="20" t="str">
        <f t="shared" si="2"/>
        <v>RM</v>
      </c>
      <c r="C168" s="11" t="s">
        <v>37</v>
      </c>
      <c r="D168" s="12" t="e">
        <f>VLOOKUP(C168,#REF!,2,0)</f>
        <v>#REF!</v>
      </c>
      <c r="E168" s="10" t="e">
        <f>VLOOKUP(C168,#REF!,4,0)</f>
        <v>#REF!</v>
      </c>
      <c r="F168" s="37" t="e">
        <f>VLOOKUP(C168,#REF!,8,0)</f>
        <v>#REF!</v>
      </c>
      <c r="G168" s="22" t="str">
        <f>IF(ISERROR(IF(VLOOKUP(C168,#REF!,2,0)&gt;0,"등록","")),"",(IF(VLOOKUP(C168,#REF!,2,0)&gt;0,"등록","")))</f>
        <v/>
      </c>
      <c r="H168" s="33" t="str">
        <f t="array" aca="1" ref="H168" ca="1">IF(ISERROR(OFFSET(#REF!,SMALL(IF(#REF!=RM시즌체크판!C168,ROW(#REF!)-20),1),)),"",(OFFSET(#REF!,SMALL(IF(#REF!=RM시즌체크판!C168,ROW(#REF!)-20),1),)))</f>
        <v/>
      </c>
      <c r="I168" s="34" t="str">
        <f t="array" aca="1" ref="I168" ca="1">IF(ISERROR(OFFSET(#REF!,SMALL(IF(#REF!=RM시즌체크판!C168,ROW(#REF!)-20),2),)),"",(OFFSET(#REF!,SMALL(IF(#REF!=RM시즌체크판!C168,ROW(#REF!)-20),2),)))</f>
        <v/>
      </c>
      <c r="J168" s="34" t="str">
        <f t="array" aca="1" ref="J168" ca="1">IF(ISERROR(OFFSET(#REF!,SMALL(IF(#REF!=RM시즌체크판!C168,ROW(#REF!)-20),3),)),"",(OFFSET(#REF!,SMALL(IF(#REF!=RM시즌체크판!C168,ROW(#REF!)-20),3),)))</f>
        <v/>
      </c>
      <c r="K168" s="34" t="str">
        <f t="array" aca="1" ref="K168" ca="1">IF(ISERROR(OFFSET(#REF!,SMALL(IF(#REF!=RM시즌체크판!C168,ROW(#REF!)-20),4),)),"",(OFFSET(#REF!,SMALL(IF(#REF!=RM시즌체크판!C168,ROW(#REF!)-20),4),)))</f>
        <v/>
      </c>
      <c r="L168" s="34" t="str">
        <f t="array" aca="1" ref="L168" ca="1">IF(ISERROR(OFFSET(#REF!,SMALL(IF(#REF!=RM시즌체크판!C168,ROW(#REF!)-20),5),)),"",(OFFSET(#REF!,SMALL(IF(#REF!=RM시즌체크판!C168,ROW(#REF!)-20),5),)))</f>
        <v/>
      </c>
      <c r="M168" s="35" t="str">
        <f t="array" aca="1" ref="M168" ca="1">IF(ISERROR(OFFSET(#REF!,SMALL(IF(#REF!=RM시즌체크판!C168,ROW(#REF!)-20),6),)),"",(OFFSET(#REF!,SMALL(IF(#REF!=RM시즌체크판!C168,ROW(#REF!)-20),6),)))</f>
        <v/>
      </c>
      <c r="N168" s="27" t="str">
        <f>IF(ISERROR(VLOOKUP(C168,모델촬영리스트!$C:$E,3,)),"",(VLOOKUP(C168,모델촬영리스트!$C:$E,3,)))</f>
        <v/>
      </c>
      <c r="O168" s="23" t="str">
        <f>IF(ISERROR(VLOOKUP(C168,배너촬영리스트!$C:$E,3,)),"",(VLOOKUP(C168,배너촬영리스트!$C:$E,3,)))</f>
        <v/>
      </c>
      <c r="P168" s="36" t="str">
        <f>IF(ISERROR(VLOOKUP(C168,배너촬영리스트!$C:$E,2,)),"",(VLOOKUP(C168,배너촬영리스트!$C:$E,2,)))</f>
        <v/>
      </c>
    </row>
    <row r="169" spans="2:16">
      <c r="B169" s="20" t="str">
        <f t="shared" si="2"/>
        <v>RM</v>
      </c>
      <c r="C169" s="11" t="s">
        <v>38</v>
      </c>
      <c r="D169" s="12" t="e">
        <f>VLOOKUP(C169,#REF!,2,0)</f>
        <v>#REF!</v>
      </c>
      <c r="E169" s="10" t="e">
        <f>VLOOKUP(C169,#REF!,4,0)</f>
        <v>#REF!</v>
      </c>
      <c r="F169" s="37" t="e">
        <f>VLOOKUP(C169,#REF!,8,0)</f>
        <v>#REF!</v>
      </c>
      <c r="G169" s="22" t="str">
        <f>IF(ISERROR(IF(VLOOKUP(C169,#REF!,2,0)&gt;0,"등록","")),"",(IF(VLOOKUP(C169,#REF!,2,0)&gt;0,"등록","")))</f>
        <v/>
      </c>
      <c r="H169" s="33" t="str">
        <f t="array" aca="1" ref="H169" ca="1">IF(ISERROR(OFFSET(#REF!,SMALL(IF(#REF!=RM시즌체크판!C169,ROW(#REF!)-20),1),)),"",(OFFSET(#REF!,SMALL(IF(#REF!=RM시즌체크판!C169,ROW(#REF!)-20),1),)))</f>
        <v/>
      </c>
      <c r="I169" s="34" t="str">
        <f t="array" aca="1" ref="I169" ca="1">IF(ISERROR(OFFSET(#REF!,SMALL(IF(#REF!=RM시즌체크판!C169,ROW(#REF!)-20),2),)),"",(OFFSET(#REF!,SMALL(IF(#REF!=RM시즌체크판!C169,ROW(#REF!)-20),2),)))</f>
        <v/>
      </c>
      <c r="J169" s="34" t="str">
        <f t="array" aca="1" ref="J169" ca="1">IF(ISERROR(OFFSET(#REF!,SMALL(IF(#REF!=RM시즌체크판!C169,ROW(#REF!)-20),3),)),"",(OFFSET(#REF!,SMALL(IF(#REF!=RM시즌체크판!C169,ROW(#REF!)-20),3),)))</f>
        <v/>
      </c>
      <c r="K169" s="34" t="str">
        <f t="array" aca="1" ref="K169" ca="1">IF(ISERROR(OFFSET(#REF!,SMALL(IF(#REF!=RM시즌체크판!C169,ROW(#REF!)-20),4),)),"",(OFFSET(#REF!,SMALL(IF(#REF!=RM시즌체크판!C169,ROW(#REF!)-20),4),)))</f>
        <v/>
      </c>
      <c r="L169" s="34" t="str">
        <f t="array" aca="1" ref="L169" ca="1">IF(ISERROR(OFFSET(#REF!,SMALL(IF(#REF!=RM시즌체크판!C169,ROW(#REF!)-20),5),)),"",(OFFSET(#REF!,SMALL(IF(#REF!=RM시즌체크판!C169,ROW(#REF!)-20),5),)))</f>
        <v/>
      </c>
      <c r="M169" s="35" t="str">
        <f t="array" aca="1" ref="M169" ca="1">IF(ISERROR(OFFSET(#REF!,SMALL(IF(#REF!=RM시즌체크판!C169,ROW(#REF!)-20),6),)),"",(OFFSET(#REF!,SMALL(IF(#REF!=RM시즌체크판!C169,ROW(#REF!)-20),6),)))</f>
        <v/>
      </c>
      <c r="N169" s="27" t="str">
        <f>IF(ISERROR(VLOOKUP(C169,모델촬영리스트!$C:$E,3,)),"",(VLOOKUP(C169,모델촬영리스트!$C:$E,3,)))</f>
        <v/>
      </c>
      <c r="O169" s="23" t="str">
        <f>IF(ISERROR(VLOOKUP(C169,배너촬영리스트!$C:$E,3,)),"",(VLOOKUP(C169,배너촬영리스트!$C:$E,3,)))</f>
        <v/>
      </c>
      <c r="P169" s="36" t="str">
        <f>IF(ISERROR(VLOOKUP(C169,배너촬영리스트!$C:$E,2,)),"",(VLOOKUP(C169,배너촬영리스트!$C:$E,2,)))</f>
        <v/>
      </c>
    </row>
    <row r="170" spans="2:16">
      <c r="B170" s="20" t="str">
        <f t="shared" si="2"/>
        <v>RM</v>
      </c>
      <c r="C170" s="11" t="s">
        <v>39</v>
      </c>
      <c r="D170" s="12" t="e">
        <f>VLOOKUP(C170,#REF!,2,0)</f>
        <v>#REF!</v>
      </c>
      <c r="E170" s="10" t="e">
        <f>VLOOKUP(C170,#REF!,4,0)</f>
        <v>#REF!</v>
      </c>
      <c r="F170" s="37" t="e">
        <f>VLOOKUP(C170,#REF!,8,0)</f>
        <v>#REF!</v>
      </c>
      <c r="G170" s="22" t="str">
        <f>IF(ISERROR(IF(VLOOKUP(C170,#REF!,2,0)&gt;0,"등록","")),"",(IF(VLOOKUP(C170,#REF!,2,0)&gt;0,"등록","")))</f>
        <v/>
      </c>
      <c r="H170" s="33" t="str">
        <f t="array" aca="1" ref="H170" ca="1">IF(ISERROR(OFFSET(#REF!,SMALL(IF(#REF!=RM시즌체크판!C170,ROW(#REF!)-20),1),)),"",(OFFSET(#REF!,SMALL(IF(#REF!=RM시즌체크판!C170,ROW(#REF!)-20),1),)))</f>
        <v/>
      </c>
      <c r="I170" s="34" t="str">
        <f t="array" aca="1" ref="I170" ca="1">IF(ISERROR(OFFSET(#REF!,SMALL(IF(#REF!=RM시즌체크판!C170,ROW(#REF!)-20),2),)),"",(OFFSET(#REF!,SMALL(IF(#REF!=RM시즌체크판!C170,ROW(#REF!)-20),2),)))</f>
        <v/>
      </c>
      <c r="J170" s="34" t="str">
        <f t="array" aca="1" ref="J170" ca="1">IF(ISERROR(OFFSET(#REF!,SMALL(IF(#REF!=RM시즌체크판!C170,ROW(#REF!)-20),3),)),"",(OFFSET(#REF!,SMALL(IF(#REF!=RM시즌체크판!C170,ROW(#REF!)-20),3),)))</f>
        <v/>
      </c>
      <c r="K170" s="34" t="str">
        <f t="array" aca="1" ref="K170" ca="1">IF(ISERROR(OFFSET(#REF!,SMALL(IF(#REF!=RM시즌체크판!C170,ROW(#REF!)-20),4),)),"",(OFFSET(#REF!,SMALL(IF(#REF!=RM시즌체크판!C170,ROW(#REF!)-20),4),)))</f>
        <v/>
      </c>
      <c r="L170" s="34" t="str">
        <f t="array" aca="1" ref="L170" ca="1">IF(ISERROR(OFFSET(#REF!,SMALL(IF(#REF!=RM시즌체크판!C170,ROW(#REF!)-20),5),)),"",(OFFSET(#REF!,SMALL(IF(#REF!=RM시즌체크판!C170,ROW(#REF!)-20),5),)))</f>
        <v/>
      </c>
      <c r="M170" s="35" t="str">
        <f t="array" aca="1" ref="M170" ca="1">IF(ISERROR(OFFSET(#REF!,SMALL(IF(#REF!=RM시즌체크판!C170,ROW(#REF!)-20),6),)),"",(OFFSET(#REF!,SMALL(IF(#REF!=RM시즌체크판!C170,ROW(#REF!)-20),6),)))</f>
        <v/>
      </c>
      <c r="N170" s="27" t="str">
        <f>IF(ISERROR(VLOOKUP(C170,모델촬영리스트!$C:$E,3,)),"",(VLOOKUP(C170,모델촬영리스트!$C:$E,3,)))</f>
        <v/>
      </c>
      <c r="O170" s="23" t="str">
        <f>IF(ISERROR(VLOOKUP(C170,배너촬영리스트!$C:$E,3,)),"",(VLOOKUP(C170,배너촬영리스트!$C:$E,3,)))</f>
        <v/>
      </c>
      <c r="P170" s="36" t="str">
        <f>IF(ISERROR(VLOOKUP(C170,배너촬영리스트!$C:$E,2,)),"",(VLOOKUP(C170,배너촬영리스트!$C:$E,2,)))</f>
        <v/>
      </c>
    </row>
    <row r="171" spans="2:16">
      <c r="B171" s="20" t="str">
        <f t="shared" si="2"/>
        <v>RM</v>
      </c>
      <c r="C171" s="11" t="s">
        <v>40</v>
      </c>
      <c r="D171" s="12" t="e">
        <f>VLOOKUP(C171,#REF!,2,0)</f>
        <v>#REF!</v>
      </c>
      <c r="E171" s="10" t="e">
        <f>VLOOKUP(C171,#REF!,4,0)</f>
        <v>#REF!</v>
      </c>
      <c r="F171" s="37" t="e">
        <f>VLOOKUP(C171,#REF!,8,0)</f>
        <v>#REF!</v>
      </c>
      <c r="G171" s="22" t="str">
        <f>IF(ISERROR(IF(VLOOKUP(C171,#REF!,2,0)&gt;0,"등록","")),"",(IF(VLOOKUP(C171,#REF!,2,0)&gt;0,"등록","")))</f>
        <v/>
      </c>
      <c r="H171" s="33" t="str">
        <f t="array" aca="1" ref="H171" ca="1">IF(ISERROR(OFFSET(#REF!,SMALL(IF(#REF!=RM시즌체크판!C171,ROW(#REF!)-20),1),)),"",(OFFSET(#REF!,SMALL(IF(#REF!=RM시즌체크판!C171,ROW(#REF!)-20),1),)))</f>
        <v/>
      </c>
      <c r="I171" s="34" t="str">
        <f t="array" aca="1" ref="I171" ca="1">IF(ISERROR(OFFSET(#REF!,SMALL(IF(#REF!=RM시즌체크판!C171,ROW(#REF!)-20),2),)),"",(OFFSET(#REF!,SMALL(IF(#REF!=RM시즌체크판!C171,ROW(#REF!)-20),2),)))</f>
        <v/>
      </c>
      <c r="J171" s="34" t="str">
        <f t="array" aca="1" ref="J171" ca="1">IF(ISERROR(OFFSET(#REF!,SMALL(IF(#REF!=RM시즌체크판!C171,ROW(#REF!)-20),3),)),"",(OFFSET(#REF!,SMALL(IF(#REF!=RM시즌체크판!C171,ROW(#REF!)-20),3),)))</f>
        <v/>
      </c>
      <c r="K171" s="34" t="str">
        <f t="array" aca="1" ref="K171" ca="1">IF(ISERROR(OFFSET(#REF!,SMALL(IF(#REF!=RM시즌체크판!C171,ROW(#REF!)-20),4),)),"",(OFFSET(#REF!,SMALL(IF(#REF!=RM시즌체크판!C171,ROW(#REF!)-20),4),)))</f>
        <v/>
      </c>
      <c r="L171" s="34" t="str">
        <f t="array" aca="1" ref="L171" ca="1">IF(ISERROR(OFFSET(#REF!,SMALL(IF(#REF!=RM시즌체크판!C171,ROW(#REF!)-20),5),)),"",(OFFSET(#REF!,SMALL(IF(#REF!=RM시즌체크판!C171,ROW(#REF!)-20),5),)))</f>
        <v/>
      </c>
      <c r="M171" s="35" t="str">
        <f t="array" aca="1" ref="M171" ca="1">IF(ISERROR(OFFSET(#REF!,SMALL(IF(#REF!=RM시즌체크판!C171,ROW(#REF!)-20),6),)),"",(OFFSET(#REF!,SMALL(IF(#REF!=RM시즌체크판!C171,ROW(#REF!)-20),6),)))</f>
        <v/>
      </c>
      <c r="N171" s="27" t="str">
        <f>IF(ISERROR(VLOOKUP(C171,모델촬영리스트!$C:$E,3,)),"",(VLOOKUP(C171,모델촬영리스트!$C:$E,3,)))</f>
        <v/>
      </c>
      <c r="O171" s="23" t="str">
        <f>IF(ISERROR(VLOOKUP(C171,배너촬영리스트!$C:$E,3,)),"",(VLOOKUP(C171,배너촬영리스트!$C:$E,3,)))</f>
        <v/>
      </c>
      <c r="P171" s="36" t="str">
        <f>IF(ISERROR(VLOOKUP(C171,배너촬영리스트!$C:$E,2,)),"",(VLOOKUP(C171,배너촬영리스트!$C:$E,2,)))</f>
        <v/>
      </c>
    </row>
    <row r="172" spans="2:16">
      <c r="B172" s="20" t="str">
        <f t="shared" si="2"/>
        <v>RM</v>
      </c>
      <c r="C172" s="11" t="s">
        <v>41</v>
      </c>
      <c r="D172" s="12" t="e">
        <f>VLOOKUP(C172,#REF!,2,0)</f>
        <v>#REF!</v>
      </c>
      <c r="E172" s="10" t="e">
        <f>VLOOKUP(C172,#REF!,4,0)</f>
        <v>#REF!</v>
      </c>
      <c r="F172" s="37" t="e">
        <f>VLOOKUP(C172,#REF!,8,0)</f>
        <v>#REF!</v>
      </c>
      <c r="G172" s="22" t="str">
        <f>IF(ISERROR(IF(VLOOKUP(C172,#REF!,2,0)&gt;0,"등록","")),"",(IF(VLOOKUP(C172,#REF!,2,0)&gt;0,"등록","")))</f>
        <v/>
      </c>
      <c r="H172" s="33" t="str">
        <f t="array" aca="1" ref="H172" ca="1">IF(ISERROR(OFFSET(#REF!,SMALL(IF(#REF!=RM시즌체크판!C172,ROW(#REF!)-20),1),)),"",(OFFSET(#REF!,SMALL(IF(#REF!=RM시즌체크판!C172,ROW(#REF!)-20),1),)))</f>
        <v/>
      </c>
      <c r="I172" s="34" t="str">
        <f t="array" aca="1" ref="I172" ca="1">IF(ISERROR(OFFSET(#REF!,SMALL(IF(#REF!=RM시즌체크판!C172,ROW(#REF!)-20),2),)),"",(OFFSET(#REF!,SMALL(IF(#REF!=RM시즌체크판!C172,ROW(#REF!)-20),2),)))</f>
        <v/>
      </c>
      <c r="J172" s="34" t="str">
        <f t="array" aca="1" ref="J172" ca="1">IF(ISERROR(OFFSET(#REF!,SMALL(IF(#REF!=RM시즌체크판!C172,ROW(#REF!)-20),3),)),"",(OFFSET(#REF!,SMALL(IF(#REF!=RM시즌체크판!C172,ROW(#REF!)-20),3),)))</f>
        <v/>
      </c>
      <c r="K172" s="34" t="str">
        <f t="array" aca="1" ref="K172" ca="1">IF(ISERROR(OFFSET(#REF!,SMALL(IF(#REF!=RM시즌체크판!C172,ROW(#REF!)-20),4),)),"",(OFFSET(#REF!,SMALL(IF(#REF!=RM시즌체크판!C172,ROW(#REF!)-20),4),)))</f>
        <v/>
      </c>
      <c r="L172" s="34" t="str">
        <f t="array" aca="1" ref="L172" ca="1">IF(ISERROR(OFFSET(#REF!,SMALL(IF(#REF!=RM시즌체크판!C172,ROW(#REF!)-20),5),)),"",(OFFSET(#REF!,SMALL(IF(#REF!=RM시즌체크판!C172,ROW(#REF!)-20),5),)))</f>
        <v/>
      </c>
      <c r="M172" s="35" t="str">
        <f t="array" aca="1" ref="M172" ca="1">IF(ISERROR(OFFSET(#REF!,SMALL(IF(#REF!=RM시즌체크판!C172,ROW(#REF!)-20),6),)),"",(OFFSET(#REF!,SMALL(IF(#REF!=RM시즌체크판!C172,ROW(#REF!)-20),6),)))</f>
        <v/>
      </c>
      <c r="N172" s="27" t="str">
        <f>IF(ISERROR(VLOOKUP(C172,모델촬영리스트!$C:$E,3,)),"",(VLOOKUP(C172,모델촬영리스트!$C:$E,3,)))</f>
        <v/>
      </c>
      <c r="O172" s="23" t="str">
        <f>IF(ISERROR(VLOOKUP(C172,배너촬영리스트!$C:$E,3,)),"",(VLOOKUP(C172,배너촬영리스트!$C:$E,3,)))</f>
        <v/>
      </c>
      <c r="P172" s="36" t="str">
        <f>IF(ISERROR(VLOOKUP(C172,배너촬영리스트!$C:$E,2,)),"",(VLOOKUP(C172,배너촬영리스트!$C:$E,2,)))</f>
        <v/>
      </c>
    </row>
    <row r="173" spans="2:16">
      <c r="B173" s="20" t="str">
        <f t="shared" si="2"/>
        <v>RM</v>
      </c>
      <c r="C173" s="11" t="s">
        <v>42</v>
      </c>
      <c r="D173" s="12" t="e">
        <f>VLOOKUP(C173,#REF!,2,0)</f>
        <v>#REF!</v>
      </c>
      <c r="E173" s="10" t="e">
        <f>VLOOKUP(C173,#REF!,4,0)</f>
        <v>#REF!</v>
      </c>
      <c r="F173" s="37" t="e">
        <f>VLOOKUP(C173,#REF!,8,0)</f>
        <v>#REF!</v>
      </c>
      <c r="G173" s="22" t="str">
        <f>IF(ISERROR(IF(VLOOKUP(C173,#REF!,2,0)&gt;0,"등록","")),"",(IF(VLOOKUP(C173,#REF!,2,0)&gt;0,"등록","")))</f>
        <v/>
      </c>
      <c r="H173" s="33" t="str">
        <f t="array" aca="1" ref="H173" ca="1">IF(ISERROR(OFFSET(#REF!,SMALL(IF(#REF!=RM시즌체크판!C173,ROW(#REF!)-20),1),)),"",(OFFSET(#REF!,SMALL(IF(#REF!=RM시즌체크판!C173,ROW(#REF!)-20),1),)))</f>
        <v/>
      </c>
      <c r="I173" s="34" t="str">
        <f t="array" aca="1" ref="I173" ca="1">IF(ISERROR(OFFSET(#REF!,SMALL(IF(#REF!=RM시즌체크판!C173,ROW(#REF!)-20),2),)),"",(OFFSET(#REF!,SMALL(IF(#REF!=RM시즌체크판!C173,ROW(#REF!)-20),2),)))</f>
        <v/>
      </c>
      <c r="J173" s="34" t="str">
        <f t="array" aca="1" ref="J173" ca="1">IF(ISERROR(OFFSET(#REF!,SMALL(IF(#REF!=RM시즌체크판!C173,ROW(#REF!)-20),3),)),"",(OFFSET(#REF!,SMALL(IF(#REF!=RM시즌체크판!C173,ROW(#REF!)-20),3),)))</f>
        <v/>
      </c>
      <c r="K173" s="34" t="str">
        <f t="array" aca="1" ref="K173" ca="1">IF(ISERROR(OFFSET(#REF!,SMALL(IF(#REF!=RM시즌체크판!C173,ROW(#REF!)-20),4),)),"",(OFFSET(#REF!,SMALL(IF(#REF!=RM시즌체크판!C173,ROW(#REF!)-20),4),)))</f>
        <v/>
      </c>
      <c r="L173" s="34" t="str">
        <f t="array" aca="1" ref="L173" ca="1">IF(ISERROR(OFFSET(#REF!,SMALL(IF(#REF!=RM시즌체크판!C173,ROW(#REF!)-20),5),)),"",(OFFSET(#REF!,SMALL(IF(#REF!=RM시즌체크판!C173,ROW(#REF!)-20),5),)))</f>
        <v/>
      </c>
      <c r="M173" s="35" t="str">
        <f t="array" aca="1" ref="M173" ca="1">IF(ISERROR(OFFSET(#REF!,SMALL(IF(#REF!=RM시즌체크판!C173,ROW(#REF!)-20),6),)),"",(OFFSET(#REF!,SMALL(IF(#REF!=RM시즌체크판!C173,ROW(#REF!)-20),6),)))</f>
        <v/>
      </c>
      <c r="N173" s="27" t="str">
        <f>IF(ISERROR(VLOOKUP(C173,모델촬영리스트!$C:$E,3,)),"",(VLOOKUP(C173,모델촬영리스트!$C:$E,3,)))</f>
        <v/>
      </c>
      <c r="O173" s="23" t="str">
        <f>IF(ISERROR(VLOOKUP(C173,배너촬영리스트!$C:$E,3,)),"",(VLOOKUP(C173,배너촬영리스트!$C:$E,3,)))</f>
        <v/>
      </c>
      <c r="P173" s="36" t="str">
        <f>IF(ISERROR(VLOOKUP(C173,배너촬영리스트!$C:$E,2,)),"",(VLOOKUP(C173,배너촬영리스트!$C:$E,2,)))</f>
        <v/>
      </c>
    </row>
    <row r="174" spans="2:16">
      <c r="B174" s="20" t="str">
        <f t="shared" si="2"/>
        <v>RM</v>
      </c>
      <c r="C174" s="11" t="s">
        <v>43</v>
      </c>
      <c r="D174" s="12" t="e">
        <f>VLOOKUP(C174,#REF!,2,0)</f>
        <v>#REF!</v>
      </c>
      <c r="E174" s="10" t="e">
        <f>VLOOKUP(C174,#REF!,4,0)</f>
        <v>#REF!</v>
      </c>
      <c r="F174" s="37" t="e">
        <f>VLOOKUP(C174,#REF!,8,0)</f>
        <v>#REF!</v>
      </c>
      <c r="G174" s="22" t="str">
        <f>IF(ISERROR(IF(VLOOKUP(C174,#REF!,2,0)&gt;0,"등록","")),"",(IF(VLOOKUP(C174,#REF!,2,0)&gt;0,"등록","")))</f>
        <v/>
      </c>
      <c r="H174" s="33" t="str">
        <f t="array" aca="1" ref="H174" ca="1">IF(ISERROR(OFFSET(#REF!,SMALL(IF(#REF!=RM시즌체크판!C174,ROW(#REF!)-20),1),)),"",(OFFSET(#REF!,SMALL(IF(#REF!=RM시즌체크판!C174,ROW(#REF!)-20),1),)))</f>
        <v/>
      </c>
      <c r="I174" s="34" t="str">
        <f t="array" aca="1" ref="I174" ca="1">IF(ISERROR(OFFSET(#REF!,SMALL(IF(#REF!=RM시즌체크판!C174,ROW(#REF!)-20),2),)),"",(OFFSET(#REF!,SMALL(IF(#REF!=RM시즌체크판!C174,ROW(#REF!)-20),2),)))</f>
        <v/>
      </c>
      <c r="J174" s="34" t="str">
        <f t="array" aca="1" ref="J174" ca="1">IF(ISERROR(OFFSET(#REF!,SMALL(IF(#REF!=RM시즌체크판!C174,ROW(#REF!)-20),3),)),"",(OFFSET(#REF!,SMALL(IF(#REF!=RM시즌체크판!C174,ROW(#REF!)-20),3),)))</f>
        <v/>
      </c>
      <c r="K174" s="34" t="str">
        <f t="array" aca="1" ref="K174" ca="1">IF(ISERROR(OFFSET(#REF!,SMALL(IF(#REF!=RM시즌체크판!C174,ROW(#REF!)-20),4),)),"",(OFFSET(#REF!,SMALL(IF(#REF!=RM시즌체크판!C174,ROW(#REF!)-20),4),)))</f>
        <v/>
      </c>
      <c r="L174" s="34" t="str">
        <f t="array" aca="1" ref="L174" ca="1">IF(ISERROR(OFFSET(#REF!,SMALL(IF(#REF!=RM시즌체크판!C174,ROW(#REF!)-20),5),)),"",(OFFSET(#REF!,SMALL(IF(#REF!=RM시즌체크판!C174,ROW(#REF!)-20),5),)))</f>
        <v/>
      </c>
      <c r="M174" s="35" t="str">
        <f t="array" aca="1" ref="M174" ca="1">IF(ISERROR(OFFSET(#REF!,SMALL(IF(#REF!=RM시즌체크판!C174,ROW(#REF!)-20),6),)),"",(OFFSET(#REF!,SMALL(IF(#REF!=RM시즌체크판!C174,ROW(#REF!)-20),6),)))</f>
        <v/>
      </c>
      <c r="N174" s="27" t="str">
        <f>IF(ISERROR(VLOOKUP(C174,모델촬영리스트!$C:$E,3,)),"",(VLOOKUP(C174,모델촬영리스트!$C:$E,3,)))</f>
        <v/>
      </c>
      <c r="O174" s="23" t="str">
        <f>IF(ISERROR(VLOOKUP(C174,배너촬영리스트!$C:$E,3,)),"",(VLOOKUP(C174,배너촬영리스트!$C:$E,3,)))</f>
        <v/>
      </c>
      <c r="P174" s="36" t="str">
        <f>IF(ISERROR(VLOOKUP(C174,배너촬영리스트!$C:$E,2,)),"",(VLOOKUP(C174,배너촬영리스트!$C:$E,2,)))</f>
        <v/>
      </c>
    </row>
    <row r="175" spans="2:16">
      <c r="B175" s="20" t="str">
        <f t="shared" si="2"/>
        <v>RM</v>
      </c>
      <c r="C175" s="11" t="s">
        <v>51</v>
      </c>
      <c r="D175" s="12" t="e">
        <f>VLOOKUP(C175,#REF!,2,0)</f>
        <v>#REF!</v>
      </c>
      <c r="E175" s="10" t="e">
        <f>VLOOKUP(C175,#REF!,4,0)</f>
        <v>#REF!</v>
      </c>
      <c r="F175" s="37" t="e">
        <f>VLOOKUP(C175,#REF!,8,0)</f>
        <v>#REF!</v>
      </c>
      <c r="G175" s="22" t="str">
        <f>IF(ISERROR(IF(VLOOKUP(C175,#REF!,2,0)&gt;0,"등록","")),"",(IF(VLOOKUP(C175,#REF!,2,0)&gt;0,"등록","")))</f>
        <v/>
      </c>
      <c r="H175" s="33" t="str">
        <f t="array" aca="1" ref="H175" ca="1">IF(ISERROR(OFFSET(#REF!,SMALL(IF(#REF!=RM시즌체크판!C175,ROW(#REF!)-20),1),)),"",(OFFSET(#REF!,SMALL(IF(#REF!=RM시즌체크판!C175,ROW(#REF!)-20),1),)))</f>
        <v/>
      </c>
      <c r="I175" s="34" t="str">
        <f t="array" aca="1" ref="I175" ca="1">IF(ISERROR(OFFSET(#REF!,SMALL(IF(#REF!=RM시즌체크판!C175,ROW(#REF!)-20),2),)),"",(OFFSET(#REF!,SMALL(IF(#REF!=RM시즌체크판!C175,ROW(#REF!)-20),2),)))</f>
        <v/>
      </c>
      <c r="J175" s="34" t="str">
        <f t="array" aca="1" ref="J175" ca="1">IF(ISERROR(OFFSET(#REF!,SMALL(IF(#REF!=RM시즌체크판!C175,ROW(#REF!)-20),3),)),"",(OFFSET(#REF!,SMALL(IF(#REF!=RM시즌체크판!C175,ROW(#REF!)-20),3),)))</f>
        <v/>
      </c>
      <c r="K175" s="34" t="str">
        <f t="array" aca="1" ref="K175" ca="1">IF(ISERROR(OFFSET(#REF!,SMALL(IF(#REF!=RM시즌체크판!C175,ROW(#REF!)-20),4),)),"",(OFFSET(#REF!,SMALL(IF(#REF!=RM시즌체크판!C175,ROW(#REF!)-20),4),)))</f>
        <v/>
      </c>
      <c r="L175" s="34" t="str">
        <f t="array" aca="1" ref="L175" ca="1">IF(ISERROR(OFFSET(#REF!,SMALL(IF(#REF!=RM시즌체크판!C175,ROW(#REF!)-20),5),)),"",(OFFSET(#REF!,SMALL(IF(#REF!=RM시즌체크판!C175,ROW(#REF!)-20),5),)))</f>
        <v/>
      </c>
      <c r="M175" s="35" t="str">
        <f t="array" aca="1" ref="M175" ca="1">IF(ISERROR(OFFSET(#REF!,SMALL(IF(#REF!=RM시즌체크판!C175,ROW(#REF!)-20),6),)),"",(OFFSET(#REF!,SMALL(IF(#REF!=RM시즌체크판!C175,ROW(#REF!)-20),6),)))</f>
        <v/>
      </c>
      <c r="N175" s="27" t="str">
        <f>IF(ISERROR(VLOOKUP(C175,모델촬영리스트!$C:$E,3,)),"",(VLOOKUP(C175,모델촬영리스트!$C:$E,3,)))</f>
        <v/>
      </c>
      <c r="O175" s="23" t="str">
        <f>IF(ISERROR(VLOOKUP(C175,배너촬영리스트!$C:$E,3,)),"",(VLOOKUP(C175,배너촬영리스트!$C:$E,3,)))</f>
        <v/>
      </c>
      <c r="P175" s="36" t="str">
        <f>IF(ISERROR(VLOOKUP(C175,배너촬영리스트!$C:$E,2,)),"",(VLOOKUP(C175,배너촬영리스트!$C:$E,2,)))</f>
        <v/>
      </c>
    </row>
    <row r="176" spans="2:16">
      <c r="B176" s="20" t="str">
        <f t="shared" si="2"/>
        <v>RM</v>
      </c>
      <c r="C176" s="11" t="s">
        <v>52</v>
      </c>
      <c r="D176" s="12" t="e">
        <f>VLOOKUP(C176,#REF!,2,0)</f>
        <v>#REF!</v>
      </c>
      <c r="E176" s="10" t="e">
        <f>VLOOKUP(C176,#REF!,4,0)</f>
        <v>#REF!</v>
      </c>
      <c r="F176" s="37" t="e">
        <f>VLOOKUP(C176,#REF!,8,0)</f>
        <v>#REF!</v>
      </c>
      <c r="G176" s="22" t="str">
        <f>IF(ISERROR(IF(VLOOKUP(C176,#REF!,2,0)&gt;0,"등록","")),"",(IF(VLOOKUP(C176,#REF!,2,0)&gt;0,"등록","")))</f>
        <v/>
      </c>
      <c r="H176" s="33" t="str">
        <f t="array" aca="1" ref="H176" ca="1">IF(ISERROR(OFFSET(#REF!,SMALL(IF(#REF!=RM시즌체크판!C176,ROW(#REF!)-20),1),)),"",(OFFSET(#REF!,SMALL(IF(#REF!=RM시즌체크판!C176,ROW(#REF!)-20),1),)))</f>
        <v/>
      </c>
      <c r="I176" s="34" t="str">
        <f t="array" aca="1" ref="I176" ca="1">IF(ISERROR(OFFSET(#REF!,SMALL(IF(#REF!=RM시즌체크판!C176,ROW(#REF!)-20),2),)),"",(OFFSET(#REF!,SMALL(IF(#REF!=RM시즌체크판!C176,ROW(#REF!)-20),2),)))</f>
        <v/>
      </c>
      <c r="J176" s="34" t="str">
        <f t="array" aca="1" ref="J176" ca="1">IF(ISERROR(OFFSET(#REF!,SMALL(IF(#REF!=RM시즌체크판!C176,ROW(#REF!)-20),3),)),"",(OFFSET(#REF!,SMALL(IF(#REF!=RM시즌체크판!C176,ROW(#REF!)-20),3),)))</f>
        <v/>
      </c>
      <c r="K176" s="34" t="str">
        <f t="array" aca="1" ref="K176" ca="1">IF(ISERROR(OFFSET(#REF!,SMALL(IF(#REF!=RM시즌체크판!C176,ROW(#REF!)-20),4),)),"",(OFFSET(#REF!,SMALL(IF(#REF!=RM시즌체크판!C176,ROW(#REF!)-20),4),)))</f>
        <v/>
      </c>
      <c r="L176" s="34" t="str">
        <f t="array" aca="1" ref="L176" ca="1">IF(ISERROR(OFFSET(#REF!,SMALL(IF(#REF!=RM시즌체크판!C176,ROW(#REF!)-20),5),)),"",(OFFSET(#REF!,SMALL(IF(#REF!=RM시즌체크판!C176,ROW(#REF!)-20),5),)))</f>
        <v/>
      </c>
      <c r="M176" s="35" t="str">
        <f t="array" aca="1" ref="M176" ca="1">IF(ISERROR(OFFSET(#REF!,SMALL(IF(#REF!=RM시즌체크판!C176,ROW(#REF!)-20),6),)),"",(OFFSET(#REF!,SMALL(IF(#REF!=RM시즌체크판!C176,ROW(#REF!)-20),6),)))</f>
        <v/>
      </c>
      <c r="N176" s="27" t="str">
        <f>IF(ISERROR(VLOOKUP(C176,모델촬영리스트!$C:$E,3,)),"",(VLOOKUP(C176,모델촬영리스트!$C:$E,3,)))</f>
        <v/>
      </c>
      <c r="O176" s="23" t="str">
        <f>IF(ISERROR(VLOOKUP(C176,배너촬영리스트!$C:$E,3,)),"",(VLOOKUP(C176,배너촬영리스트!$C:$E,3,)))</f>
        <v/>
      </c>
      <c r="P176" s="36" t="str">
        <f>IF(ISERROR(VLOOKUP(C176,배너촬영리스트!$C:$E,2,)),"",(VLOOKUP(C176,배너촬영리스트!$C:$E,2,)))</f>
        <v/>
      </c>
    </row>
    <row r="177" spans="2:16">
      <c r="B177" s="20" t="str">
        <f t="shared" si="2"/>
        <v>RM</v>
      </c>
      <c r="C177" s="11" t="s">
        <v>53</v>
      </c>
      <c r="D177" s="12" t="e">
        <f>VLOOKUP(C177,#REF!,2,0)</f>
        <v>#REF!</v>
      </c>
      <c r="E177" s="10" t="e">
        <f>VLOOKUP(C177,#REF!,4,0)</f>
        <v>#REF!</v>
      </c>
      <c r="F177" s="37" t="e">
        <f>VLOOKUP(C177,#REF!,8,0)</f>
        <v>#REF!</v>
      </c>
      <c r="G177" s="22" t="str">
        <f>IF(ISERROR(IF(VLOOKUP(C177,#REF!,2,0)&gt;0,"등록","")),"",(IF(VLOOKUP(C177,#REF!,2,0)&gt;0,"등록","")))</f>
        <v/>
      </c>
      <c r="H177" s="33" t="str">
        <f t="array" aca="1" ref="H177" ca="1">IF(ISERROR(OFFSET(#REF!,SMALL(IF(#REF!=RM시즌체크판!C177,ROW(#REF!)-20),1),)),"",(OFFSET(#REF!,SMALL(IF(#REF!=RM시즌체크판!C177,ROW(#REF!)-20),1),)))</f>
        <v/>
      </c>
      <c r="I177" s="34" t="str">
        <f t="array" aca="1" ref="I177" ca="1">IF(ISERROR(OFFSET(#REF!,SMALL(IF(#REF!=RM시즌체크판!C177,ROW(#REF!)-20),2),)),"",(OFFSET(#REF!,SMALL(IF(#REF!=RM시즌체크판!C177,ROW(#REF!)-20),2),)))</f>
        <v/>
      </c>
      <c r="J177" s="34" t="str">
        <f t="array" aca="1" ref="J177" ca="1">IF(ISERROR(OFFSET(#REF!,SMALL(IF(#REF!=RM시즌체크판!C177,ROW(#REF!)-20),3),)),"",(OFFSET(#REF!,SMALL(IF(#REF!=RM시즌체크판!C177,ROW(#REF!)-20),3),)))</f>
        <v/>
      </c>
      <c r="K177" s="34" t="str">
        <f t="array" aca="1" ref="K177" ca="1">IF(ISERROR(OFFSET(#REF!,SMALL(IF(#REF!=RM시즌체크판!C177,ROW(#REF!)-20),4),)),"",(OFFSET(#REF!,SMALL(IF(#REF!=RM시즌체크판!C177,ROW(#REF!)-20),4),)))</f>
        <v/>
      </c>
      <c r="L177" s="34" t="str">
        <f t="array" aca="1" ref="L177" ca="1">IF(ISERROR(OFFSET(#REF!,SMALL(IF(#REF!=RM시즌체크판!C177,ROW(#REF!)-20),5),)),"",(OFFSET(#REF!,SMALL(IF(#REF!=RM시즌체크판!C177,ROW(#REF!)-20),5),)))</f>
        <v/>
      </c>
      <c r="M177" s="35" t="str">
        <f t="array" aca="1" ref="M177" ca="1">IF(ISERROR(OFFSET(#REF!,SMALL(IF(#REF!=RM시즌체크판!C177,ROW(#REF!)-20),6),)),"",(OFFSET(#REF!,SMALL(IF(#REF!=RM시즌체크판!C177,ROW(#REF!)-20),6),)))</f>
        <v/>
      </c>
      <c r="N177" s="27" t="str">
        <f>IF(ISERROR(VLOOKUP(C177,모델촬영리스트!$C:$E,3,)),"",(VLOOKUP(C177,모델촬영리스트!$C:$E,3,)))</f>
        <v/>
      </c>
      <c r="O177" s="23" t="str">
        <f>IF(ISERROR(VLOOKUP(C177,배너촬영리스트!$C:$E,3,)),"",(VLOOKUP(C177,배너촬영리스트!$C:$E,3,)))</f>
        <v/>
      </c>
      <c r="P177" s="36" t="str">
        <f>IF(ISERROR(VLOOKUP(C177,배너촬영리스트!$C:$E,2,)),"",(VLOOKUP(C177,배너촬영리스트!$C:$E,2,)))</f>
        <v/>
      </c>
    </row>
    <row r="178" spans="2:16">
      <c r="B178" s="20" t="str">
        <f t="shared" ref="B178:B241" si="3">MID(C178,1,2)</f>
        <v>RM</v>
      </c>
      <c r="C178" s="11" t="s">
        <v>54</v>
      </c>
      <c r="D178" s="12" t="e">
        <f>VLOOKUP(C178,#REF!,2,0)</f>
        <v>#REF!</v>
      </c>
      <c r="E178" s="10" t="e">
        <f>VLOOKUP(C178,#REF!,4,0)</f>
        <v>#REF!</v>
      </c>
      <c r="F178" s="37" t="e">
        <f>VLOOKUP(C178,#REF!,8,0)</f>
        <v>#REF!</v>
      </c>
      <c r="G178" s="22" t="str">
        <f>IF(ISERROR(IF(VLOOKUP(C178,#REF!,2,0)&gt;0,"등록","")),"",(IF(VLOOKUP(C178,#REF!,2,0)&gt;0,"등록","")))</f>
        <v/>
      </c>
      <c r="H178" s="33" t="str">
        <f t="array" aca="1" ref="H178" ca="1">IF(ISERROR(OFFSET(#REF!,SMALL(IF(#REF!=RM시즌체크판!C178,ROW(#REF!)-20),1),)),"",(OFFSET(#REF!,SMALL(IF(#REF!=RM시즌체크판!C178,ROW(#REF!)-20),1),)))</f>
        <v/>
      </c>
      <c r="I178" s="34" t="str">
        <f t="array" aca="1" ref="I178" ca="1">IF(ISERROR(OFFSET(#REF!,SMALL(IF(#REF!=RM시즌체크판!C178,ROW(#REF!)-20),2),)),"",(OFFSET(#REF!,SMALL(IF(#REF!=RM시즌체크판!C178,ROW(#REF!)-20),2),)))</f>
        <v/>
      </c>
      <c r="J178" s="34" t="str">
        <f t="array" aca="1" ref="J178" ca="1">IF(ISERROR(OFFSET(#REF!,SMALL(IF(#REF!=RM시즌체크판!C178,ROW(#REF!)-20),3),)),"",(OFFSET(#REF!,SMALL(IF(#REF!=RM시즌체크판!C178,ROW(#REF!)-20),3),)))</f>
        <v/>
      </c>
      <c r="K178" s="34" t="str">
        <f t="array" aca="1" ref="K178" ca="1">IF(ISERROR(OFFSET(#REF!,SMALL(IF(#REF!=RM시즌체크판!C178,ROW(#REF!)-20),4),)),"",(OFFSET(#REF!,SMALL(IF(#REF!=RM시즌체크판!C178,ROW(#REF!)-20),4),)))</f>
        <v/>
      </c>
      <c r="L178" s="34" t="str">
        <f t="array" aca="1" ref="L178" ca="1">IF(ISERROR(OFFSET(#REF!,SMALL(IF(#REF!=RM시즌체크판!C178,ROW(#REF!)-20),5),)),"",(OFFSET(#REF!,SMALL(IF(#REF!=RM시즌체크판!C178,ROW(#REF!)-20),5),)))</f>
        <v/>
      </c>
      <c r="M178" s="35" t="str">
        <f t="array" aca="1" ref="M178" ca="1">IF(ISERROR(OFFSET(#REF!,SMALL(IF(#REF!=RM시즌체크판!C178,ROW(#REF!)-20),6),)),"",(OFFSET(#REF!,SMALL(IF(#REF!=RM시즌체크판!C178,ROW(#REF!)-20),6),)))</f>
        <v/>
      </c>
      <c r="N178" s="27" t="str">
        <f>IF(ISERROR(VLOOKUP(C178,모델촬영리스트!$C:$E,3,)),"",(VLOOKUP(C178,모델촬영리스트!$C:$E,3,)))</f>
        <v/>
      </c>
      <c r="O178" s="23" t="str">
        <f>IF(ISERROR(VLOOKUP(C178,배너촬영리스트!$C:$E,3,)),"",(VLOOKUP(C178,배너촬영리스트!$C:$E,3,)))</f>
        <v/>
      </c>
      <c r="P178" s="36" t="str">
        <f>IF(ISERROR(VLOOKUP(C178,배너촬영리스트!$C:$E,2,)),"",(VLOOKUP(C178,배너촬영리스트!$C:$E,2,)))</f>
        <v/>
      </c>
    </row>
    <row r="179" spans="2:16">
      <c r="B179" s="20" t="str">
        <f t="shared" si="3"/>
        <v>RM</v>
      </c>
      <c r="C179" s="11" t="s">
        <v>55</v>
      </c>
      <c r="D179" s="12" t="e">
        <f>VLOOKUP(C179,#REF!,2,0)</f>
        <v>#REF!</v>
      </c>
      <c r="E179" s="10" t="e">
        <f>VLOOKUP(C179,#REF!,4,0)</f>
        <v>#REF!</v>
      </c>
      <c r="F179" s="37" t="e">
        <f>VLOOKUP(C179,#REF!,8,0)</f>
        <v>#REF!</v>
      </c>
      <c r="G179" s="22" t="str">
        <f>IF(ISERROR(IF(VLOOKUP(C179,#REF!,2,0)&gt;0,"등록","")),"",(IF(VLOOKUP(C179,#REF!,2,0)&gt;0,"등록","")))</f>
        <v/>
      </c>
      <c r="H179" s="33" t="str">
        <f t="array" aca="1" ref="H179" ca="1">IF(ISERROR(OFFSET(#REF!,SMALL(IF(#REF!=RM시즌체크판!C179,ROW(#REF!)-20),1),)),"",(OFFSET(#REF!,SMALL(IF(#REF!=RM시즌체크판!C179,ROW(#REF!)-20),1),)))</f>
        <v/>
      </c>
      <c r="I179" s="34" t="str">
        <f t="array" aca="1" ref="I179" ca="1">IF(ISERROR(OFFSET(#REF!,SMALL(IF(#REF!=RM시즌체크판!C179,ROW(#REF!)-20),2),)),"",(OFFSET(#REF!,SMALL(IF(#REF!=RM시즌체크판!C179,ROW(#REF!)-20),2),)))</f>
        <v/>
      </c>
      <c r="J179" s="34" t="str">
        <f t="array" aca="1" ref="J179" ca="1">IF(ISERROR(OFFSET(#REF!,SMALL(IF(#REF!=RM시즌체크판!C179,ROW(#REF!)-20),3),)),"",(OFFSET(#REF!,SMALL(IF(#REF!=RM시즌체크판!C179,ROW(#REF!)-20),3),)))</f>
        <v/>
      </c>
      <c r="K179" s="34" t="str">
        <f t="array" aca="1" ref="K179" ca="1">IF(ISERROR(OFFSET(#REF!,SMALL(IF(#REF!=RM시즌체크판!C179,ROW(#REF!)-20),4),)),"",(OFFSET(#REF!,SMALL(IF(#REF!=RM시즌체크판!C179,ROW(#REF!)-20),4),)))</f>
        <v/>
      </c>
      <c r="L179" s="34" t="str">
        <f t="array" aca="1" ref="L179" ca="1">IF(ISERROR(OFFSET(#REF!,SMALL(IF(#REF!=RM시즌체크판!C179,ROW(#REF!)-20),5),)),"",(OFFSET(#REF!,SMALL(IF(#REF!=RM시즌체크판!C179,ROW(#REF!)-20),5),)))</f>
        <v/>
      </c>
      <c r="M179" s="35" t="str">
        <f t="array" aca="1" ref="M179" ca="1">IF(ISERROR(OFFSET(#REF!,SMALL(IF(#REF!=RM시즌체크판!C179,ROW(#REF!)-20),6),)),"",(OFFSET(#REF!,SMALL(IF(#REF!=RM시즌체크판!C179,ROW(#REF!)-20),6),)))</f>
        <v/>
      </c>
      <c r="N179" s="27" t="str">
        <f>IF(ISERROR(VLOOKUP(C179,모델촬영리스트!$C:$E,3,)),"",(VLOOKUP(C179,모델촬영리스트!$C:$E,3,)))</f>
        <v/>
      </c>
      <c r="O179" s="23" t="str">
        <f>IF(ISERROR(VLOOKUP(C179,배너촬영리스트!$C:$E,3,)),"",(VLOOKUP(C179,배너촬영리스트!$C:$E,3,)))</f>
        <v/>
      </c>
      <c r="P179" s="36" t="str">
        <f>IF(ISERROR(VLOOKUP(C179,배너촬영리스트!$C:$E,2,)),"",(VLOOKUP(C179,배너촬영리스트!$C:$E,2,)))</f>
        <v/>
      </c>
    </row>
    <row r="180" spans="2:16">
      <c r="B180" s="20" t="str">
        <f t="shared" si="3"/>
        <v>RM</v>
      </c>
      <c r="C180" s="11" t="s">
        <v>56</v>
      </c>
      <c r="D180" s="12" t="e">
        <f>VLOOKUP(C180,#REF!,2,0)</f>
        <v>#REF!</v>
      </c>
      <c r="E180" s="10" t="e">
        <f>VLOOKUP(C180,#REF!,4,0)</f>
        <v>#REF!</v>
      </c>
      <c r="F180" s="37" t="e">
        <f>VLOOKUP(C180,#REF!,8,0)</f>
        <v>#REF!</v>
      </c>
      <c r="G180" s="22" t="str">
        <f>IF(ISERROR(IF(VLOOKUP(C180,#REF!,2,0)&gt;0,"등록","")),"",(IF(VLOOKUP(C180,#REF!,2,0)&gt;0,"등록","")))</f>
        <v/>
      </c>
      <c r="H180" s="33" t="str">
        <f t="array" aca="1" ref="H180" ca="1">IF(ISERROR(OFFSET(#REF!,SMALL(IF(#REF!=RM시즌체크판!C180,ROW(#REF!)-20),1),)),"",(OFFSET(#REF!,SMALL(IF(#REF!=RM시즌체크판!C180,ROW(#REF!)-20),1),)))</f>
        <v/>
      </c>
      <c r="I180" s="34" t="str">
        <f t="array" aca="1" ref="I180" ca="1">IF(ISERROR(OFFSET(#REF!,SMALL(IF(#REF!=RM시즌체크판!C180,ROW(#REF!)-20),2),)),"",(OFFSET(#REF!,SMALL(IF(#REF!=RM시즌체크판!C180,ROW(#REF!)-20),2),)))</f>
        <v/>
      </c>
      <c r="J180" s="34" t="str">
        <f t="array" aca="1" ref="J180" ca="1">IF(ISERROR(OFFSET(#REF!,SMALL(IF(#REF!=RM시즌체크판!C180,ROW(#REF!)-20),3),)),"",(OFFSET(#REF!,SMALL(IF(#REF!=RM시즌체크판!C180,ROW(#REF!)-20),3),)))</f>
        <v/>
      </c>
      <c r="K180" s="34" t="str">
        <f t="array" aca="1" ref="K180" ca="1">IF(ISERROR(OFFSET(#REF!,SMALL(IF(#REF!=RM시즌체크판!C180,ROW(#REF!)-20),4),)),"",(OFFSET(#REF!,SMALL(IF(#REF!=RM시즌체크판!C180,ROW(#REF!)-20),4),)))</f>
        <v/>
      </c>
      <c r="L180" s="34" t="str">
        <f t="array" aca="1" ref="L180" ca="1">IF(ISERROR(OFFSET(#REF!,SMALL(IF(#REF!=RM시즌체크판!C180,ROW(#REF!)-20),5),)),"",(OFFSET(#REF!,SMALL(IF(#REF!=RM시즌체크판!C180,ROW(#REF!)-20),5),)))</f>
        <v/>
      </c>
      <c r="M180" s="35" t="str">
        <f t="array" aca="1" ref="M180" ca="1">IF(ISERROR(OFFSET(#REF!,SMALL(IF(#REF!=RM시즌체크판!C180,ROW(#REF!)-20),6),)),"",(OFFSET(#REF!,SMALL(IF(#REF!=RM시즌체크판!C180,ROW(#REF!)-20),6),)))</f>
        <v/>
      </c>
      <c r="N180" s="27" t="str">
        <f>IF(ISERROR(VLOOKUP(C180,모델촬영리스트!$C:$E,3,)),"",(VLOOKUP(C180,모델촬영리스트!$C:$E,3,)))</f>
        <v/>
      </c>
      <c r="O180" s="23" t="str">
        <f>IF(ISERROR(VLOOKUP(C180,배너촬영리스트!$C:$E,3,)),"",(VLOOKUP(C180,배너촬영리스트!$C:$E,3,)))</f>
        <v/>
      </c>
      <c r="P180" s="36" t="str">
        <f>IF(ISERROR(VLOOKUP(C180,배너촬영리스트!$C:$E,2,)),"",(VLOOKUP(C180,배너촬영리스트!$C:$E,2,)))</f>
        <v/>
      </c>
    </row>
    <row r="181" spans="2:16">
      <c r="B181" s="20" t="str">
        <f t="shared" si="3"/>
        <v>RM</v>
      </c>
      <c r="C181" s="11" t="s">
        <v>57</v>
      </c>
      <c r="D181" s="12" t="e">
        <f>VLOOKUP(C181,#REF!,2,0)</f>
        <v>#REF!</v>
      </c>
      <c r="E181" s="10" t="e">
        <f>VLOOKUP(C181,#REF!,4,0)</f>
        <v>#REF!</v>
      </c>
      <c r="F181" s="37" t="e">
        <f>VLOOKUP(C181,#REF!,8,0)</f>
        <v>#REF!</v>
      </c>
      <c r="G181" s="22" t="str">
        <f>IF(ISERROR(IF(VLOOKUP(C181,#REF!,2,0)&gt;0,"등록","")),"",(IF(VLOOKUP(C181,#REF!,2,0)&gt;0,"등록","")))</f>
        <v/>
      </c>
      <c r="H181" s="33" t="str">
        <f t="array" aca="1" ref="H181" ca="1">IF(ISERROR(OFFSET(#REF!,SMALL(IF(#REF!=RM시즌체크판!C181,ROW(#REF!)-20),1),)),"",(OFFSET(#REF!,SMALL(IF(#REF!=RM시즌체크판!C181,ROW(#REF!)-20),1),)))</f>
        <v/>
      </c>
      <c r="I181" s="34" t="str">
        <f t="array" aca="1" ref="I181" ca="1">IF(ISERROR(OFFSET(#REF!,SMALL(IF(#REF!=RM시즌체크판!C181,ROW(#REF!)-20),2),)),"",(OFFSET(#REF!,SMALL(IF(#REF!=RM시즌체크판!C181,ROW(#REF!)-20),2),)))</f>
        <v/>
      </c>
      <c r="J181" s="34" t="str">
        <f t="array" aca="1" ref="J181" ca="1">IF(ISERROR(OFFSET(#REF!,SMALL(IF(#REF!=RM시즌체크판!C181,ROW(#REF!)-20),3),)),"",(OFFSET(#REF!,SMALL(IF(#REF!=RM시즌체크판!C181,ROW(#REF!)-20),3),)))</f>
        <v/>
      </c>
      <c r="K181" s="34" t="str">
        <f t="array" aca="1" ref="K181" ca="1">IF(ISERROR(OFFSET(#REF!,SMALL(IF(#REF!=RM시즌체크판!C181,ROW(#REF!)-20),4),)),"",(OFFSET(#REF!,SMALL(IF(#REF!=RM시즌체크판!C181,ROW(#REF!)-20),4),)))</f>
        <v/>
      </c>
      <c r="L181" s="34" t="str">
        <f t="array" aca="1" ref="L181" ca="1">IF(ISERROR(OFFSET(#REF!,SMALL(IF(#REF!=RM시즌체크판!C181,ROW(#REF!)-20),5),)),"",(OFFSET(#REF!,SMALL(IF(#REF!=RM시즌체크판!C181,ROW(#REF!)-20),5),)))</f>
        <v/>
      </c>
      <c r="M181" s="35" t="str">
        <f t="array" aca="1" ref="M181" ca="1">IF(ISERROR(OFFSET(#REF!,SMALL(IF(#REF!=RM시즌체크판!C181,ROW(#REF!)-20),6),)),"",(OFFSET(#REF!,SMALL(IF(#REF!=RM시즌체크판!C181,ROW(#REF!)-20),6),)))</f>
        <v/>
      </c>
      <c r="N181" s="27" t="str">
        <f>IF(ISERROR(VLOOKUP(C181,모델촬영리스트!$C:$E,3,)),"",(VLOOKUP(C181,모델촬영리스트!$C:$E,3,)))</f>
        <v/>
      </c>
      <c r="O181" s="23" t="str">
        <f>IF(ISERROR(VLOOKUP(C181,배너촬영리스트!$C:$E,3,)),"",(VLOOKUP(C181,배너촬영리스트!$C:$E,3,)))</f>
        <v/>
      </c>
      <c r="P181" s="36" t="str">
        <f>IF(ISERROR(VLOOKUP(C181,배너촬영리스트!$C:$E,2,)),"",(VLOOKUP(C181,배너촬영리스트!$C:$E,2,)))</f>
        <v/>
      </c>
    </row>
    <row r="182" spans="2:16">
      <c r="B182" s="20" t="str">
        <f t="shared" si="3"/>
        <v>RM</v>
      </c>
      <c r="C182" s="11" t="s">
        <v>71</v>
      </c>
      <c r="D182" s="12" t="e">
        <f>VLOOKUP(C182,#REF!,2,0)</f>
        <v>#REF!</v>
      </c>
      <c r="E182" s="10" t="e">
        <f>VLOOKUP(C182,#REF!,4,0)</f>
        <v>#REF!</v>
      </c>
      <c r="F182" s="37" t="e">
        <f>VLOOKUP(C182,#REF!,8,0)</f>
        <v>#REF!</v>
      </c>
      <c r="G182" s="22" t="str">
        <f>IF(ISERROR(IF(VLOOKUP(C182,#REF!,2,0)&gt;0,"등록","")),"",(IF(VLOOKUP(C182,#REF!,2,0)&gt;0,"등록","")))</f>
        <v/>
      </c>
      <c r="H182" s="33" t="str">
        <f t="array" aca="1" ref="H182" ca="1">IF(ISERROR(OFFSET(#REF!,SMALL(IF(#REF!=RM시즌체크판!C182,ROW(#REF!)-20),1),)),"",(OFFSET(#REF!,SMALL(IF(#REF!=RM시즌체크판!C182,ROW(#REF!)-20),1),)))</f>
        <v/>
      </c>
      <c r="I182" s="34" t="str">
        <f t="array" aca="1" ref="I182" ca="1">IF(ISERROR(OFFSET(#REF!,SMALL(IF(#REF!=RM시즌체크판!C182,ROW(#REF!)-20),2),)),"",(OFFSET(#REF!,SMALL(IF(#REF!=RM시즌체크판!C182,ROW(#REF!)-20),2),)))</f>
        <v/>
      </c>
      <c r="J182" s="34" t="str">
        <f t="array" aca="1" ref="J182" ca="1">IF(ISERROR(OFFSET(#REF!,SMALL(IF(#REF!=RM시즌체크판!C182,ROW(#REF!)-20),3),)),"",(OFFSET(#REF!,SMALL(IF(#REF!=RM시즌체크판!C182,ROW(#REF!)-20),3),)))</f>
        <v/>
      </c>
      <c r="K182" s="34" t="str">
        <f t="array" aca="1" ref="K182" ca="1">IF(ISERROR(OFFSET(#REF!,SMALL(IF(#REF!=RM시즌체크판!C182,ROW(#REF!)-20),4),)),"",(OFFSET(#REF!,SMALL(IF(#REF!=RM시즌체크판!C182,ROW(#REF!)-20),4),)))</f>
        <v/>
      </c>
      <c r="L182" s="34" t="str">
        <f t="array" aca="1" ref="L182" ca="1">IF(ISERROR(OFFSET(#REF!,SMALL(IF(#REF!=RM시즌체크판!C182,ROW(#REF!)-20),5),)),"",(OFFSET(#REF!,SMALL(IF(#REF!=RM시즌체크판!C182,ROW(#REF!)-20),5),)))</f>
        <v/>
      </c>
      <c r="M182" s="35" t="str">
        <f t="array" aca="1" ref="M182" ca="1">IF(ISERROR(OFFSET(#REF!,SMALL(IF(#REF!=RM시즌체크판!C182,ROW(#REF!)-20),6),)),"",(OFFSET(#REF!,SMALL(IF(#REF!=RM시즌체크판!C182,ROW(#REF!)-20),6),)))</f>
        <v/>
      </c>
      <c r="N182" s="27" t="str">
        <f>IF(ISERROR(VLOOKUP(C182,모델촬영리스트!$C:$E,3,)),"",(VLOOKUP(C182,모델촬영리스트!$C:$E,3,)))</f>
        <v/>
      </c>
      <c r="O182" s="23" t="str">
        <f>IF(ISERROR(VLOOKUP(C182,배너촬영리스트!$C:$E,3,)),"",(VLOOKUP(C182,배너촬영리스트!$C:$E,3,)))</f>
        <v/>
      </c>
      <c r="P182" s="36" t="str">
        <f>IF(ISERROR(VLOOKUP(C182,배너촬영리스트!$C:$E,2,)),"",(VLOOKUP(C182,배너촬영리스트!$C:$E,2,)))</f>
        <v/>
      </c>
    </row>
    <row r="183" spans="2:16">
      <c r="B183" s="20" t="str">
        <f t="shared" si="3"/>
        <v>RM</v>
      </c>
      <c r="C183" s="11" t="s">
        <v>72</v>
      </c>
      <c r="D183" s="12" t="e">
        <f>VLOOKUP(C183,#REF!,2,0)</f>
        <v>#REF!</v>
      </c>
      <c r="E183" s="10" t="e">
        <f>VLOOKUP(C183,#REF!,4,0)</f>
        <v>#REF!</v>
      </c>
      <c r="F183" s="37" t="e">
        <f>VLOOKUP(C183,#REF!,8,0)</f>
        <v>#REF!</v>
      </c>
      <c r="G183" s="22" t="str">
        <f>IF(ISERROR(IF(VLOOKUP(C183,#REF!,2,0)&gt;0,"등록","")),"",(IF(VLOOKUP(C183,#REF!,2,0)&gt;0,"등록","")))</f>
        <v/>
      </c>
      <c r="H183" s="33" t="str">
        <f t="array" aca="1" ref="H183" ca="1">IF(ISERROR(OFFSET(#REF!,SMALL(IF(#REF!=RM시즌체크판!C183,ROW(#REF!)-20),1),)),"",(OFFSET(#REF!,SMALL(IF(#REF!=RM시즌체크판!C183,ROW(#REF!)-20),1),)))</f>
        <v/>
      </c>
      <c r="I183" s="34" t="str">
        <f t="array" aca="1" ref="I183" ca="1">IF(ISERROR(OFFSET(#REF!,SMALL(IF(#REF!=RM시즌체크판!C183,ROW(#REF!)-20),2),)),"",(OFFSET(#REF!,SMALL(IF(#REF!=RM시즌체크판!C183,ROW(#REF!)-20),2),)))</f>
        <v/>
      </c>
      <c r="J183" s="34" t="str">
        <f t="array" aca="1" ref="J183" ca="1">IF(ISERROR(OFFSET(#REF!,SMALL(IF(#REF!=RM시즌체크판!C183,ROW(#REF!)-20),3),)),"",(OFFSET(#REF!,SMALL(IF(#REF!=RM시즌체크판!C183,ROW(#REF!)-20),3),)))</f>
        <v/>
      </c>
      <c r="K183" s="34" t="str">
        <f t="array" aca="1" ref="K183" ca="1">IF(ISERROR(OFFSET(#REF!,SMALL(IF(#REF!=RM시즌체크판!C183,ROW(#REF!)-20),4),)),"",(OFFSET(#REF!,SMALL(IF(#REF!=RM시즌체크판!C183,ROW(#REF!)-20),4),)))</f>
        <v/>
      </c>
      <c r="L183" s="34" t="str">
        <f t="array" aca="1" ref="L183" ca="1">IF(ISERROR(OFFSET(#REF!,SMALL(IF(#REF!=RM시즌체크판!C183,ROW(#REF!)-20),5),)),"",(OFFSET(#REF!,SMALL(IF(#REF!=RM시즌체크판!C183,ROW(#REF!)-20),5),)))</f>
        <v/>
      </c>
      <c r="M183" s="35" t="str">
        <f t="array" aca="1" ref="M183" ca="1">IF(ISERROR(OFFSET(#REF!,SMALL(IF(#REF!=RM시즌체크판!C183,ROW(#REF!)-20),6),)),"",(OFFSET(#REF!,SMALL(IF(#REF!=RM시즌체크판!C183,ROW(#REF!)-20),6),)))</f>
        <v/>
      </c>
      <c r="N183" s="27" t="str">
        <f>IF(ISERROR(VLOOKUP(C183,모델촬영리스트!$C:$E,3,)),"",(VLOOKUP(C183,모델촬영리스트!$C:$E,3,)))</f>
        <v/>
      </c>
      <c r="O183" s="23" t="str">
        <f>IF(ISERROR(VLOOKUP(C183,배너촬영리스트!$C:$E,3,)),"",(VLOOKUP(C183,배너촬영리스트!$C:$E,3,)))</f>
        <v/>
      </c>
      <c r="P183" s="36" t="str">
        <f>IF(ISERROR(VLOOKUP(C183,배너촬영리스트!$C:$E,2,)),"",(VLOOKUP(C183,배너촬영리스트!$C:$E,2,)))</f>
        <v/>
      </c>
    </row>
    <row r="184" spans="2:16">
      <c r="B184" s="20" t="str">
        <f t="shared" si="3"/>
        <v>RM</v>
      </c>
      <c r="C184" s="11" t="s">
        <v>73</v>
      </c>
      <c r="D184" s="12" t="e">
        <f>VLOOKUP(C184,#REF!,2,0)</f>
        <v>#REF!</v>
      </c>
      <c r="E184" s="10" t="e">
        <f>VLOOKUP(C184,#REF!,4,0)</f>
        <v>#REF!</v>
      </c>
      <c r="F184" s="37" t="e">
        <f>VLOOKUP(C184,#REF!,8,0)</f>
        <v>#REF!</v>
      </c>
      <c r="G184" s="22" t="str">
        <f>IF(ISERROR(IF(VLOOKUP(C184,#REF!,2,0)&gt;0,"등록","")),"",(IF(VLOOKUP(C184,#REF!,2,0)&gt;0,"등록","")))</f>
        <v/>
      </c>
      <c r="H184" s="33" t="str">
        <f t="array" aca="1" ref="H184" ca="1">IF(ISERROR(OFFSET(#REF!,SMALL(IF(#REF!=RM시즌체크판!C184,ROW(#REF!)-20),1),)),"",(OFFSET(#REF!,SMALL(IF(#REF!=RM시즌체크판!C184,ROW(#REF!)-20),1),)))</f>
        <v/>
      </c>
      <c r="I184" s="34" t="str">
        <f t="array" aca="1" ref="I184" ca="1">IF(ISERROR(OFFSET(#REF!,SMALL(IF(#REF!=RM시즌체크판!C184,ROW(#REF!)-20),2),)),"",(OFFSET(#REF!,SMALL(IF(#REF!=RM시즌체크판!C184,ROW(#REF!)-20),2),)))</f>
        <v/>
      </c>
      <c r="J184" s="34" t="str">
        <f t="array" aca="1" ref="J184" ca="1">IF(ISERROR(OFFSET(#REF!,SMALL(IF(#REF!=RM시즌체크판!C184,ROW(#REF!)-20),3),)),"",(OFFSET(#REF!,SMALL(IF(#REF!=RM시즌체크판!C184,ROW(#REF!)-20),3),)))</f>
        <v/>
      </c>
      <c r="K184" s="34" t="str">
        <f t="array" aca="1" ref="K184" ca="1">IF(ISERROR(OFFSET(#REF!,SMALL(IF(#REF!=RM시즌체크판!C184,ROW(#REF!)-20),4),)),"",(OFFSET(#REF!,SMALL(IF(#REF!=RM시즌체크판!C184,ROW(#REF!)-20),4),)))</f>
        <v/>
      </c>
      <c r="L184" s="34" t="str">
        <f t="array" aca="1" ref="L184" ca="1">IF(ISERROR(OFFSET(#REF!,SMALL(IF(#REF!=RM시즌체크판!C184,ROW(#REF!)-20),5),)),"",(OFFSET(#REF!,SMALL(IF(#REF!=RM시즌체크판!C184,ROW(#REF!)-20),5),)))</f>
        <v/>
      </c>
      <c r="M184" s="35" t="str">
        <f t="array" aca="1" ref="M184" ca="1">IF(ISERROR(OFFSET(#REF!,SMALL(IF(#REF!=RM시즌체크판!C184,ROW(#REF!)-20),6),)),"",(OFFSET(#REF!,SMALL(IF(#REF!=RM시즌체크판!C184,ROW(#REF!)-20),6),)))</f>
        <v/>
      </c>
      <c r="N184" s="27" t="str">
        <f>IF(ISERROR(VLOOKUP(C184,모델촬영리스트!$C:$E,3,)),"",(VLOOKUP(C184,모델촬영리스트!$C:$E,3,)))</f>
        <v/>
      </c>
      <c r="O184" s="23" t="str">
        <f>IF(ISERROR(VLOOKUP(C184,배너촬영리스트!$C:$E,3,)),"",(VLOOKUP(C184,배너촬영리스트!$C:$E,3,)))</f>
        <v/>
      </c>
      <c r="P184" s="36" t="str">
        <f>IF(ISERROR(VLOOKUP(C184,배너촬영리스트!$C:$E,2,)),"",(VLOOKUP(C184,배너촬영리스트!$C:$E,2,)))</f>
        <v/>
      </c>
    </row>
    <row r="185" spans="2:16">
      <c r="B185" s="20" t="str">
        <f t="shared" si="3"/>
        <v>RM</v>
      </c>
      <c r="C185" s="11" t="s">
        <v>74</v>
      </c>
      <c r="D185" s="12" t="e">
        <f>VLOOKUP(C185,#REF!,2,0)</f>
        <v>#REF!</v>
      </c>
      <c r="E185" s="10" t="e">
        <f>VLOOKUP(C185,#REF!,4,0)</f>
        <v>#REF!</v>
      </c>
      <c r="F185" s="37" t="e">
        <f>VLOOKUP(C185,#REF!,8,0)</f>
        <v>#REF!</v>
      </c>
      <c r="G185" s="22" t="str">
        <f>IF(ISERROR(IF(VLOOKUP(C185,#REF!,2,0)&gt;0,"등록","")),"",(IF(VLOOKUP(C185,#REF!,2,0)&gt;0,"등록","")))</f>
        <v/>
      </c>
      <c r="H185" s="33" t="str">
        <f t="array" aca="1" ref="H185" ca="1">IF(ISERROR(OFFSET(#REF!,SMALL(IF(#REF!=RM시즌체크판!C185,ROW(#REF!)-20),1),)),"",(OFFSET(#REF!,SMALL(IF(#REF!=RM시즌체크판!C185,ROW(#REF!)-20),1),)))</f>
        <v/>
      </c>
      <c r="I185" s="34" t="str">
        <f t="array" aca="1" ref="I185" ca="1">IF(ISERROR(OFFSET(#REF!,SMALL(IF(#REF!=RM시즌체크판!C185,ROW(#REF!)-20),2),)),"",(OFFSET(#REF!,SMALL(IF(#REF!=RM시즌체크판!C185,ROW(#REF!)-20),2),)))</f>
        <v/>
      </c>
      <c r="J185" s="34" t="str">
        <f t="array" aca="1" ref="J185" ca="1">IF(ISERROR(OFFSET(#REF!,SMALL(IF(#REF!=RM시즌체크판!C185,ROW(#REF!)-20),3),)),"",(OFFSET(#REF!,SMALL(IF(#REF!=RM시즌체크판!C185,ROW(#REF!)-20),3),)))</f>
        <v/>
      </c>
      <c r="K185" s="34" t="str">
        <f t="array" aca="1" ref="K185" ca="1">IF(ISERROR(OFFSET(#REF!,SMALL(IF(#REF!=RM시즌체크판!C185,ROW(#REF!)-20),4),)),"",(OFFSET(#REF!,SMALL(IF(#REF!=RM시즌체크판!C185,ROW(#REF!)-20),4),)))</f>
        <v/>
      </c>
      <c r="L185" s="34" t="str">
        <f t="array" aca="1" ref="L185" ca="1">IF(ISERROR(OFFSET(#REF!,SMALL(IF(#REF!=RM시즌체크판!C185,ROW(#REF!)-20),5),)),"",(OFFSET(#REF!,SMALL(IF(#REF!=RM시즌체크판!C185,ROW(#REF!)-20),5),)))</f>
        <v/>
      </c>
      <c r="M185" s="35" t="str">
        <f t="array" aca="1" ref="M185" ca="1">IF(ISERROR(OFFSET(#REF!,SMALL(IF(#REF!=RM시즌체크판!C185,ROW(#REF!)-20),6),)),"",(OFFSET(#REF!,SMALL(IF(#REF!=RM시즌체크판!C185,ROW(#REF!)-20),6),)))</f>
        <v/>
      </c>
      <c r="N185" s="27" t="str">
        <f>IF(ISERROR(VLOOKUP(C185,모델촬영리스트!$C:$E,3,)),"",(VLOOKUP(C185,모델촬영리스트!$C:$E,3,)))</f>
        <v/>
      </c>
      <c r="O185" s="23" t="str">
        <f>IF(ISERROR(VLOOKUP(C185,배너촬영리스트!$C:$E,3,)),"",(VLOOKUP(C185,배너촬영리스트!$C:$E,3,)))</f>
        <v/>
      </c>
      <c r="P185" s="36" t="str">
        <f>IF(ISERROR(VLOOKUP(C185,배너촬영리스트!$C:$E,2,)),"",(VLOOKUP(C185,배너촬영리스트!$C:$E,2,)))</f>
        <v/>
      </c>
    </row>
    <row r="186" spans="2:16">
      <c r="B186" s="20" t="str">
        <f t="shared" si="3"/>
        <v>RM</v>
      </c>
      <c r="C186" s="11" t="s">
        <v>75</v>
      </c>
      <c r="D186" s="12" t="e">
        <f>VLOOKUP(C186,#REF!,2,0)</f>
        <v>#REF!</v>
      </c>
      <c r="E186" s="10" t="e">
        <f>VLOOKUP(C186,#REF!,4,0)</f>
        <v>#REF!</v>
      </c>
      <c r="F186" s="37" t="e">
        <f>VLOOKUP(C186,#REF!,8,0)</f>
        <v>#REF!</v>
      </c>
      <c r="G186" s="22" t="str">
        <f>IF(ISERROR(IF(VLOOKUP(C186,#REF!,2,0)&gt;0,"등록","")),"",(IF(VLOOKUP(C186,#REF!,2,0)&gt;0,"등록","")))</f>
        <v/>
      </c>
      <c r="H186" s="33" t="str">
        <f t="array" aca="1" ref="H186" ca="1">IF(ISERROR(OFFSET(#REF!,SMALL(IF(#REF!=RM시즌체크판!C186,ROW(#REF!)-20),1),)),"",(OFFSET(#REF!,SMALL(IF(#REF!=RM시즌체크판!C186,ROW(#REF!)-20),1),)))</f>
        <v/>
      </c>
      <c r="I186" s="34" t="str">
        <f t="array" aca="1" ref="I186" ca="1">IF(ISERROR(OFFSET(#REF!,SMALL(IF(#REF!=RM시즌체크판!C186,ROW(#REF!)-20),2),)),"",(OFFSET(#REF!,SMALL(IF(#REF!=RM시즌체크판!C186,ROW(#REF!)-20),2),)))</f>
        <v/>
      </c>
      <c r="J186" s="34" t="str">
        <f t="array" aca="1" ref="J186" ca="1">IF(ISERROR(OFFSET(#REF!,SMALL(IF(#REF!=RM시즌체크판!C186,ROW(#REF!)-20),3),)),"",(OFFSET(#REF!,SMALL(IF(#REF!=RM시즌체크판!C186,ROW(#REF!)-20),3),)))</f>
        <v/>
      </c>
      <c r="K186" s="34" t="str">
        <f t="array" aca="1" ref="K186" ca="1">IF(ISERROR(OFFSET(#REF!,SMALL(IF(#REF!=RM시즌체크판!C186,ROW(#REF!)-20),4),)),"",(OFFSET(#REF!,SMALL(IF(#REF!=RM시즌체크판!C186,ROW(#REF!)-20),4),)))</f>
        <v/>
      </c>
      <c r="L186" s="34" t="str">
        <f t="array" aca="1" ref="L186" ca="1">IF(ISERROR(OFFSET(#REF!,SMALL(IF(#REF!=RM시즌체크판!C186,ROW(#REF!)-20),5),)),"",(OFFSET(#REF!,SMALL(IF(#REF!=RM시즌체크판!C186,ROW(#REF!)-20),5),)))</f>
        <v/>
      </c>
      <c r="M186" s="35" t="str">
        <f t="array" aca="1" ref="M186" ca="1">IF(ISERROR(OFFSET(#REF!,SMALL(IF(#REF!=RM시즌체크판!C186,ROW(#REF!)-20),6),)),"",(OFFSET(#REF!,SMALL(IF(#REF!=RM시즌체크판!C186,ROW(#REF!)-20),6),)))</f>
        <v/>
      </c>
      <c r="N186" s="27" t="str">
        <f>IF(ISERROR(VLOOKUP(C186,모델촬영리스트!$C:$E,3,)),"",(VLOOKUP(C186,모델촬영리스트!$C:$E,3,)))</f>
        <v/>
      </c>
      <c r="O186" s="23" t="str">
        <f>IF(ISERROR(VLOOKUP(C186,배너촬영리스트!$C:$E,3,)),"",(VLOOKUP(C186,배너촬영리스트!$C:$E,3,)))</f>
        <v/>
      </c>
      <c r="P186" s="36" t="str">
        <f>IF(ISERROR(VLOOKUP(C186,배너촬영리스트!$C:$E,2,)),"",(VLOOKUP(C186,배너촬영리스트!$C:$E,2,)))</f>
        <v/>
      </c>
    </row>
    <row r="187" spans="2:16">
      <c r="B187" s="20" t="str">
        <f t="shared" si="3"/>
        <v>RM</v>
      </c>
      <c r="C187" s="11" t="s">
        <v>76</v>
      </c>
      <c r="D187" s="12" t="e">
        <f>VLOOKUP(C187,#REF!,2,0)</f>
        <v>#REF!</v>
      </c>
      <c r="E187" s="10" t="e">
        <f>VLOOKUP(C187,#REF!,4,0)</f>
        <v>#REF!</v>
      </c>
      <c r="F187" s="37" t="e">
        <f>VLOOKUP(C187,#REF!,8,0)</f>
        <v>#REF!</v>
      </c>
      <c r="G187" s="22" t="str">
        <f>IF(ISERROR(IF(VLOOKUP(C187,#REF!,2,0)&gt;0,"등록","")),"",(IF(VLOOKUP(C187,#REF!,2,0)&gt;0,"등록","")))</f>
        <v/>
      </c>
      <c r="H187" s="33" t="str">
        <f t="array" aca="1" ref="H187" ca="1">IF(ISERROR(OFFSET(#REF!,SMALL(IF(#REF!=RM시즌체크판!C187,ROW(#REF!)-20),1),)),"",(OFFSET(#REF!,SMALL(IF(#REF!=RM시즌체크판!C187,ROW(#REF!)-20),1),)))</f>
        <v/>
      </c>
      <c r="I187" s="34" t="str">
        <f t="array" aca="1" ref="I187" ca="1">IF(ISERROR(OFFSET(#REF!,SMALL(IF(#REF!=RM시즌체크판!C187,ROW(#REF!)-20),2),)),"",(OFFSET(#REF!,SMALL(IF(#REF!=RM시즌체크판!C187,ROW(#REF!)-20),2),)))</f>
        <v/>
      </c>
      <c r="J187" s="34" t="str">
        <f t="array" aca="1" ref="J187" ca="1">IF(ISERROR(OFFSET(#REF!,SMALL(IF(#REF!=RM시즌체크판!C187,ROW(#REF!)-20),3),)),"",(OFFSET(#REF!,SMALL(IF(#REF!=RM시즌체크판!C187,ROW(#REF!)-20),3),)))</f>
        <v/>
      </c>
      <c r="K187" s="34" t="str">
        <f t="array" aca="1" ref="K187" ca="1">IF(ISERROR(OFFSET(#REF!,SMALL(IF(#REF!=RM시즌체크판!C187,ROW(#REF!)-20),4),)),"",(OFFSET(#REF!,SMALL(IF(#REF!=RM시즌체크판!C187,ROW(#REF!)-20),4),)))</f>
        <v/>
      </c>
      <c r="L187" s="34" t="str">
        <f t="array" aca="1" ref="L187" ca="1">IF(ISERROR(OFFSET(#REF!,SMALL(IF(#REF!=RM시즌체크판!C187,ROW(#REF!)-20),5),)),"",(OFFSET(#REF!,SMALL(IF(#REF!=RM시즌체크판!C187,ROW(#REF!)-20),5),)))</f>
        <v/>
      </c>
      <c r="M187" s="35" t="str">
        <f t="array" aca="1" ref="M187" ca="1">IF(ISERROR(OFFSET(#REF!,SMALL(IF(#REF!=RM시즌체크판!C187,ROW(#REF!)-20),6),)),"",(OFFSET(#REF!,SMALL(IF(#REF!=RM시즌체크판!C187,ROW(#REF!)-20),6),)))</f>
        <v/>
      </c>
      <c r="N187" s="27" t="str">
        <f>IF(ISERROR(VLOOKUP(C187,모델촬영리스트!$C:$E,3,)),"",(VLOOKUP(C187,모델촬영리스트!$C:$E,3,)))</f>
        <v/>
      </c>
      <c r="O187" s="23" t="str">
        <f>IF(ISERROR(VLOOKUP(C187,배너촬영리스트!$C:$E,3,)),"",(VLOOKUP(C187,배너촬영리스트!$C:$E,3,)))</f>
        <v/>
      </c>
      <c r="P187" s="36" t="str">
        <f>IF(ISERROR(VLOOKUP(C187,배너촬영리스트!$C:$E,2,)),"",(VLOOKUP(C187,배너촬영리스트!$C:$E,2,)))</f>
        <v/>
      </c>
    </row>
    <row r="188" spans="2:16">
      <c r="B188" s="20" t="str">
        <f t="shared" si="3"/>
        <v>RM</v>
      </c>
      <c r="C188" s="11" t="s">
        <v>77</v>
      </c>
      <c r="D188" s="12" t="e">
        <f>VLOOKUP(C188,#REF!,2,0)</f>
        <v>#REF!</v>
      </c>
      <c r="E188" s="10" t="e">
        <f>VLOOKUP(C188,#REF!,4,0)</f>
        <v>#REF!</v>
      </c>
      <c r="F188" s="37" t="e">
        <f>VLOOKUP(C188,#REF!,8,0)</f>
        <v>#REF!</v>
      </c>
      <c r="G188" s="22" t="str">
        <f>IF(ISERROR(IF(VLOOKUP(C188,#REF!,2,0)&gt;0,"등록","")),"",(IF(VLOOKUP(C188,#REF!,2,0)&gt;0,"등록","")))</f>
        <v/>
      </c>
      <c r="H188" s="33" t="str">
        <f t="array" aca="1" ref="H188" ca="1">IF(ISERROR(OFFSET(#REF!,SMALL(IF(#REF!=RM시즌체크판!C188,ROW(#REF!)-20),1),)),"",(OFFSET(#REF!,SMALL(IF(#REF!=RM시즌체크판!C188,ROW(#REF!)-20),1),)))</f>
        <v/>
      </c>
      <c r="I188" s="34" t="str">
        <f t="array" aca="1" ref="I188" ca="1">IF(ISERROR(OFFSET(#REF!,SMALL(IF(#REF!=RM시즌체크판!C188,ROW(#REF!)-20),2),)),"",(OFFSET(#REF!,SMALL(IF(#REF!=RM시즌체크판!C188,ROW(#REF!)-20),2),)))</f>
        <v/>
      </c>
      <c r="J188" s="34" t="str">
        <f t="array" aca="1" ref="J188" ca="1">IF(ISERROR(OFFSET(#REF!,SMALL(IF(#REF!=RM시즌체크판!C188,ROW(#REF!)-20),3),)),"",(OFFSET(#REF!,SMALL(IF(#REF!=RM시즌체크판!C188,ROW(#REF!)-20),3),)))</f>
        <v/>
      </c>
      <c r="K188" s="34" t="str">
        <f t="array" aca="1" ref="K188" ca="1">IF(ISERROR(OFFSET(#REF!,SMALL(IF(#REF!=RM시즌체크판!C188,ROW(#REF!)-20),4),)),"",(OFFSET(#REF!,SMALL(IF(#REF!=RM시즌체크판!C188,ROW(#REF!)-20),4),)))</f>
        <v/>
      </c>
      <c r="L188" s="34" t="str">
        <f t="array" aca="1" ref="L188" ca="1">IF(ISERROR(OFFSET(#REF!,SMALL(IF(#REF!=RM시즌체크판!C188,ROW(#REF!)-20),5),)),"",(OFFSET(#REF!,SMALL(IF(#REF!=RM시즌체크판!C188,ROW(#REF!)-20),5),)))</f>
        <v/>
      </c>
      <c r="M188" s="35" t="str">
        <f t="array" aca="1" ref="M188" ca="1">IF(ISERROR(OFFSET(#REF!,SMALL(IF(#REF!=RM시즌체크판!C188,ROW(#REF!)-20),6),)),"",(OFFSET(#REF!,SMALL(IF(#REF!=RM시즌체크판!C188,ROW(#REF!)-20),6),)))</f>
        <v/>
      </c>
      <c r="N188" s="27" t="str">
        <f>IF(ISERROR(VLOOKUP(C188,모델촬영리스트!$C:$E,3,)),"",(VLOOKUP(C188,모델촬영리스트!$C:$E,3,)))</f>
        <v/>
      </c>
      <c r="O188" s="23" t="str">
        <f>IF(ISERROR(VLOOKUP(C188,배너촬영리스트!$C:$E,3,)),"",(VLOOKUP(C188,배너촬영리스트!$C:$E,3,)))</f>
        <v/>
      </c>
      <c r="P188" s="36" t="str">
        <f>IF(ISERROR(VLOOKUP(C188,배너촬영리스트!$C:$E,2,)),"",(VLOOKUP(C188,배너촬영리스트!$C:$E,2,)))</f>
        <v/>
      </c>
    </row>
    <row r="189" spans="2:16">
      <c r="B189" s="20" t="str">
        <f t="shared" si="3"/>
        <v>RM</v>
      </c>
      <c r="C189" s="11" t="s">
        <v>78</v>
      </c>
      <c r="D189" s="12" t="e">
        <f>VLOOKUP(C189,#REF!,2,0)</f>
        <v>#REF!</v>
      </c>
      <c r="E189" s="10" t="e">
        <f>VLOOKUP(C189,#REF!,4,0)</f>
        <v>#REF!</v>
      </c>
      <c r="F189" s="37" t="e">
        <f>VLOOKUP(C189,#REF!,8,0)</f>
        <v>#REF!</v>
      </c>
      <c r="G189" s="22" t="str">
        <f>IF(ISERROR(IF(VLOOKUP(C189,#REF!,2,0)&gt;0,"등록","")),"",(IF(VLOOKUP(C189,#REF!,2,0)&gt;0,"등록","")))</f>
        <v/>
      </c>
      <c r="H189" s="33" t="str">
        <f t="array" aca="1" ref="H189" ca="1">IF(ISERROR(OFFSET(#REF!,SMALL(IF(#REF!=RM시즌체크판!C189,ROW(#REF!)-20),1),)),"",(OFFSET(#REF!,SMALL(IF(#REF!=RM시즌체크판!C189,ROW(#REF!)-20),1),)))</f>
        <v/>
      </c>
      <c r="I189" s="34" t="str">
        <f t="array" aca="1" ref="I189" ca="1">IF(ISERROR(OFFSET(#REF!,SMALL(IF(#REF!=RM시즌체크판!C189,ROW(#REF!)-20),2),)),"",(OFFSET(#REF!,SMALL(IF(#REF!=RM시즌체크판!C189,ROW(#REF!)-20),2),)))</f>
        <v/>
      </c>
      <c r="J189" s="34" t="str">
        <f t="array" aca="1" ref="J189" ca="1">IF(ISERROR(OFFSET(#REF!,SMALL(IF(#REF!=RM시즌체크판!C189,ROW(#REF!)-20),3),)),"",(OFFSET(#REF!,SMALL(IF(#REF!=RM시즌체크판!C189,ROW(#REF!)-20),3),)))</f>
        <v/>
      </c>
      <c r="K189" s="34" t="str">
        <f t="array" aca="1" ref="K189" ca="1">IF(ISERROR(OFFSET(#REF!,SMALL(IF(#REF!=RM시즌체크판!C189,ROW(#REF!)-20),4),)),"",(OFFSET(#REF!,SMALL(IF(#REF!=RM시즌체크판!C189,ROW(#REF!)-20),4),)))</f>
        <v/>
      </c>
      <c r="L189" s="34" t="str">
        <f t="array" aca="1" ref="L189" ca="1">IF(ISERROR(OFFSET(#REF!,SMALL(IF(#REF!=RM시즌체크판!C189,ROW(#REF!)-20),5),)),"",(OFFSET(#REF!,SMALL(IF(#REF!=RM시즌체크판!C189,ROW(#REF!)-20),5),)))</f>
        <v/>
      </c>
      <c r="M189" s="35" t="str">
        <f t="array" aca="1" ref="M189" ca="1">IF(ISERROR(OFFSET(#REF!,SMALL(IF(#REF!=RM시즌체크판!C189,ROW(#REF!)-20),6),)),"",(OFFSET(#REF!,SMALL(IF(#REF!=RM시즌체크판!C189,ROW(#REF!)-20),6),)))</f>
        <v/>
      </c>
      <c r="N189" s="27" t="str">
        <f>IF(ISERROR(VLOOKUP(C189,모델촬영리스트!$C:$E,3,)),"",(VLOOKUP(C189,모델촬영리스트!$C:$E,3,)))</f>
        <v/>
      </c>
      <c r="O189" s="23" t="str">
        <f>IF(ISERROR(VLOOKUP(C189,배너촬영리스트!$C:$E,3,)),"",(VLOOKUP(C189,배너촬영리스트!$C:$E,3,)))</f>
        <v/>
      </c>
      <c r="P189" s="36" t="str">
        <f>IF(ISERROR(VLOOKUP(C189,배너촬영리스트!$C:$E,2,)),"",(VLOOKUP(C189,배너촬영리스트!$C:$E,2,)))</f>
        <v/>
      </c>
    </row>
    <row r="190" spans="2:16">
      <c r="B190" s="20" t="str">
        <f t="shared" si="3"/>
        <v>RM</v>
      </c>
      <c r="C190" s="11" t="s">
        <v>98</v>
      </c>
      <c r="D190" s="12" t="e">
        <f>VLOOKUP(C190,#REF!,2,0)</f>
        <v>#REF!</v>
      </c>
      <c r="E190" s="10" t="e">
        <f>VLOOKUP(C190,#REF!,4,0)</f>
        <v>#REF!</v>
      </c>
      <c r="F190" s="37" t="e">
        <f>VLOOKUP(C190,#REF!,8,0)</f>
        <v>#REF!</v>
      </c>
      <c r="G190" s="22" t="str">
        <f>IF(ISERROR(IF(VLOOKUP(C190,#REF!,2,0)&gt;0,"등록","")),"",(IF(VLOOKUP(C190,#REF!,2,0)&gt;0,"등록","")))</f>
        <v/>
      </c>
      <c r="H190" s="33" t="str">
        <f t="array" aca="1" ref="H190" ca="1">IF(ISERROR(OFFSET(#REF!,SMALL(IF(#REF!=RM시즌체크판!C190,ROW(#REF!)-20),1),)),"",(OFFSET(#REF!,SMALL(IF(#REF!=RM시즌체크판!C190,ROW(#REF!)-20),1),)))</f>
        <v/>
      </c>
      <c r="I190" s="34" t="str">
        <f t="array" aca="1" ref="I190" ca="1">IF(ISERROR(OFFSET(#REF!,SMALL(IF(#REF!=RM시즌체크판!C190,ROW(#REF!)-20),2),)),"",(OFFSET(#REF!,SMALL(IF(#REF!=RM시즌체크판!C190,ROW(#REF!)-20),2),)))</f>
        <v/>
      </c>
      <c r="J190" s="34" t="str">
        <f t="array" aca="1" ref="J190" ca="1">IF(ISERROR(OFFSET(#REF!,SMALL(IF(#REF!=RM시즌체크판!C190,ROW(#REF!)-20),3),)),"",(OFFSET(#REF!,SMALL(IF(#REF!=RM시즌체크판!C190,ROW(#REF!)-20),3),)))</f>
        <v/>
      </c>
      <c r="K190" s="34" t="str">
        <f t="array" aca="1" ref="K190" ca="1">IF(ISERROR(OFFSET(#REF!,SMALL(IF(#REF!=RM시즌체크판!C190,ROW(#REF!)-20),4),)),"",(OFFSET(#REF!,SMALL(IF(#REF!=RM시즌체크판!C190,ROW(#REF!)-20),4),)))</f>
        <v/>
      </c>
      <c r="L190" s="34" t="str">
        <f t="array" aca="1" ref="L190" ca="1">IF(ISERROR(OFFSET(#REF!,SMALL(IF(#REF!=RM시즌체크판!C190,ROW(#REF!)-20),5),)),"",(OFFSET(#REF!,SMALL(IF(#REF!=RM시즌체크판!C190,ROW(#REF!)-20),5),)))</f>
        <v/>
      </c>
      <c r="M190" s="35" t="str">
        <f t="array" aca="1" ref="M190" ca="1">IF(ISERROR(OFFSET(#REF!,SMALL(IF(#REF!=RM시즌체크판!C190,ROW(#REF!)-20),6),)),"",(OFFSET(#REF!,SMALL(IF(#REF!=RM시즌체크판!C190,ROW(#REF!)-20),6),)))</f>
        <v/>
      </c>
      <c r="N190" s="27" t="str">
        <f>IF(ISERROR(VLOOKUP(C190,모델촬영리스트!$C:$E,3,)),"",(VLOOKUP(C190,모델촬영리스트!$C:$E,3,)))</f>
        <v/>
      </c>
      <c r="O190" s="23" t="str">
        <f>IF(ISERROR(VLOOKUP(C190,배너촬영리스트!$C:$E,3,)),"",(VLOOKUP(C190,배너촬영리스트!$C:$E,3,)))</f>
        <v/>
      </c>
      <c r="P190" s="36" t="str">
        <f>IF(ISERROR(VLOOKUP(C190,배너촬영리스트!$C:$E,2,)),"",(VLOOKUP(C190,배너촬영리스트!$C:$E,2,)))</f>
        <v/>
      </c>
    </row>
    <row r="191" spans="2:16">
      <c r="B191" s="20" t="str">
        <f t="shared" si="3"/>
        <v>RM</v>
      </c>
      <c r="C191" s="11" t="s">
        <v>99</v>
      </c>
      <c r="D191" s="12" t="e">
        <f>VLOOKUP(C191,#REF!,2,0)</f>
        <v>#REF!</v>
      </c>
      <c r="E191" s="10" t="e">
        <f>VLOOKUP(C191,#REF!,4,0)</f>
        <v>#REF!</v>
      </c>
      <c r="F191" s="37" t="e">
        <f>VLOOKUP(C191,#REF!,8,0)</f>
        <v>#REF!</v>
      </c>
      <c r="G191" s="22" t="str">
        <f>IF(ISERROR(IF(VLOOKUP(C191,#REF!,2,0)&gt;0,"등록","")),"",(IF(VLOOKUP(C191,#REF!,2,0)&gt;0,"등록","")))</f>
        <v/>
      </c>
      <c r="H191" s="33" t="str">
        <f t="array" aca="1" ref="H191" ca="1">IF(ISERROR(OFFSET(#REF!,SMALL(IF(#REF!=RM시즌체크판!C191,ROW(#REF!)-20),1),)),"",(OFFSET(#REF!,SMALL(IF(#REF!=RM시즌체크판!C191,ROW(#REF!)-20),1),)))</f>
        <v/>
      </c>
      <c r="I191" s="34" t="str">
        <f t="array" aca="1" ref="I191" ca="1">IF(ISERROR(OFFSET(#REF!,SMALL(IF(#REF!=RM시즌체크판!C191,ROW(#REF!)-20),2),)),"",(OFFSET(#REF!,SMALL(IF(#REF!=RM시즌체크판!C191,ROW(#REF!)-20),2),)))</f>
        <v/>
      </c>
      <c r="J191" s="34" t="str">
        <f t="array" aca="1" ref="J191" ca="1">IF(ISERROR(OFFSET(#REF!,SMALL(IF(#REF!=RM시즌체크판!C191,ROW(#REF!)-20),3),)),"",(OFFSET(#REF!,SMALL(IF(#REF!=RM시즌체크판!C191,ROW(#REF!)-20),3),)))</f>
        <v/>
      </c>
      <c r="K191" s="34" t="str">
        <f t="array" aca="1" ref="K191" ca="1">IF(ISERROR(OFFSET(#REF!,SMALL(IF(#REF!=RM시즌체크판!C191,ROW(#REF!)-20),4),)),"",(OFFSET(#REF!,SMALL(IF(#REF!=RM시즌체크판!C191,ROW(#REF!)-20),4),)))</f>
        <v/>
      </c>
      <c r="L191" s="34" t="str">
        <f t="array" aca="1" ref="L191" ca="1">IF(ISERROR(OFFSET(#REF!,SMALL(IF(#REF!=RM시즌체크판!C191,ROW(#REF!)-20),5),)),"",(OFFSET(#REF!,SMALL(IF(#REF!=RM시즌체크판!C191,ROW(#REF!)-20),5),)))</f>
        <v/>
      </c>
      <c r="M191" s="35" t="str">
        <f t="array" aca="1" ref="M191" ca="1">IF(ISERROR(OFFSET(#REF!,SMALL(IF(#REF!=RM시즌체크판!C191,ROW(#REF!)-20),6),)),"",(OFFSET(#REF!,SMALL(IF(#REF!=RM시즌체크판!C191,ROW(#REF!)-20),6),)))</f>
        <v/>
      </c>
      <c r="N191" s="27" t="str">
        <f>IF(ISERROR(VLOOKUP(C191,모델촬영리스트!$C:$E,3,)),"",(VLOOKUP(C191,모델촬영리스트!$C:$E,3,)))</f>
        <v/>
      </c>
      <c r="O191" s="23" t="str">
        <f>IF(ISERROR(VLOOKUP(C191,배너촬영리스트!$C:$E,3,)),"",(VLOOKUP(C191,배너촬영리스트!$C:$E,3,)))</f>
        <v/>
      </c>
      <c r="P191" s="36" t="str">
        <f>IF(ISERROR(VLOOKUP(C191,배너촬영리스트!$C:$E,2,)),"",(VLOOKUP(C191,배너촬영리스트!$C:$E,2,)))</f>
        <v/>
      </c>
    </row>
    <row r="192" spans="2:16">
      <c r="B192" s="20" t="str">
        <f t="shared" si="3"/>
        <v>RM</v>
      </c>
      <c r="C192" s="11" t="s">
        <v>100</v>
      </c>
      <c r="D192" s="12" t="e">
        <f>VLOOKUP(C192,#REF!,2,0)</f>
        <v>#REF!</v>
      </c>
      <c r="E192" s="10" t="e">
        <f>VLOOKUP(C192,#REF!,4,0)</f>
        <v>#REF!</v>
      </c>
      <c r="F192" s="37" t="e">
        <f>VLOOKUP(C192,#REF!,8,0)</f>
        <v>#REF!</v>
      </c>
      <c r="G192" s="22" t="str">
        <f>IF(ISERROR(IF(VLOOKUP(C192,#REF!,2,0)&gt;0,"등록","")),"",(IF(VLOOKUP(C192,#REF!,2,0)&gt;0,"등록","")))</f>
        <v/>
      </c>
      <c r="H192" s="33" t="str">
        <f t="array" aca="1" ref="H192" ca="1">IF(ISERROR(OFFSET(#REF!,SMALL(IF(#REF!=RM시즌체크판!C192,ROW(#REF!)-20),1),)),"",(OFFSET(#REF!,SMALL(IF(#REF!=RM시즌체크판!C192,ROW(#REF!)-20),1),)))</f>
        <v/>
      </c>
      <c r="I192" s="34" t="str">
        <f t="array" aca="1" ref="I192" ca="1">IF(ISERROR(OFFSET(#REF!,SMALL(IF(#REF!=RM시즌체크판!C192,ROW(#REF!)-20),2),)),"",(OFFSET(#REF!,SMALL(IF(#REF!=RM시즌체크판!C192,ROW(#REF!)-20),2),)))</f>
        <v/>
      </c>
      <c r="J192" s="34" t="str">
        <f t="array" aca="1" ref="J192" ca="1">IF(ISERROR(OFFSET(#REF!,SMALL(IF(#REF!=RM시즌체크판!C192,ROW(#REF!)-20),3),)),"",(OFFSET(#REF!,SMALL(IF(#REF!=RM시즌체크판!C192,ROW(#REF!)-20),3),)))</f>
        <v/>
      </c>
      <c r="K192" s="34" t="str">
        <f t="array" aca="1" ref="K192" ca="1">IF(ISERROR(OFFSET(#REF!,SMALL(IF(#REF!=RM시즌체크판!C192,ROW(#REF!)-20),4),)),"",(OFFSET(#REF!,SMALL(IF(#REF!=RM시즌체크판!C192,ROW(#REF!)-20),4),)))</f>
        <v/>
      </c>
      <c r="L192" s="34" t="str">
        <f t="array" aca="1" ref="L192" ca="1">IF(ISERROR(OFFSET(#REF!,SMALL(IF(#REF!=RM시즌체크판!C192,ROW(#REF!)-20),5),)),"",(OFFSET(#REF!,SMALL(IF(#REF!=RM시즌체크판!C192,ROW(#REF!)-20),5),)))</f>
        <v/>
      </c>
      <c r="M192" s="35" t="str">
        <f t="array" aca="1" ref="M192" ca="1">IF(ISERROR(OFFSET(#REF!,SMALL(IF(#REF!=RM시즌체크판!C192,ROW(#REF!)-20),6),)),"",(OFFSET(#REF!,SMALL(IF(#REF!=RM시즌체크판!C192,ROW(#REF!)-20),6),)))</f>
        <v/>
      </c>
      <c r="N192" s="27" t="str">
        <f>IF(ISERROR(VLOOKUP(C192,모델촬영리스트!$C:$E,3,)),"",(VLOOKUP(C192,모델촬영리스트!$C:$E,3,)))</f>
        <v/>
      </c>
      <c r="O192" s="23" t="str">
        <f>IF(ISERROR(VLOOKUP(C192,배너촬영리스트!$C:$E,3,)),"",(VLOOKUP(C192,배너촬영리스트!$C:$E,3,)))</f>
        <v/>
      </c>
      <c r="P192" s="36" t="str">
        <f>IF(ISERROR(VLOOKUP(C192,배너촬영리스트!$C:$E,2,)),"",(VLOOKUP(C192,배너촬영리스트!$C:$E,2,)))</f>
        <v/>
      </c>
    </row>
    <row r="193" spans="2:16">
      <c r="B193" s="20" t="str">
        <f t="shared" si="3"/>
        <v>RM</v>
      </c>
      <c r="C193" s="11" t="s">
        <v>101</v>
      </c>
      <c r="D193" s="12" t="e">
        <f>VLOOKUP(C193,#REF!,2,0)</f>
        <v>#REF!</v>
      </c>
      <c r="E193" s="10" t="e">
        <f>VLOOKUP(C193,#REF!,4,0)</f>
        <v>#REF!</v>
      </c>
      <c r="F193" s="37" t="e">
        <f>VLOOKUP(C193,#REF!,8,0)</f>
        <v>#REF!</v>
      </c>
      <c r="G193" s="22" t="str">
        <f>IF(ISERROR(IF(VLOOKUP(C193,#REF!,2,0)&gt;0,"등록","")),"",(IF(VLOOKUP(C193,#REF!,2,0)&gt;0,"등록","")))</f>
        <v/>
      </c>
      <c r="H193" s="33" t="str">
        <f t="array" aca="1" ref="H193" ca="1">IF(ISERROR(OFFSET(#REF!,SMALL(IF(#REF!=RM시즌체크판!C193,ROW(#REF!)-20),1),)),"",(OFFSET(#REF!,SMALL(IF(#REF!=RM시즌체크판!C193,ROW(#REF!)-20),1),)))</f>
        <v/>
      </c>
      <c r="I193" s="34" t="str">
        <f t="array" aca="1" ref="I193" ca="1">IF(ISERROR(OFFSET(#REF!,SMALL(IF(#REF!=RM시즌체크판!C193,ROW(#REF!)-20),2),)),"",(OFFSET(#REF!,SMALL(IF(#REF!=RM시즌체크판!C193,ROW(#REF!)-20),2),)))</f>
        <v/>
      </c>
      <c r="J193" s="34" t="str">
        <f t="array" aca="1" ref="J193" ca="1">IF(ISERROR(OFFSET(#REF!,SMALL(IF(#REF!=RM시즌체크판!C193,ROW(#REF!)-20),3),)),"",(OFFSET(#REF!,SMALL(IF(#REF!=RM시즌체크판!C193,ROW(#REF!)-20),3),)))</f>
        <v/>
      </c>
      <c r="K193" s="34" t="str">
        <f t="array" aca="1" ref="K193" ca="1">IF(ISERROR(OFFSET(#REF!,SMALL(IF(#REF!=RM시즌체크판!C193,ROW(#REF!)-20),4),)),"",(OFFSET(#REF!,SMALL(IF(#REF!=RM시즌체크판!C193,ROW(#REF!)-20),4),)))</f>
        <v/>
      </c>
      <c r="L193" s="34" t="str">
        <f t="array" aca="1" ref="L193" ca="1">IF(ISERROR(OFFSET(#REF!,SMALL(IF(#REF!=RM시즌체크판!C193,ROW(#REF!)-20),5),)),"",(OFFSET(#REF!,SMALL(IF(#REF!=RM시즌체크판!C193,ROW(#REF!)-20),5),)))</f>
        <v/>
      </c>
      <c r="M193" s="35" t="str">
        <f t="array" aca="1" ref="M193" ca="1">IF(ISERROR(OFFSET(#REF!,SMALL(IF(#REF!=RM시즌체크판!C193,ROW(#REF!)-20),6),)),"",(OFFSET(#REF!,SMALL(IF(#REF!=RM시즌체크판!C193,ROW(#REF!)-20),6),)))</f>
        <v/>
      </c>
      <c r="N193" s="27" t="str">
        <f>IF(ISERROR(VLOOKUP(C193,모델촬영리스트!$C:$E,3,)),"",(VLOOKUP(C193,모델촬영리스트!$C:$E,3,)))</f>
        <v/>
      </c>
      <c r="O193" s="23" t="str">
        <f>IF(ISERROR(VLOOKUP(C193,배너촬영리스트!$C:$E,3,)),"",(VLOOKUP(C193,배너촬영리스트!$C:$E,3,)))</f>
        <v/>
      </c>
      <c r="P193" s="36" t="str">
        <f>IF(ISERROR(VLOOKUP(C193,배너촬영리스트!$C:$E,2,)),"",(VLOOKUP(C193,배너촬영리스트!$C:$E,2,)))</f>
        <v/>
      </c>
    </row>
    <row r="194" spans="2:16">
      <c r="B194" s="20" t="str">
        <f t="shared" si="3"/>
        <v>RM</v>
      </c>
      <c r="C194" s="11" t="s">
        <v>102</v>
      </c>
      <c r="D194" s="12" t="e">
        <f>VLOOKUP(C194,#REF!,2,0)</f>
        <v>#REF!</v>
      </c>
      <c r="E194" s="10" t="e">
        <f>VLOOKUP(C194,#REF!,4,0)</f>
        <v>#REF!</v>
      </c>
      <c r="F194" s="37" t="e">
        <f>VLOOKUP(C194,#REF!,8,0)</f>
        <v>#REF!</v>
      </c>
      <c r="G194" s="22" t="str">
        <f>IF(ISERROR(IF(VLOOKUP(C194,#REF!,2,0)&gt;0,"등록","")),"",(IF(VLOOKUP(C194,#REF!,2,0)&gt;0,"등록","")))</f>
        <v/>
      </c>
      <c r="H194" s="33" t="str">
        <f t="array" aca="1" ref="H194" ca="1">IF(ISERROR(OFFSET(#REF!,SMALL(IF(#REF!=RM시즌체크판!C194,ROW(#REF!)-20),1),)),"",(OFFSET(#REF!,SMALL(IF(#REF!=RM시즌체크판!C194,ROW(#REF!)-20),1),)))</f>
        <v/>
      </c>
      <c r="I194" s="34" t="str">
        <f t="array" aca="1" ref="I194" ca="1">IF(ISERROR(OFFSET(#REF!,SMALL(IF(#REF!=RM시즌체크판!C194,ROW(#REF!)-20),2),)),"",(OFFSET(#REF!,SMALL(IF(#REF!=RM시즌체크판!C194,ROW(#REF!)-20),2),)))</f>
        <v/>
      </c>
      <c r="J194" s="34" t="str">
        <f t="array" aca="1" ref="J194" ca="1">IF(ISERROR(OFFSET(#REF!,SMALL(IF(#REF!=RM시즌체크판!C194,ROW(#REF!)-20),3),)),"",(OFFSET(#REF!,SMALL(IF(#REF!=RM시즌체크판!C194,ROW(#REF!)-20),3),)))</f>
        <v/>
      </c>
      <c r="K194" s="34" t="str">
        <f t="array" aca="1" ref="K194" ca="1">IF(ISERROR(OFFSET(#REF!,SMALL(IF(#REF!=RM시즌체크판!C194,ROW(#REF!)-20),4),)),"",(OFFSET(#REF!,SMALL(IF(#REF!=RM시즌체크판!C194,ROW(#REF!)-20),4),)))</f>
        <v/>
      </c>
      <c r="L194" s="34" t="str">
        <f t="array" aca="1" ref="L194" ca="1">IF(ISERROR(OFFSET(#REF!,SMALL(IF(#REF!=RM시즌체크판!C194,ROW(#REF!)-20),5),)),"",(OFFSET(#REF!,SMALL(IF(#REF!=RM시즌체크판!C194,ROW(#REF!)-20),5),)))</f>
        <v/>
      </c>
      <c r="M194" s="35" t="str">
        <f t="array" aca="1" ref="M194" ca="1">IF(ISERROR(OFFSET(#REF!,SMALL(IF(#REF!=RM시즌체크판!C194,ROW(#REF!)-20),6),)),"",(OFFSET(#REF!,SMALL(IF(#REF!=RM시즌체크판!C194,ROW(#REF!)-20),6),)))</f>
        <v/>
      </c>
      <c r="N194" s="27" t="str">
        <f>IF(ISERROR(VLOOKUP(C194,모델촬영리스트!$C:$E,3,)),"",(VLOOKUP(C194,모델촬영리스트!$C:$E,3,)))</f>
        <v/>
      </c>
      <c r="O194" s="23" t="str">
        <f>IF(ISERROR(VLOOKUP(C194,배너촬영리스트!$C:$E,3,)),"",(VLOOKUP(C194,배너촬영리스트!$C:$E,3,)))</f>
        <v/>
      </c>
      <c r="P194" s="36" t="str">
        <f>IF(ISERROR(VLOOKUP(C194,배너촬영리스트!$C:$E,2,)),"",(VLOOKUP(C194,배너촬영리스트!$C:$E,2,)))</f>
        <v/>
      </c>
    </row>
    <row r="195" spans="2:16">
      <c r="B195" s="20" t="str">
        <f t="shared" si="3"/>
        <v>RM</v>
      </c>
      <c r="C195" s="11" t="s">
        <v>103</v>
      </c>
      <c r="D195" s="12" t="e">
        <f>VLOOKUP(C195,#REF!,2,0)</f>
        <v>#REF!</v>
      </c>
      <c r="E195" s="10" t="e">
        <f>VLOOKUP(C195,#REF!,4,0)</f>
        <v>#REF!</v>
      </c>
      <c r="F195" s="37" t="e">
        <f>VLOOKUP(C195,#REF!,8,0)</f>
        <v>#REF!</v>
      </c>
      <c r="G195" s="22" t="str">
        <f>IF(ISERROR(IF(VLOOKUP(C195,#REF!,2,0)&gt;0,"등록","")),"",(IF(VLOOKUP(C195,#REF!,2,0)&gt;0,"등록","")))</f>
        <v/>
      </c>
      <c r="H195" s="33" t="str">
        <f t="array" aca="1" ref="H195" ca="1">IF(ISERROR(OFFSET(#REF!,SMALL(IF(#REF!=RM시즌체크판!C195,ROW(#REF!)-20),1),)),"",(OFFSET(#REF!,SMALL(IF(#REF!=RM시즌체크판!C195,ROW(#REF!)-20),1),)))</f>
        <v/>
      </c>
      <c r="I195" s="34" t="str">
        <f t="array" aca="1" ref="I195" ca="1">IF(ISERROR(OFFSET(#REF!,SMALL(IF(#REF!=RM시즌체크판!C195,ROW(#REF!)-20),2),)),"",(OFFSET(#REF!,SMALL(IF(#REF!=RM시즌체크판!C195,ROW(#REF!)-20),2),)))</f>
        <v/>
      </c>
      <c r="J195" s="34" t="str">
        <f t="array" aca="1" ref="J195" ca="1">IF(ISERROR(OFFSET(#REF!,SMALL(IF(#REF!=RM시즌체크판!C195,ROW(#REF!)-20),3),)),"",(OFFSET(#REF!,SMALL(IF(#REF!=RM시즌체크판!C195,ROW(#REF!)-20),3),)))</f>
        <v/>
      </c>
      <c r="K195" s="34" t="str">
        <f t="array" aca="1" ref="K195" ca="1">IF(ISERROR(OFFSET(#REF!,SMALL(IF(#REF!=RM시즌체크판!C195,ROW(#REF!)-20),4),)),"",(OFFSET(#REF!,SMALL(IF(#REF!=RM시즌체크판!C195,ROW(#REF!)-20),4),)))</f>
        <v/>
      </c>
      <c r="L195" s="34" t="str">
        <f t="array" aca="1" ref="L195" ca="1">IF(ISERROR(OFFSET(#REF!,SMALL(IF(#REF!=RM시즌체크판!C195,ROW(#REF!)-20),5),)),"",(OFFSET(#REF!,SMALL(IF(#REF!=RM시즌체크판!C195,ROW(#REF!)-20),5),)))</f>
        <v/>
      </c>
      <c r="M195" s="35" t="str">
        <f t="array" aca="1" ref="M195" ca="1">IF(ISERROR(OFFSET(#REF!,SMALL(IF(#REF!=RM시즌체크판!C195,ROW(#REF!)-20),6),)),"",(OFFSET(#REF!,SMALL(IF(#REF!=RM시즌체크판!C195,ROW(#REF!)-20),6),)))</f>
        <v/>
      </c>
      <c r="N195" s="27" t="str">
        <f>IF(ISERROR(VLOOKUP(C195,모델촬영리스트!$C:$E,3,)),"",(VLOOKUP(C195,모델촬영리스트!$C:$E,3,)))</f>
        <v/>
      </c>
      <c r="O195" s="23" t="str">
        <f>IF(ISERROR(VLOOKUP(C195,배너촬영리스트!$C:$E,3,)),"",(VLOOKUP(C195,배너촬영리스트!$C:$E,3,)))</f>
        <v/>
      </c>
      <c r="P195" s="36" t="str">
        <f>IF(ISERROR(VLOOKUP(C195,배너촬영리스트!$C:$E,2,)),"",(VLOOKUP(C195,배너촬영리스트!$C:$E,2,)))</f>
        <v/>
      </c>
    </row>
    <row r="196" spans="2:16">
      <c r="B196" s="20" t="str">
        <f t="shared" si="3"/>
        <v>RM</v>
      </c>
      <c r="C196" s="11" t="s">
        <v>104</v>
      </c>
      <c r="D196" s="12" t="e">
        <f>VLOOKUP(C196,#REF!,2,0)</f>
        <v>#REF!</v>
      </c>
      <c r="E196" s="10" t="e">
        <f>VLOOKUP(C196,#REF!,4,0)</f>
        <v>#REF!</v>
      </c>
      <c r="F196" s="37" t="e">
        <f>VLOOKUP(C196,#REF!,8,0)</f>
        <v>#REF!</v>
      </c>
      <c r="G196" s="22" t="str">
        <f>IF(ISERROR(IF(VLOOKUP(C196,#REF!,2,0)&gt;0,"등록","")),"",(IF(VLOOKUP(C196,#REF!,2,0)&gt;0,"등록","")))</f>
        <v/>
      </c>
      <c r="H196" s="33" t="str">
        <f t="array" aca="1" ref="H196" ca="1">IF(ISERROR(OFFSET(#REF!,SMALL(IF(#REF!=RM시즌체크판!C196,ROW(#REF!)-20),1),)),"",(OFFSET(#REF!,SMALL(IF(#REF!=RM시즌체크판!C196,ROW(#REF!)-20),1),)))</f>
        <v/>
      </c>
      <c r="I196" s="34" t="str">
        <f t="array" aca="1" ref="I196" ca="1">IF(ISERROR(OFFSET(#REF!,SMALL(IF(#REF!=RM시즌체크판!C196,ROW(#REF!)-20),2),)),"",(OFFSET(#REF!,SMALL(IF(#REF!=RM시즌체크판!C196,ROW(#REF!)-20),2),)))</f>
        <v/>
      </c>
      <c r="J196" s="34" t="str">
        <f t="array" aca="1" ref="J196" ca="1">IF(ISERROR(OFFSET(#REF!,SMALL(IF(#REF!=RM시즌체크판!C196,ROW(#REF!)-20),3),)),"",(OFFSET(#REF!,SMALL(IF(#REF!=RM시즌체크판!C196,ROW(#REF!)-20),3),)))</f>
        <v/>
      </c>
      <c r="K196" s="34" t="str">
        <f t="array" aca="1" ref="K196" ca="1">IF(ISERROR(OFFSET(#REF!,SMALL(IF(#REF!=RM시즌체크판!C196,ROW(#REF!)-20),4),)),"",(OFFSET(#REF!,SMALL(IF(#REF!=RM시즌체크판!C196,ROW(#REF!)-20),4),)))</f>
        <v/>
      </c>
      <c r="L196" s="34" t="str">
        <f t="array" aca="1" ref="L196" ca="1">IF(ISERROR(OFFSET(#REF!,SMALL(IF(#REF!=RM시즌체크판!C196,ROW(#REF!)-20),5),)),"",(OFFSET(#REF!,SMALL(IF(#REF!=RM시즌체크판!C196,ROW(#REF!)-20),5),)))</f>
        <v/>
      </c>
      <c r="M196" s="35" t="str">
        <f t="array" aca="1" ref="M196" ca="1">IF(ISERROR(OFFSET(#REF!,SMALL(IF(#REF!=RM시즌체크판!C196,ROW(#REF!)-20),6),)),"",(OFFSET(#REF!,SMALL(IF(#REF!=RM시즌체크판!C196,ROW(#REF!)-20),6),)))</f>
        <v/>
      </c>
      <c r="N196" s="27" t="str">
        <f>IF(ISERROR(VLOOKUP(C196,모델촬영리스트!$C:$E,3,)),"",(VLOOKUP(C196,모델촬영리스트!$C:$E,3,)))</f>
        <v/>
      </c>
      <c r="O196" s="23" t="str">
        <f>IF(ISERROR(VLOOKUP(C196,배너촬영리스트!$C:$E,3,)),"",(VLOOKUP(C196,배너촬영리스트!$C:$E,3,)))</f>
        <v/>
      </c>
      <c r="P196" s="36" t="str">
        <f>IF(ISERROR(VLOOKUP(C196,배너촬영리스트!$C:$E,2,)),"",(VLOOKUP(C196,배너촬영리스트!$C:$E,2,)))</f>
        <v/>
      </c>
    </row>
    <row r="197" spans="2:16">
      <c r="B197" s="20" t="str">
        <f t="shared" si="3"/>
        <v>RM</v>
      </c>
      <c r="C197" s="11" t="s">
        <v>105</v>
      </c>
      <c r="D197" s="12" t="e">
        <f>VLOOKUP(C197,#REF!,2,0)</f>
        <v>#REF!</v>
      </c>
      <c r="E197" s="10" t="e">
        <f>VLOOKUP(C197,#REF!,4,0)</f>
        <v>#REF!</v>
      </c>
      <c r="F197" s="37" t="e">
        <f>VLOOKUP(C197,#REF!,8,0)</f>
        <v>#REF!</v>
      </c>
      <c r="G197" s="22" t="str">
        <f>IF(ISERROR(IF(VLOOKUP(C197,#REF!,2,0)&gt;0,"등록","")),"",(IF(VLOOKUP(C197,#REF!,2,0)&gt;0,"등록","")))</f>
        <v/>
      </c>
      <c r="H197" s="33" t="str">
        <f t="array" aca="1" ref="H197" ca="1">IF(ISERROR(OFFSET(#REF!,SMALL(IF(#REF!=RM시즌체크판!C197,ROW(#REF!)-20),1),)),"",(OFFSET(#REF!,SMALL(IF(#REF!=RM시즌체크판!C197,ROW(#REF!)-20),1),)))</f>
        <v/>
      </c>
      <c r="I197" s="34" t="str">
        <f t="array" aca="1" ref="I197" ca="1">IF(ISERROR(OFFSET(#REF!,SMALL(IF(#REF!=RM시즌체크판!C197,ROW(#REF!)-20),2),)),"",(OFFSET(#REF!,SMALL(IF(#REF!=RM시즌체크판!C197,ROW(#REF!)-20),2),)))</f>
        <v/>
      </c>
      <c r="J197" s="34" t="str">
        <f t="array" aca="1" ref="J197" ca="1">IF(ISERROR(OFFSET(#REF!,SMALL(IF(#REF!=RM시즌체크판!C197,ROW(#REF!)-20),3),)),"",(OFFSET(#REF!,SMALL(IF(#REF!=RM시즌체크판!C197,ROW(#REF!)-20),3),)))</f>
        <v/>
      </c>
      <c r="K197" s="34" t="str">
        <f t="array" aca="1" ref="K197" ca="1">IF(ISERROR(OFFSET(#REF!,SMALL(IF(#REF!=RM시즌체크판!C197,ROW(#REF!)-20),4),)),"",(OFFSET(#REF!,SMALL(IF(#REF!=RM시즌체크판!C197,ROW(#REF!)-20),4),)))</f>
        <v/>
      </c>
      <c r="L197" s="34" t="str">
        <f t="array" aca="1" ref="L197" ca="1">IF(ISERROR(OFFSET(#REF!,SMALL(IF(#REF!=RM시즌체크판!C197,ROW(#REF!)-20),5),)),"",(OFFSET(#REF!,SMALL(IF(#REF!=RM시즌체크판!C197,ROW(#REF!)-20),5),)))</f>
        <v/>
      </c>
      <c r="M197" s="35" t="str">
        <f t="array" aca="1" ref="M197" ca="1">IF(ISERROR(OFFSET(#REF!,SMALL(IF(#REF!=RM시즌체크판!C197,ROW(#REF!)-20),6),)),"",(OFFSET(#REF!,SMALL(IF(#REF!=RM시즌체크판!C197,ROW(#REF!)-20),6),)))</f>
        <v/>
      </c>
      <c r="N197" s="27" t="str">
        <f>IF(ISERROR(VLOOKUP(C197,모델촬영리스트!$C:$E,3,)),"",(VLOOKUP(C197,모델촬영리스트!$C:$E,3,)))</f>
        <v/>
      </c>
      <c r="O197" s="23" t="str">
        <f>IF(ISERROR(VLOOKUP(C197,배너촬영리스트!$C:$E,3,)),"",(VLOOKUP(C197,배너촬영리스트!$C:$E,3,)))</f>
        <v/>
      </c>
      <c r="P197" s="36" t="str">
        <f>IF(ISERROR(VLOOKUP(C197,배너촬영리스트!$C:$E,2,)),"",(VLOOKUP(C197,배너촬영리스트!$C:$E,2,)))</f>
        <v/>
      </c>
    </row>
    <row r="198" spans="2:16">
      <c r="B198" s="20" t="str">
        <f t="shared" si="3"/>
        <v>RM</v>
      </c>
      <c r="C198" s="11" t="s">
        <v>106</v>
      </c>
      <c r="D198" s="12" t="e">
        <f>VLOOKUP(C198,#REF!,2,0)</f>
        <v>#REF!</v>
      </c>
      <c r="E198" s="10" t="e">
        <f>VLOOKUP(C198,#REF!,4,0)</f>
        <v>#REF!</v>
      </c>
      <c r="F198" s="37" t="e">
        <f>VLOOKUP(C198,#REF!,8,0)</f>
        <v>#REF!</v>
      </c>
      <c r="G198" s="22" t="str">
        <f>IF(ISERROR(IF(VLOOKUP(C198,#REF!,2,0)&gt;0,"등록","")),"",(IF(VLOOKUP(C198,#REF!,2,0)&gt;0,"등록","")))</f>
        <v/>
      </c>
      <c r="H198" s="33" t="str">
        <f t="array" aca="1" ref="H198" ca="1">IF(ISERROR(OFFSET(#REF!,SMALL(IF(#REF!=RM시즌체크판!C198,ROW(#REF!)-20),1),)),"",(OFFSET(#REF!,SMALL(IF(#REF!=RM시즌체크판!C198,ROW(#REF!)-20),1),)))</f>
        <v/>
      </c>
      <c r="I198" s="34" t="str">
        <f t="array" aca="1" ref="I198" ca="1">IF(ISERROR(OFFSET(#REF!,SMALL(IF(#REF!=RM시즌체크판!C198,ROW(#REF!)-20),2),)),"",(OFFSET(#REF!,SMALL(IF(#REF!=RM시즌체크판!C198,ROW(#REF!)-20),2),)))</f>
        <v/>
      </c>
      <c r="J198" s="34" t="str">
        <f t="array" aca="1" ref="J198" ca="1">IF(ISERROR(OFFSET(#REF!,SMALL(IF(#REF!=RM시즌체크판!C198,ROW(#REF!)-20),3),)),"",(OFFSET(#REF!,SMALL(IF(#REF!=RM시즌체크판!C198,ROW(#REF!)-20),3),)))</f>
        <v/>
      </c>
      <c r="K198" s="34" t="str">
        <f t="array" aca="1" ref="K198" ca="1">IF(ISERROR(OFFSET(#REF!,SMALL(IF(#REF!=RM시즌체크판!C198,ROW(#REF!)-20),4),)),"",(OFFSET(#REF!,SMALL(IF(#REF!=RM시즌체크판!C198,ROW(#REF!)-20),4),)))</f>
        <v/>
      </c>
      <c r="L198" s="34" t="str">
        <f t="array" aca="1" ref="L198" ca="1">IF(ISERROR(OFFSET(#REF!,SMALL(IF(#REF!=RM시즌체크판!C198,ROW(#REF!)-20),5),)),"",(OFFSET(#REF!,SMALL(IF(#REF!=RM시즌체크판!C198,ROW(#REF!)-20),5),)))</f>
        <v/>
      </c>
      <c r="M198" s="35" t="str">
        <f t="array" aca="1" ref="M198" ca="1">IF(ISERROR(OFFSET(#REF!,SMALL(IF(#REF!=RM시즌체크판!C198,ROW(#REF!)-20),6),)),"",(OFFSET(#REF!,SMALL(IF(#REF!=RM시즌체크판!C198,ROW(#REF!)-20),6),)))</f>
        <v/>
      </c>
      <c r="N198" s="27" t="str">
        <f>IF(ISERROR(VLOOKUP(C198,모델촬영리스트!$C:$E,3,)),"",(VLOOKUP(C198,모델촬영리스트!$C:$E,3,)))</f>
        <v/>
      </c>
      <c r="O198" s="23" t="str">
        <f>IF(ISERROR(VLOOKUP(C198,배너촬영리스트!$C:$E,3,)),"",(VLOOKUP(C198,배너촬영리스트!$C:$E,3,)))</f>
        <v/>
      </c>
      <c r="P198" s="36" t="str">
        <f>IF(ISERROR(VLOOKUP(C198,배너촬영리스트!$C:$E,2,)),"",(VLOOKUP(C198,배너촬영리스트!$C:$E,2,)))</f>
        <v/>
      </c>
    </row>
    <row r="199" spans="2:16">
      <c r="B199" s="20" t="str">
        <f t="shared" si="3"/>
        <v>RM</v>
      </c>
      <c r="C199" s="11" t="s">
        <v>107</v>
      </c>
      <c r="D199" s="12" t="e">
        <f>VLOOKUP(C199,#REF!,2,0)</f>
        <v>#REF!</v>
      </c>
      <c r="E199" s="10" t="e">
        <f>VLOOKUP(C199,#REF!,4,0)</f>
        <v>#REF!</v>
      </c>
      <c r="F199" s="37" t="e">
        <f>VLOOKUP(C199,#REF!,8,0)</f>
        <v>#REF!</v>
      </c>
      <c r="G199" s="22" t="str">
        <f>IF(ISERROR(IF(VLOOKUP(C199,#REF!,2,0)&gt;0,"등록","")),"",(IF(VLOOKUP(C199,#REF!,2,0)&gt;0,"등록","")))</f>
        <v/>
      </c>
      <c r="H199" s="33" t="str">
        <f t="array" aca="1" ref="H199" ca="1">IF(ISERROR(OFFSET(#REF!,SMALL(IF(#REF!=RM시즌체크판!C199,ROW(#REF!)-20),1),)),"",(OFFSET(#REF!,SMALL(IF(#REF!=RM시즌체크판!C199,ROW(#REF!)-20),1),)))</f>
        <v/>
      </c>
      <c r="I199" s="34" t="str">
        <f t="array" aca="1" ref="I199" ca="1">IF(ISERROR(OFFSET(#REF!,SMALL(IF(#REF!=RM시즌체크판!C199,ROW(#REF!)-20),2),)),"",(OFFSET(#REF!,SMALL(IF(#REF!=RM시즌체크판!C199,ROW(#REF!)-20),2),)))</f>
        <v/>
      </c>
      <c r="J199" s="34" t="str">
        <f t="array" aca="1" ref="J199" ca="1">IF(ISERROR(OFFSET(#REF!,SMALL(IF(#REF!=RM시즌체크판!C199,ROW(#REF!)-20),3),)),"",(OFFSET(#REF!,SMALL(IF(#REF!=RM시즌체크판!C199,ROW(#REF!)-20),3),)))</f>
        <v/>
      </c>
      <c r="K199" s="34" t="str">
        <f t="array" aca="1" ref="K199" ca="1">IF(ISERROR(OFFSET(#REF!,SMALL(IF(#REF!=RM시즌체크판!C199,ROW(#REF!)-20),4),)),"",(OFFSET(#REF!,SMALL(IF(#REF!=RM시즌체크판!C199,ROW(#REF!)-20),4),)))</f>
        <v/>
      </c>
      <c r="L199" s="34" t="str">
        <f t="array" aca="1" ref="L199" ca="1">IF(ISERROR(OFFSET(#REF!,SMALL(IF(#REF!=RM시즌체크판!C199,ROW(#REF!)-20),5),)),"",(OFFSET(#REF!,SMALL(IF(#REF!=RM시즌체크판!C199,ROW(#REF!)-20),5),)))</f>
        <v/>
      </c>
      <c r="M199" s="35" t="str">
        <f t="array" aca="1" ref="M199" ca="1">IF(ISERROR(OFFSET(#REF!,SMALL(IF(#REF!=RM시즌체크판!C199,ROW(#REF!)-20),6),)),"",(OFFSET(#REF!,SMALL(IF(#REF!=RM시즌체크판!C199,ROW(#REF!)-20),6),)))</f>
        <v/>
      </c>
      <c r="N199" s="27" t="str">
        <f>IF(ISERROR(VLOOKUP(C199,모델촬영리스트!$C:$E,3,)),"",(VLOOKUP(C199,모델촬영리스트!$C:$E,3,)))</f>
        <v/>
      </c>
      <c r="O199" s="23" t="str">
        <f>IF(ISERROR(VLOOKUP(C199,배너촬영리스트!$C:$E,3,)),"",(VLOOKUP(C199,배너촬영리스트!$C:$E,3,)))</f>
        <v/>
      </c>
      <c r="P199" s="36" t="str">
        <f>IF(ISERROR(VLOOKUP(C199,배너촬영리스트!$C:$E,2,)),"",(VLOOKUP(C199,배너촬영리스트!$C:$E,2,)))</f>
        <v/>
      </c>
    </row>
    <row r="200" spans="2:16">
      <c r="B200" s="20" t="str">
        <f t="shared" si="3"/>
        <v>RM</v>
      </c>
      <c r="C200" s="11" t="s">
        <v>108</v>
      </c>
      <c r="D200" s="12" t="e">
        <f>VLOOKUP(C200,#REF!,2,0)</f>
        <v>#REF!</v>
      </c>
      <c r="E200" s="10" t="e">
        <f>VLOOKUP(C200,#REF!,4,0)</f>
        <v>#REF!</v>
      </c>
      <c r="F200" s="37" t="e">
        <f>VLOOKUP(C200,#REF!,8,0)</f>
        <v>#REF!</v>
      </c>
      <c r="G200" s="22" t="str">
        <f>IF(ISERROR(IF(VLOOKUP(C200,#REF!,2,0)&gt;0,"등록","")),"",(IF(VLOOKUP(C200,#REF!,2,0)&gt;0,"등록","")))</f>
        <v/>
      </c>
      <c r="H200" s="33" t="str">
        <f t="array" aca="1" ref="H200" ca="1">IF(ISERROR(OFFSET(#REF!,SMALL(IF(#REF!=RM시즌체크판!C200,ROW(#REF!)-20),1),)),"",(OFFSET(#REF!,SMALL(IF(#REF!=RM시즌체크판!C200,ROW(#REF!)-20),1),)))</f>
        <v/>
      </c>
      <c r="I200" s="34" t="str">
        <f t="array" aca="1" ref="I200" ca="1">IF(ISERROR(OFFSET(#REF!,SMALL(IF(#REF!=RM시즌체크판!C200,ROW(#REF!)-20),2),)),"",(OFFSET(#REF!,SMALL(IF(#REF!=RM시즌체크판!C200,ROW(#REF!)-20),2),)))</f>
        <v/>
      </c>
      <c r="J200" s="34" t="str">
        <f t="array" aca="1" ref="J200" ca="1">IF(ISERROR(OFFSET(#REF!,SMALL(IF(#REF!=RM시즌체크판!C200,ROW(#REF!)-20),3),)),"",(OFFSET(#REF!,SMALL(IF(#REF!=RM시즌체크판!C200,ROW(#REF!)-20),3),)))</f>
        <v/>
      </c>
      <c r="K200" s="34" t="str">
        <f t="array" aca="1" ref="K200" ca="1">IF(ISERROR(OFFSET(#REF!,SMALL(IF(#REF!=RM시즌체크판!C200,ROW(#REF!)-20),4),)),"",(OFFSET(#REF!,SMALL(IF(#REF!=RM시즌체크판!C200,ROW(#REF!)-20),4),)))</f>
        <v/>
      </c>
      <c r="L200" s="34" t="str">
        <f t="array" aca="1" ref="L200" ca="1">IF(ISERROR(OFFSET(#REF!,SMALL(IF(#REF!=RM시즌체크판!C200,ROW(#REF!)-20),5),)),"",(OFFSET(#REF!,SMALL(IF(#REF!=RM시즌체크판!C200,ROW(#REF!)-20),5),)))</f>
        <v/>
      </c>
      <c r="M200" s="35" t="str">
        <f t="array" aca="1" ref="M200" ca="1">IF(ISERROR(OFFSET(#REF!,SMALL(IF(#REF!=RM시즌체크판!C200,ROW(#REF!)-20),6),)),"",(OFFSET(#REF!,SMALL(IF(#REF!=RM시즌체크판!C200,ROW(#REF!)-20),6),)))</f>
        <v/>
      </c>
      <c r="N200" s="27" t="str">
        <f>IF(ISERROR(VLOOKUP(C200,모델촬영리스트!$C:$E,3,)),"",(VLOOKUP(C200,모델촬영리스트!$C:$E,3,)))</f>
        <v/>
      </c>
      <c r="O200" s="23" t="str">
        <f>IF(ISERROR(VLOOKUP(C200,배너촬영리스트!$C:$E,3,)),"",(VLOOKUP(C200,배너촬영리스트!$C:$E,3,)))</f>
        <v/>
      </c>
      <c r="P200" s="36" t="str">
        <f>IF(ISERROR(VLOOKUP(C200,배너촬영리스트!$C:$E,2,)),"",(VLOOKUP(C200,배너촬영리스트!$C:$E,2,)))</f>
        <v/>
      </c>
    </row>
    <row r="201" spans="2:16">
      <c r="B201" s="20" t="str">
        <f t="shared" si="3"/>
        <v>RM</v>
      </c>
      <c r="C201" s="11" t="s">
        <v>109</v>
      </c>
      <c r="D201" s="12" t="e">
        <f>VLOOKUP(C201,#REF!,2,0)</f>
        <v>#REF!</v>
      </c>
      <c r="E201" s="10" t="e">
        <f>VLOOKUP(C201,#REF!,4,0)</f>
        <v>#REF!</v>
      </c>
      <c r="F201" s="37" t="e">
        <f>VLOOKUP(C201,#REF!,8,0)</f>
        <v>#REF!</v>
      </c>
      <c r="G201" s="22" t="str">
        <f>IF(ISERROR(IF(VLOOKUP(C201,#REF!,2,0)&gt;0,"등록","")),"",(IF(VLOOKUP(C201,#REF!,2,0)&gt;0,"등록","")))</f>
        <v/>
      </c>
      <c r="H201" s="33" t="str">
        <f t="array" aca="1" ref="H201" ca="1">IF(ISERROR(OFFSET(#REF!,SMALL(IF(#REF!=RM시즌체크판!C201,ROW(#REF!)-20),1),)),"",(OFFSET(#REF!,SMALL(IF(#REF!=RM시즌체크판!C201,ROW(#REF!)-20),1),)))</f>
        <v/>
      </c>
      <c r="I201" s="34" t="str">
        <f t="array" aca="1" ref="I201" ca="1">IF(ISERROR(OFFSET(#REF!,SMALL(IF(#REF!=RM시즌체크판!C201,ROW(#REF!)-20),2),)),"",(OFFSET(#REF!,SMALL(IF(#REF!=RM시즌체크판!C201,ROW(#REF!)-20),2),)))</f>
        <v/>
      </c>
      <c r="J201" s="34" t="str">
        <f t="array" aca="1" ref="J201" ca="1">IF(ISERROR(OFFSET(#REF!,SMALL(IF(#REF!=RM시즌체크판!C201,ROW(#REF!)-20),3),)),"",(OFFSET(#REF!,SMALL(IF(#REF!=RM시즌체크판!C201,ROW(#REF!)-20),3),)))</f>
        <v/>
      </c>
      <c r="K201" s="34" t="str">
        <f t="array" aca="1" ref="K201" ca="1">IF(ISERROR(OFFSET(#REF!,SMALL(IF(#REF!=RM시즌체크판!C201,ROW(#REF!)-20),4),)),"",(OFFSET(#REF!,SMALL(IF(#REF!=RM시즌체크판!C201,ROW(#REF!)-20),4),)))</f>
        <v/>
      </c>
      <c r="L201" s="34" t="str">
        <f t="array" aca="1" ref="L201" ca="1">IF(ISERROR(OFFSET(#REF!,SMALL(IF(#REF!=RM시즌체크판!C201,ROW(#REF!)-20),5),)),"",(OFFSET(#REF!,SMALL(IF(#REF!=RM시즌체크판!C201,ROW(#REF!)-20),5),)))</f>
        <v/>
      </c>
      <c r="M201" s="35" t="str">
        <f t="array" aca="1" ref="M201" ca="1">IF(ISERROR(OFFSET(#REF!,SMALL(IF(#REF!=RM시즌체크판!C201,ROW(#REF!)-20),6),)),"",(OFFSET(#REF!,SMALL(IF(#REF!=RM시즌체크판!C201,ROW(#REF!)-20),6),)))</f>
        <v/>
      </c>
      <c r="N201" s="27" t="str">
        <f>IF(ISERROR(VLOOKUP(C201,모델촬영리스트!$C:$E,3,)),"",(VLOOKUP(C201,모델촬영리스트!$C:$E,3,)))</f>
        <v/>
      </c>
      <c r="O201" s="23" t="str">
        <f>IF(ISERROR(VLOOKUP(C201,배너촬영리스트!$C:$E,3,)),"",(VLOOKUP(C201,배너촬영리스트!$C:$E,3,)))</f>
        <v/>
      </c>
      <c r="P201" s="36" t="str">
        <f>IF(ISERROR(VLOOKUP(C201,배너촬영리스트!$C:$E,2,)),"",(VLOOKUP(C201,배너촬영리스트!$C:$E,2,)))</f>
        <v/>
      </c>
    </row>
    <row r="202" spans="2:16">
      <c r="B202" s="20" t="str">
        <f t="shared" si="3"/>
        <v>RM</v>
      </c>
      <c r="C202" s="11" t="s">
        <v>110</v>
      </c>
      <c r="D202" s="12" t="e">
        <f>VLOOKUP(C202,#REF!,2,0)</f>
        <v>#REF!</v>
      </c>
      <c r="E202" s="10" t="e">
        <f>VLOOKUP(C202,#REF!,4,0)</f>
        <v>#REF!</v>
      </c>
      <c r="F202" s="37" t="e">
        <f>VLOOKUP(C202,#REF!,8,0)</f>
        <v>#REF!</v>
      </c>
      <c r="G202" s="22" t="str">
        <f>IF(ISERROR(IF(VLOOKUP(C202,#REF!,2,0)&gt;0,"등록","")),"",(IF(VLOOKUP(C202,#REF!,2,0)&gt;0,"등록","")))</f>
        <v/>
      </c>
      <c r="H202" s="33" t="str">
        <f t="array" aca="1" ref="H202" ca="1">IF(ISERROR(OFFSET(#REF!,SMALL(IF(#REF!=RM시즌체크판!C202,ROW(#REF!)-20),1),)),"",(OFFSET(#REF!,SMALL(IF(#REF!=RM시즌체크판!C202,ROW(#REF!)-20),1),)))</f>
        <v/>
      </c>
      <c r="I202" s="34" t="str">
        <f t="array" aca="1" ref="I202" ca="1">IF(ISERROR(OFFSET(#REF!,SMALL(IF(#REF!=RM시즌체크판!C202,ROW(#REF!)-20),2),)),"",(OFFSET(#REF!,SMALL(IF(#REF!=RM시즌체크판!C202,ROW(#REF!)-20),2),)))</f>
        <v/>
      </c>
      <c r="J202" s="34" t="str">
        <f t="array" aca="1" ref="J202" ca="1">IF(ISERROR(OFFSET(#REF!,SMALL(IF(#REF!=RM시즌체크판!C202,ROW(#REF!)-20),3),)),"",(OFFSET(#REF!,SMALL(IF(#REF!=RM시즌체크판!C202,ROW(#REF!)-20),3),)))</f>
        <v/>
      </c>
      <c r="K202" s="34" t="str">
        <f t="array" aca="1" ref="K202" ca="1">IF(ISERROR(OFFSET(#REF!,SMALL(IF(#REF!=RM시즌체크판!C202,ROW(#REF!)-20),4),)),"",(OFFSET(#REF!,SMALL(IF(#REF!=RM시즌체크판!C202,ROW(#REF!)-20),4),)))</f>
        <v/>
      </c>
      <c r="L202" s="34" t="str">
        <f t="array" aca="1" ref="L202" ca="1">IF(ISERROR(OFFSET(#REF!,SMALL(IF(#REF!=RM시즌체크판!C202,ROW(#REF!)-20),5),)),"",(OFFSET(#REF!,SMALL(IF(#REF!=RM시즌체크판!C202,ROW(#REF!)-20),5),)))</f>
        <v/>
      </c>
      <c r="M202" s="35" t="str">
        <f t="array" aca="1" ref="M202" ca="1">IF(ISERROR(OFFSET(#REF!,SMALL(IF(#REF!=RM시즌체크판!C202,ROW(#REF!)-20),6),)),"",(OFFSET(#REF!,SMALL(IF(#REF!=RM시즌체크판!C202,ROW(#REF!)-20),6),)))</f>
        <v/>
      </c>
      <c r="N202" s="27" t="str">
        <f>IF(ISERROR(VLOOKUP(C202,모델촬영리스트!$C:$E,3,)),"",(VLOOKUP(C202,모델촬영리스트!$C:$E,3,)))</f>
        <v/>
      </c>
      <c r="O202" s="23" t="str">
        <f>IF(ISERROR(VLOOKUP(C202,배너촬영리스트!$C:$E,3,)),"",(VLOOKUP(C202,배너촬영리스트!$C:$E,3,)))</f>
        <v/>
      </c>
      <c r="P202" s="36" t="str">
        <f>IF(ISERROR(VLOOKUP(C202,배너촬영리스트!$C:$E,2,)),"",(VLOOKUP(C202,배너촬영리스트!$C:$E,2,)))</f>
        <v/>
      </c>
    </row>
    <row r="203" spans="2:16">
      <c r="B203" s="20" t="str">
        <f t="shared" si="3"/>
        <v>RM</v>
      </c>
      <c r="C203" s="11" t="s">
        <v>111</v>
      </c>
      <c r="D203" s="12" t="e">
        <f>VLOOKUP(C203,#REF!,2,0)</f>
        <v>#REF!</v>
      </c>
      <c r="E203" s="10" t="e">
        <f>VLOOKUP(C203,#REF!,4,0)</f>
        <v>#REF!</v>
      </c>
      <c r="F203" s="37" t="e">
        <f>VLOOKUP(C203,#REF!,8,0)</f>
        <v>#REF!</v>
      </c>
      <c r="G203" s="22" t="str">
        <f>IF(ISERROR(IF(VLOOKUP(C203,#REF!,2,0)&gt;0,"등록","")),"",(IF(VLOOKUP(C203,#REF!,2,0)&gt;0,"등록","")))</f>
        <v/>
      </c>
      <c r="H203" s="33" t="str">
        <f t="array" aca="1" ref="H203" ca="1">IF(ISERROR(OFFSET(#REF!,SMALL(IF(#REF!=RM시즌체크판!C203,ROW(#REF!)-20),1),)),"",(OFFSET(#REF!,SMALL(IF(#REF!=RM시즌체크판!C203,ROW(#REF!)-20),1),)))</f>
        <v/>
      </c>
      <c r="I203" s="34" t="str">
        <f t="array" aca="1" ref="I203" ca="1">IF(ISERROR(OFFSET(#REF!,SMALL(IF(#REF!=RM시즌체크판!C203,ROW(#REF!)-20),2),)),"",(OFFSET(#REF!,SMALL(IF(#REF!=RM시즌체크판!C203,ROW(#REF!)-20),2),)))</f>
        <v/>
      </c>
      <c r="J203" s="34" t="str">
        <f t="array" aca="1" ref="J203" ca="1">IF(ISERROR(OFFSET(#REF!,SMALL(IF(#REF!=RM시즌체크판!C203,ROW(#REF!)-20),3),)),"",(OFFSET(#REF!,SMALL(IF(#REF!=RM시즌체크판!C203,ROW(#REF!)-20),3),)))</f>
        <v/>
      </c>
      <c r="K203" s="34" t="str">
        <f t="array" aca="1" ref="K203" ca="1">IF(ISERROR(OFFSET(#REF!,SMALL(IF(#REF!=RM시즌체크판!C203,ROW(#REF!)-20),4),)),"",(OFFSET(#REF!,SMALL(IF(#REF!=RM시즌체크판!C203,ROW(#REF!)-20),4),)))</f>
        <v/>
      </c>
      <c r="L203" s="34" t="str">
        <f t="array" aca="1" ref="L203" ca="1">IF(ISERROR(OFFSET(#REF!,SMALL(IF(#REF!=RM시즌체크판!C203,ROW(#REF!)-20),5),)),"",(OFFSET(#REF!,SMALL(IF(#REF!=RM시즌체크판!C203,ROW(#REF!)-20),5),)))</f>
        <v/>
      </c>
      <c r="M203" s="35" t="str">
        <f t="array" aca="1" ref="M203" ca="1">IF(ISERROR(OFFSET(#REF!,SMALL(IF(#REF!=RM시즌체크판!C203,ROW(#REF!)-20),6),)),"",(OFFSET(#REF!,SMALL(IF(#REF!=RM시즌체크판!C203,ROW(#REF!)-20),6),)))</f>
        <v/>
      </c>
      <c r="N203" s="27" t="str">
        <f>IF(ISERROR(VLOOKUP(C203,모델촬영리스트!$C:$E,3,)),"",(VLOOKUP(C203,모델촬영리스트!$C:$E,3,)))</f>
        <v/>
      </c>
      <c r="O203" s="23" t="str">
        <f>IF(ISERROR(VLOOKUP(C203,배너촬영리스트!$C:$E,3,)),"",(VLOOKUP(C203,배너촬영리스트!$C:$E,3,)))</f>
        <v/>
      </c>
      <c r="P203" s="36" t="str">
        <f>IF(ISERROR(VLOOKUP(C203,배너촬영리스트!$C:$E,2,)),"",(VLOOKUP(C203,배너촬영리스트!$C:$E,2,)))</f>
        <v/>
      </c>
    </row>
    <row r="204" spans="2:16">
      <c r="B204" s="20" t="str">
        <f t="shared" si="3"/>
        <v>RM</v>
      </c>
      <c r="C204" s="11" t="s">
        <v>112</v>
      </c>
      <c r="D204" s="12" t="e">
        <f>VLOOKUP(C204,#REF!,2,0)</f>
        <v>#REF!</v>
      </c>
      <c r="E204" s="10" t="e">
        <f>VLOOKUP(C204,#REF!,4,0)</f>
        <v>#REF!</v>
      </c>
      <c r="F204" s="37" t="e">
        <f>VLOOKUP(C204,#REF!,8,0)</f>
        <v>#REF!</v>
      </c>
      <c r="G204" s="22" t="str">
        <f>IF(ISERROR(IF(VLOOKUP(C204,#REF!,2,0)&gt;0,"등록","")),"",(IF(VLOOKUP(C204,#REF!,2,0)&gt;0,"등록","")))</f>
        <v/>
      </c>
      <c r="H204" s="33" t="str">
        <f t="array" aca="1" ref="H204" ca="1">IF(ISERROR(OFFSET(#REF!,SMALL(IF(#REF!=RM시즌체크판!C204,ROW(#REF!)-20),1),)),"",(OFFSET(#REF!,SMALL(IF(#REF!=RM시즌체크판!C204,ROW(#REF!)-20),1),)))</f>
        <v/>
      </c>
      <c r="I204" s="34" t="str">
        <f t="array" aca="1" ref="I204" ca="1">IF(ISERROR(OFFSET(#REF!,SMALL(IF(#REF!=RM시즌체크판!C204,ROW(#REF!)-20),2),)),"",(OFFSET(#REF!,SMALL(IF(#REF!=RM시즌체크판!C204,ROW(#REF!)-20),2),)))</f>
        <v/>
      </c>
      <c r="J204" s="34" t="str">
        <f t="array" aca="1" ref="J204" ca="1">IF(ISERROR(OFFSET(#REF!,SMALL(IF(#REF!=RM시즌체크판!C204,ROW(#REF!)-20),3),)),"",(OFFSET(#REF!,SMALL(IF(#REF!=RM시즌체크판!C204,ROW(#REF!)-20),3),)))</f>
        <v/>
      </c>
      <c r="K204" s="34" t="str">
        <f t="array" aca="1" ref="K204" ca="1">IF(ISERROR(OFFSET(#REF!,SMALL(IF(#REF!=RM시즌체크판!C204,ROW(#REF!)-20),4),)),"",(OFFSET(#REF!,SMALL(IF(#REF!=RM시즌체크판!C204,ROW(#REF!)-20),4),)))</f>
        <v/>
      </c>
      <c r="L204" s="34" t="str">
        <f t="array" aca="1" ref="L204" ca="1">IF(ISERROR(OFFSET(#REF!,SMALL(IF(#REF!=RM시즌체크판!C204,ROW(#REF!)-20),5),)),"",(OFFSET(#REF!,SMALL(IF(#REF!=RM시즌체크판!C204,ROW(#REF!)-20),5),)))</f>
        <v/>
      </c>
      <c r="M204" s="35" t="str">
        <f t="array" aca="1" ref="M204" ca="1">IF(ISERROR(OFFSET(#REF!,SMALL(IF(#REF!=RM시즌체크판!C204,ROW(#REF!)-20),6),)),"",(OFFSET(#REF!,SMALL(IF(#REF!=RM시즌체크판!C204,ROW(#REF!)-20),6),)))</f>
        <v/>
      </c>
      <c r="N204" s="27" t="str">
        <f>IF(ISERROR(VLOOKUP(C204,모델촬영리스트!$C:$E,3,)),"",(VLOOKUP(C204,모델촬영리스트!$C:$E,3,)))</f>
        <v/>
      </c>
      <c r="O204" s="23" t="str">
        <f>IF(ISERROR(VLOOKUP(C204,배너촬영리스트!$C:$E,3,)),"",(VLOOKUP(C204,배너촬영리스트!$C:$E,3,)))</f>
        <v/>
      </c>
      <c r="P204" s="36" t="str">
        <f>IF(ISERROR(VLOOKUP(C204,배너촬영리스트!$C:$E,2,)),"",(VLOOKUP(C204,배너촬영리스트!$C:$E,2,)))</f>
        <v/>
      </c>
    </row>
    <row r="205" spans="2:16">
      <c r="B205" s="20" t="str">
        <f t="shared" si="3"/>
        <v>RM</v>
      </c>
      <c r="C205" s="11" t="s">
        <v>113</v>
      </c>
      <c r="D205" s="12" t="e">
        <f>VLOOKUP(C205,#REF!,2,0)</f>
        <v>#REF!</v>
      </c>
      <c r="E205" s="10" t="e">
        <f>VLOOKUP(C205,#REF!,4,0)</f>
        <v>#REF!</v>
      </c>
      <c r="F205" s="37" t="e">
        <f>VLOOKUP(C205,#REF!,8,0)</f>
        <v>#REF!</v>
      </c>
      <c r="G205" s="22" t="str">
        <f>IF(ISERROR(IF(VLOOKUP(C205,#REF!,2,0)&gt;0,"등록","")),"",(IF(VLOOKUP(C205,#REF!,2,0)&gt;0,"등록","")))</f>
        <v/>
      </c>
      <c r="H205" s="33" t="str">
        <f t="array" aca="1" ref="H205" ca="1">IF(ISERROR(OFFSET(#REF!,SMALL(IF(#REF!=RM시즌체크판!C205,ROW(#REF!)-20),1),)),"",(OFFSET(#REF!,SMALL(IF(#REF!=RM시즌체크판!C205,ROW(#REF!)-20),1),)))</f>
        <v/>
      </c>
      <c r="I205" s="34" t="str">
        <f t="array" aca="1" ref="I205" ca="1">IF(ISERROR(OFFSET(#REF!,SMALL(IF(#REF!=RM시즌체크판!C205,ROW(#REF!)-20),2),)),"",(OFFSET(#REF!,SMALL(IF(#REF!=RM시즌체크판!C205,ROW(#REF!)-20),2),)))</f>
        <v/>
      </c>
      <c r="J205" s="34" t="str">
        <f t="array" aca="1" ref="J205" ca="1">IF(ISERROR(OFFSET(#REF!,SMALL(IF(#REF!=RM시즌체크판!C205,ROW(#REF!)-20),3),)),"",(OFFSET(#REF!,SMALL(IF(#REF!=RM시즌체크판!C205,ROW(#REF!)-20),3),)))</f>
        <v/>
      </c>
      <c r="K205" s="34" t="str">
        <f t="array" aca="1" ref="K205" ca="1">IF(ISERROR(OFFSET(#REF!,SMALL(IF(#REF!=RM시즌체크판!C205,ROW(#REF!)-20),4),)),"",(OFFSET(#REF!,SMALL(IF(#REF!=RM시즌체크판!C205,ROW(#REF!)-20),4),)))</f>
        <v/>
      </c>
      <c r="L205" s="34" t="str">
        <f t="array" aca="1" ref="L205" ca="1">IF(ISERROR(OFFSET(#REF!,SMALL(IF(#REF!=RM시즌체크판!C205,ROW(#REF!)-20),5),)),"",(OFFSET(#REF!,SMALL(IF(#REF!=RM시즌체크판!C205,ROW(#REF!)-20),5),)))</f>
        <v/>
      </c>
      <c r="M205" s="35" t="str">
        <f t="array" aca="1" ref="M205" ca="1">IF(ISERROR(OFFSET(#REF!,SMALL(IF(#REF!=RM시즌체크판!C205,ROW(#REF!)-20),6),)),"",(OFFSET(#REF!,SMALL(IF(#REF!=RM시즌체크판!C205,ROW(#REF!)-20),6),)))</f>
        <v/>
      </c>
      <c r="N205" s="27" t="str">
        <f>IF(ISERROR(VLOOKUP(C205,모델촬영리스트!$C:$E,3,)),"",(VLOOKUP(C205,모델촬영리스트!$C:$E,3,)))</f>
        <v/>
      </c>
      <c r="O205" s="23" t="str">
        <f>IF(ISERROR(VLOOKUP(C205,배너촬영리스트!$C:$E,3,)),"",(VLOOKUP(C205,배너촬영리스트!$C:$E,3,)))</f>
        <v/>
      </c>
      <c r="P205" s="36" t="str">
        <f>IF(ISERROR(VLOOKUP(C205,배너촬영리스트!$C:$E,2,)),"",(VLOOKUP(C205,배너촬영리스트!$C:$E,2,)))</f>
        <v/>
      </c>
    </row>
    <row r="206" spans="2:16">
      <c r="B206" s="20" t="str">
        <f t="shared" si="3"/>
        <v>RM</v>
      </c>
      <c r="C206" s="11" t="s">
        <v>114</v>
      </c>
      <c r="D206" s="12" t="e">
        <f>VLOOKUP(C206,#REF!,2,0)</f>
        <v>#REF!</v>
      </c>
      <c r="E206" s="10" t="e">
        <f>VLOOKUP(C206,#REF!,4,0)</f>
        <v>#REF!</v>
      </c>
      <c r="F206" s="37" t="e">
        <f>VLOOKUP(C206,#REF!,8,0)</f>
        <v>#REF!</v>
      </c>
      <c r="G206" s="22" t="str">
        <f>IF(ISERROR(IF(VLOOKUP(C206,#REF!,2,0)&gt;0,"등록","")),"",(IF(VLOOKUP(C206,#REF!,2,0)&gt;0,"등록","")))</f>
        <v/>
      </c>
      <c r="H206" s="33" t="str">
        <f t="array" aca="1" ref="H206" ca="1">IF(ISERROR(OFFSET(#REF!,SMALL(IF(#REF!=RM시즌체크판!C206,ROW(#REF!)-20),1),)),"",(OFFSET(#REF!,SMALL(IF(#REF!=RM시즌체크판!C206,ROW(#REF!)-20),1),)))</f>
        <v/>
      </c>
      <c r="I206" s="34" t="str">
        <f t="array" aca="1" ref="I206" ca="1">IF(ISERROR(OFFSET(#REF!,SMALL(IF(#REF!=RM시즌체크판!C206,ROW(#REF!)-20),2),)),"",(OFFSET(#REF!,SMALL(IF(#REF!=RM시즌체크판!C206,ROW(#REF!)-20),2),)))</f>
        <v/>
      </c>
      <c r="J206" s="34" t="str">
        <f t="array" aca="1" ref="J206" ca="1">IF(ISERROR(OFFSET(#REF!,SMALL(IF(#REF!=RM시즌체크판!C206,ROW(#REF!)-20),3),)),"",(OFFSET(#REF!,SMALL(IF(#REF!=RM시즌체크판!C206,ROW(#REF!)-20),3),)))</f>
        <v/>
      </c>
      <c r="K206" s="34" t="str">
        <f t="array" aca="1" ref="K206" ca="1">IF(ISERROR(OFFSET(#REF!,SMALL(IF(#REF!=RM시즌체크판!C206,ROW(#REF!)-20),4),)),"",(OFFSET(#REF!,SMALL(IF(#REF!=RM시즌체크판!C206,ROW(#REF!)-20),4),)))</f>
        <v/>
      </c>
      <c r="L206" s="34" t="str">
        <f t="array" aca="1" ref="L206" ca="1">IF(ISERROR(OFFSET(#REF!,SMALL(IF(#REF!=RM시즌체크판!C206,ROW(#REF!)-20),5),)),"",(OFFSET(#REF!,SMALL(IF(#REF!=RM시즌체크판!C206,ROW(#REF!)-20),5),)))</f>
        <v/>
      </c>
      <c r="M206" s="35" t="str">
        <f t="array" aca="1" ref="M206" ca="1">IF(ISERROR(OFFSET(#REF!,SMALL(IF(#REF!=RM시즌체크판!C206,ROW(#REF!)-20),6),)),"",(OFFSET(#REF!,SMALL(IF(#REF!=RM시즌체크판!C206,ROW(#REF!)-20),6),)))</f>
        <v/>
      </c>
      <c r="N206" s="27" t="str">
        <f>IF(ISERROR(VLOOKUP(C206,모델촬영리스트!$C:$E,3,)),"",(VLOOKUP(C206,모델촬영리스트!$C:$E,3,)))</f>
        <v/>
      </c>
      <c r="O206" s="23" t="str">
        <f>IF(ISERROR(VLOOKUP(C206,배너촬영리스트!$C:$E,3,)),"",(VLOOKUP(C206,배너촬영리스트!$C:$E,3,)))</f>
        <v/>
      </c>
      <c r="P206" s="36" t="str">
        <f>IF(ISERROR(VLOOKUP(C206,배너촬영리스트!$C:$E,2,)),"",(VLOOKUP(C206,배너촬영리스트!$C:$E,2,)))</f>
        <v/>
      </c>
    </row>
    <row r="207" spans="2:16">
      <c r="B207" s="20" t="str">
        <f t="shared" si="3"/>
        <v>RM</v>
      </c>
      <c r="C207" s="11" t="s">
        <v>125</v>
      </c>
      <c r="D207" s="12" t="e">
        <f>VLOOKUP(C207,#REF!,2,0)</f>
        <v>#REF!</v>
      </c>
      <c r="E207" s="10" t="e">
        <f>VLOOKUP(C207,#REF!,4,0)</f>
        <v>#REF!</v>
      </c>
      <c r="F207" s="37" t="e">
        <f>VLOOKUP(C207,#REF!,8,0)</f>
        <v>#REF!</v>
      </c>
      <c r="G207" s="22" t="str">
        <f>IF(ISERROR(IF(VLOOKUP(C207,#REF!,2,0)&gt;0,"등록","")),"",(IF(VLOOKUP(C207,#REF!,2,0)&gt;0,"등록","")))</f>
        <v/>
      </c>
      <c r="H207" s="33" t="str">
        <f t="array" aca="1" ref="H207" ca="1">IF(ISERROR(OFFSET(#REF!,SMALL(IF(#REF!=RM시즌체크판!C207,ROW(#REF!)-20),1),)),"",(OFFSET(#REF!,SMALL(IF(#REF!=RM시즌체크판!C207,ROW(#REF!)-20),1),)))</f>
        <v/>
      </c>
      <c r="I207" s="34" t="str">
        <f t="array" aca="1" ref="I207" ca="1">IF(ISERROR(OFFSET(#REF!,SMALL(IF(#REF!=RM시즌체크판!C207,ROW(#REF!)-20),2),)),"",(OFFSET(#REF!,SMALL(IF(#REF!=RM시즌체크판!C207,ROW(#REF!)-20),2),)))</f>
        <v/>
      </c>
      <c r="J207" s="34" t="str">
        <f t="array" aca="1" ref="J207" ca="1">IF(ISERROR(OFFSET(#REF!,SMALL(IF(#REF!=RM시즌체크판!C207,ROW(#REF!)-20),3),)),"",(OFFSET(#REF!,SMALL(IF(#REF!=RM시즌체크판!C207,ROW(#REF!)-20),3),)))</f>
        <v/>
      </c>
      <c r="K207" s="34" t="str">
        <f t="array" aca="1" ref="K207" ca="1">IF(ISERROR(OFFSET(#REF!,SMALL(IF(#REF!=RM시즌체크판!C207,ROW(#REF!)-20),4),)),"",(OFFSET(#REF!,SMALL(IF(#REF!=RM시즌체크판!C207,ROW(#REF!)-20),4),)))</f>
        <v/>
      </c>
      <c r="L207" s="34" t="str">
        <f t="array" aca="1" ref="L207" ca="1">IF(ISERROR(OFFSET(#REF!,SMALL(IF(#REF!=RM시즌체크판!C207,ROW(#REF!)-20),5),)),"",(OFFSET(#REF!,SMALL(IF(#REF!=RM시즌체크판!C207,ROW(#REF!)-20),5),)))</f>
        <v/>
      </c>
      <c r="M207" s="35" t="str">
        <f t="array" aca="1" ref="M207" ca="1">IF(ISERROR(OFFSET(#REF!,SMALL(IF(#REF!=RM시즌체크판!C207,ROW(#REF!)-20),6),)),"",(OFFSET(#REF!,SMALL(IF(#REF!=RM시즌체크판!C207,ROW(#REF!)-20),6),)))</f>
        <v/>
      </c>
      <c r="N207" s="27" t="str">
        <f>IF(ISERROR(VLOOKUP(C207,모델촬영리스트!$C:$E,3,)),"",(VLOOKUP(C207,모델촬영리스트!$C:$E,3,)))</f>
        <v/>
      </c>
      <c r="O207" s="23" t="str">
        <f>IF(ISERROR(VLOOKUP(C207,배너촬영리스트!$C:$E,3,)),"",(VLOOKUP(C207,배너촬영리스트!$C:$E,3,)))</f>
        <v/>
      </c>
      <c r="P207" s="36" t="str">
        <f>IF(ISERROR(VLOOKUP(C207,배너촬영리스트!$C:$E,2,)),"",(VLOOKUP(C207,배너촬영리스트!$C:$E,2,)))</f>
        <v/>
      </c>
    </row>
    <row r="208" spans="2:16">
      <c r="B208" s="20" t="str">
        <f t="shared" si="3"/>
        <v>RM</v>
      </c>
      <c r="C208" s="11" t="s">
        <v>126</v>
      </c>
      <c r="D208" s="12" t="e">
        <f>VLOOKUP(C208,#REF!,2,0)</f>
        <v>#REF!</v>
      </c>
      <c r="E208" s="10" t="e">
        <f>VLOOKUP(C208,#REF!,4,0)</f>
        <v>#REF!</v>
      </c>
      <c r="F208" s="37" t="e">
        <f>VLOOKUP(C208,#REF!,8,0)</f>
        <v>#REF!</v>
      </c>
      <c r="G208" s="22" t="str">
        <f>IF(ISERROR(IF(VLOOKUP(C208,#REF!,2,0)&gt;0,"등록","")),"",(IF(VLOOKUP(C208,#REF!,2,0)&gt;0,"등록","")))</f>
        <v/>
      </c>
      <c r="H208" s="33" t="str">
        <f t="array" aca="1" ref="H208" ca="1">IF(ISERROR(OFFSET(#REF!,SMALL(IF(#REF!=RM시즌체크판!C208,ROW(#REF!)-20),1),)),"",(OFFSET(#REF!,SMALL(IF(#REF!=RM시즌체크판!C208,ROW(#REF!)-20),1),)))</f>
        <v/>
      </c>
      <c r="I208" s="34" t="str">
        <f t="array" aca="1" ref="I208" ca="1">IF(ISERROR(OFFSET(#REF!,SMALL(IF(#REF!=RM시즌체크판!C208,ROW(#REF!)-20),2),)),"",(OFFSET(#REF!,SMALL(IF(#REF!=RM시즌체크판!C208,ROW(#REF!)-20),2),)))</f>
        <v/>
      </c>
      <c r="J208" s="34" t="str">
        <f t="array" aca="1" ref="J208" ca="1">IF(ISERROR(OFFSET(#REF!,SMALL(IF(#REF!=RM시즌체크판!C208,ROW(#REF!)-20),3),)),"",(OFFSET(#REF!,SMALL(IF(#REF!=RM시즌체크판!C208,ROW(#REF!)-20),3),)))</f>
        <v/>
      </c>
      <c r="K208" s="34" t="str">
        <f t="array" aca="1" ref="K208" ca="1">IF(ISERROR(OFFSET(#REF!,SMALL(IF(#REF!=RM시즌체크판!C208,ROW(#REF!)-20),4),)),"",(OFFSET(#REF!,SMALL(IF(#REF!=RM시즌체크판!C208,ROW(#REF!)-20),4),)))</f>
        <v/>
      </c>
      <c r="L208" s="34" t="str">
        <f t="array" aca="1" ref="L208" ca="1">IF(ISERROR(OFFSET(#REF!,SMALL(IF(#REF!=RM시즌체크판!C208,ROW(#REF!)-20),5),)),"",(OFFSET(#REF!,SMALL(IF(#REF!=RM시즌체크판!C208,ROW(#REF!)-20),5),)))</f>
        <v/>
      </c>
      <c r="M208" s="35" t="str">
        <f t="array" aca="1" ref="M208" ca="1">IF(ISERROR(OFFSET(#REF!,SMALL(IF(#REF!=RM시즌체크판!C208,ROW(#REF!)-20),6),)),"",(OFFSET(#REF!,SMALL(IF(#REF!=RM시즌체크판!C208,ROW(#REF!)-20),6),)))</f>
        <v/>
      </c>
      <c r="N208" s="27" t="str">
        <f>IF(ISERROR(VLOOKUP(C208,모델촬영리스트!$C:$E,3,)),"",(VLOOKUP(C208,모델촬영리스트!$C:$E,3,)))</f>
        <v/>
      </c>
      <c r="O208" s="23" t="str">
        <f>IF(ISERROR(VLOOKUP(C208,배너촬영리스트!$C:$E,3,)),"",(VLOOKUP(C208,배너촬영리스트!$C:$E,3,)))</f>
        <v/>
      </c>
      <c r="P208" s="36" t="str">
        <f>IF(ISERROR(VLOOKUP(C208,배너촬영리스트!$C:$E,2,)),"",(VLOOKUP(C208,배너촬영리스트!$C:$E,2,)))</f>
        <v/>
      </c>
    </row>
    <row r="209" spans="2:16">
      <c r="B209" s="20" t="str">
        <f t="shared" si="3"/>
        <v>RM</v>
      </c>
      <c r="C209" s="11" t="s">
        <v>127</v>
      </c>
      <c r="D209" s="12" t="e">
        <f>VLOOKUP(C209,#REF!,2,0)</f>
        <v>#REF!</v>
      </c>
      <c r="E209" s="10" t="e">
        <f>VLOOKUP(C209,#REF!,4,0)</f>
        <v>#REF!</v>
      </c>
      <c r="F209" s="37" t="e">
        <f>VLOOKUP(C209,#REF!,8,0)</f>
        <v>#REF!</v>
      </c>
      <c r="G209" s="22" t="str">
        <f>IF(ISERROR(IF(VLOOKUP(C209,#REF!,2,0)&gt;0,"등록","")),"",(IF(VLOOKUP(C209,#REF!,2,0)&gt;0,"등록","")))</f>
        <v/>
      </c>
      <c r="H209" s="33" t="str">
        <f t="array" aca="1" ref="H209" ca="1">IF(ISERROR(OFFSET(#REF!,SMALL(IF(#REF!=RM시즌체크판!C209,ROW(#REF!)-20),1),)),"",(OFFSET(#REF!,SMALL(IF(#REF!=RM시즌체크판!C209,ROW(#REF!)-20),1),)))</f>
        <v/>
      </c>
      <c r="I209" s="34" t="str">
        <f t="array" aca="1" ref="I209" ca="1">IF(ISERROR(OFFSET(#REF!,SMALL(IF(#REF!=RM시즌체크판!C209,ROW(#REF!)-20),2),)),"",(OFFSET(#REF!,SMALL(IF(#REF!=RM시즌체크판!C209,ROW(#REF!)-20),2),)))</f>
        <v/>
      </c>
      <c r="J209" s="34" t="str">
        <f t="array" aca="1" ref="J209" ca="1">IF(ISERROR(OFFSET(#REF!,SMALL(IF(#REF!=RM시즌체크판!C209,ROW(#REF!)-20),3),)),"",(OFFSET(#REF!,SMALL(IF(#REF!=RM시즌체크판!C209,ROW(#REF!)-20),3),)))</f>
        <v/>
      </c>
      <c r="K209" s="34" t="str">
        <f t="array" aca="1" ref="K209" ca="1">IF(ISERROR(OFFSET(#REF!,SMALL(IF(#REF!=RM시즌체크판!C209,ROW(#REF!)-20),4),)),"",(OFFSET(#REF!,SMALL(IF(#REF!=RM시즌체크판!C209,ROW(#REF!)-20),4),)))</f>
        <v/>
      </c>
      <c r="L209" s="34" t="str">
        <f t="array" aca="1" ref="L209" ca="1">IF(ISERROR(OFFSET(#REF!,SMALL(IF(#REF!=RM시즌체크판!C209,ROW(#REF!)-20),5),)),"",(OFFSET(#REF!,SMALL(IF(#REF!=RM시즌체크판!C209,ROW(#REF!)-20),5),)))</f>
        <v/>
      </c>
      <c r="M209" s="35" t="str">
        <f t="array" aca="1" ref="M209" ca="1">IF(ISERROR(OFFSET(#REF!,SMALL(IF(#REF!=RM시즌체크판!C209,ROW(#REF!)-20),6),)),"",(OFFSET(#REF!,SMALL(IF(#REF!=RM시즌체크판!C209,ROW(#REF!)-20),6),)))</f>
        <v/>
      </c>
      <c r="N209" s="27" t="str">
        <f>IF(ISERROR(VLOOKUP(C209,모델촬영리스트!$C:$E,3,)),"",(VLOOKUP(C209,모델촬영리스트!$C:$E,3,)))</f>
        <v/>
      </c>
      <c r="O209" s="23" t="str">
        <f>IF(ISERROR(VLOOKUP(C209,배너촬영리스트!$C:$E,3,)),"",(VLOOKUP(C209,배너촬영리스트!$C:$E,3,)))</f>
        <v/>
      </c>
      <c r="P209" s="36" t="str">
        <f>IF(ISERROR(VLOOKUP(C209,배너촬영리스트!$C:$E,2,)),"",(VLOOKUP(C209,배너촬영리스트!$C:$E,2,)))</f>
        <v/>
      </c>
    </row>
    <row r="210" spans="2:16">
      <c r="B210" s="20" t="str">
        <f t="shared" si="3"/>
        <v>RM</v>
      </c>
      <c r="C210" s="11" t="s">
        <v>157</v>
      </c>
      <c r="D210" s="12" t="e">
        <f>VLOOKUP(C210,#REF!,2,0)</f>
        <v>#REF!</v>
      </c>
      <c r="E210" s="10" t="e">
        <f>VLOOKUP(C210,#REF!,4,0)</f>
        <v>#REF!</v>
      </c>
      <c r="F210" s="37" t="e">
        <f>VLOOKUP(C210,#REF!,8,0)</f>
        <v>#REF!</v>
      </c>
      <c r="G210" s="22" t="str">
        <f>IF(ISERROR(IF(VLOOKUP(C210,#REF!,2,0)&gt;0,"등록","")),"",(IF(VLOOKUP(C210,#REF!,2,0)&gt;0,"등록","")))</f>
        <v/>
      </c>
      <c r="H210" s="33" t="str">
        <f t="array" aca="1" ref="H210" ca="1">IF(ISERROR(OFFSET(#REF!,SMALL(IF(#REF!=RM시즌체크판!C210,ROW(#REF!)-20),1),)),"",(OFFSET(#REF!,SMALL(IF(#REF!=RM시즌체크판!C210,ROW(#REF!)-20),1),)))</f>
        <v/>
      </c>
      <c r="I210" s="34" t="str">
        <f t="array" aca="1" ref="I210" ca="1">IF(ISERROR(OFFSET(#REF!,SMALL(IF(#REF!=RM시즌체크판!C210,ROW(#REF!)-20),2),)),"",(OFFSET(#REF!,SMALL(IF(#REF!=RM시즌체크판!C210,ROW(#REF!)-20),2),)))</f>
        <v/>
      </c>
      <c r="J210" s="34" t="str">
        <f t="array" aca="1" ref="J210" ca="1">IF(ISERROR(OFFSET(#REF!,SMALL(IF(#REF!=RM시즌체크판!C210,ROW(#REF!)-20),3),)),"",(OFFSET(#REF!,SMALL(IF(#REF!=RM시즌체크판!C210,ROW(#REF!)-20),3),)))</f>
        <v/>
      </c>
      <c r="K210" s="34" t="str">
        <f t="array" aca="1" ref="K210" ca="1">IF(ISERROR(OFFSET(#REF!,SMALL(IF(#REF!=RM시즌체크판!C210,ROW(#REF!)-20),4),)),"",(OFFSET(#REF!,SMALL(IF(#REF!=RM시즌체크판!C210,ROW(#REF!)-20),4),)))</f>
        <v/>
      </c>
      <c r="L210" s="34" t="str">
        <f t="array" aca="1" ref="L210" ca="1">IF(ISERROR(OFFSET(#REF!,SMALL(IF(#REF!=RM시즌체크판!C210,ROW(#REF!)-20),5),)),"",(OFFSET(#REF!,SMALL(IF(#REF!=RM시즌체크판!C210,ROW(#REF!)-20),5),)))</f>
        <v/>
      </c>
      <c r="M210" s="35" t="str">
        <f t="array" aca="1" ref="M210" ca="1">IF(ISERROR(OFFSET(#REF!,SMALL(IF(#REF!=RM시즌체크판!C210,ROW(#REF!)-20),6),)),"",(OFFSET(#REF!,SMALL(IF(#REF!=RM시즌체크판!C210,ROW(#REF!)-20),6),)))</f>
        <v/>
      </c>
      <c r="N210" s="27" t="str">
        <f>IF(ISERROR(VLOOKUP(C210,모델촬영리스트!$C:$E,3,)),"",(VLOOKUP(C210,모델촬영리스트!$C:$E,3,)))</f>
        <v/>
      </c>
      <c r="O210" s="23" t="str">
        <f>IF(ISERROR(VLOOKUP(C210,배너촬영리스트!$C:$E,3,)),"",(VLOOKUP(C210,배너촬영리스트!$C:$E,3,)))</f>
        <v/>
      </c>
      <c r="P210" s="36" t="str">
        <f>IF(ISERROR(VLOOKUP(C210,배너촬영리스트!$C:$E,2,)),"",(VLOOKUP(C210,배너촬영리스트!$C:$E,2,)))</f>
        <v/>
      </c>
    </row>
    <row r="211" spans="2:16">
      <c r="B211" s="20" t="str">
        <f t="shared" si="3"/>
        <v>RM</v>
      </c>
      <c r="C211" s="11" t="s">
        <v>158</v>
      </c>
      <c r="D211" s="12" t="e">
        <f>VLOOKUP(C211,#REF!,2,0)</f>
        <v>#REF!</v>
      </c>
      <c r="E211" s="10" t="e">
        <f>VLOOKUP(C211,#REF!,4,0)</f>
        <v>#REF!</v>
      </c>
      <c r="F211" s="37" t="e">
        <f>VLOOKUP(C211,#REF!,8,0)</f>
        <v>#REF!</v>
      </c>
      <c r="G211" s="22" t="str">
        <f>IF(ISERROR(IF(VLOOKUP(C211,#REF!,2,0)&gt;0,"등록","")),"",(IF(VLOOKUP(C211,#REF!,2,0)&gt;0,"등록","")))</f>
        <v/>
      </c>
      <c r="H211" s="33" t="str">
        <f t="array" aca="1" ref="H211" ca="1">IF(ISERROR(OFFSET(#REF!,SMALL(IF(#REF!=RM시즌체크판!C211,ROW(#REF!)-20),1),)),"",(OFFSET(#REF!,SMALL(IF(#REF!=RM시즌체크판!C211,ROW(#REF!)-20),1),)))</f>
        <v/>
      </c>
      <c r="I211" s="34" t="str">
        <f t="array" aca="1" ref="I211" ca="1">IF(ISERROR(OFFSET(#REF!,SMALL(IF(#REF!=RM시즌체크판!C211,ROW(#REF!)-20),2),)),"",(OFFSET(#REF!,SMALL(IF(#REF!=RM시즌체크판!C211,ROW(#REF!)-20),2),)))</f>
        <v/>
      </c>
      <c r="J211" s="34" t="str">
        <f t="array" aca="1" ref="J211" ca="1">IF(ISERROR(OFFSET(#REF!,SMALL(IF(#REF!=RM시즌체크판!C211,ROW(#REF!)-20),3),)),"",(OFFSET(#REF!,SMALL(IF(#REF!=RM시즌체크판!C211,ROW(#REF!)-20),3),)))</f>
        <v/>
      </c>
      <c r="K211" s="34" t="str">
        <f t="array" aca="1" ref="K211" ca="1">IF(ISERROR(OFFSET(#REF!,SMALL(IF(#REF!=RM시즌체크판!C211,ROW(#REF!)-20),4),)),"",(OFFSET(#REF!,SMALL(IF(#REF!=RM시즌체크판!C211,ROW(#REF!)-20),4),)))</f>
        <v/>
      </c>
      <c r="L211" s="34" t="str">
        <f t="array" aca="1" ref="L211" ca="1">IF(ISERROR(OFFSET(#REF!,SMALL(IF(#REF!=RM시즌체크판!C211,ROW(#REF!)-20),5),)),"",(OFFSET(#REF!,SMALL(IF(#REF!=RM시즌체크판!C211,ROW(#REF!)-20),5),)))</f>
        <v/>
      </c>
      <c r="M211" s="35" t="str">
        <f t="array" aca="1" ref="M211" ca="1">IF(ISERROR(OFFSET(#REF!,SMALL(IF(#REF!=RM시즌체크판!C211,ROW(#REF!)-20),6),)),"",(OFFSET(#REF!,SMALL(IF(#REF!=RM시즌체크판!C211,ROW(#REF!)-20),6),)))</f>
        <v/>
      </c>
      <c r="N211" s="27" t="str">
        <f>IF(ISERROR(VLOOKUP(C211,모델촬영리스트!$C:$E,3,)),"",(VLOOKUP(C211,모델촬영리스트!$C:$E,3,)))</f>
        <v/>
      </c>
      <c r="O211" s="23" t="str">
        <f>IF(ISERROR(VLOOKUP(C211,배너촬영리스트!$C:$E,3,)),"",(VLOOKUP(C211,배너촬영리스트!$C:$E,3,)))</f>
        <v/>
      </c>
      <c r="P211" s="36" t="str">
        <f>IF(ISERROR(VLOOKUP(C211,배너촬영리스트!$C:$E,2,)),"",(VLOOKUP(C211,배너촬영리스트!$C:$E,2,)))</f>
        <v/>
      </c>
    </row>
    <row r="212" spans="2:16">
      <c r="B212" s="20" t="str">
        <f t="shared" si="3"/>
        <v>RM</v>
      </c>
      <c r="C212" s="11" t="s">
        <v>159</v>
      </c>
      <c r="D212" s="12" t="e">
        <f>VLOOKUP(C212,#REF!,2,0)</f>
        <v>#REF!</v>
      </c>
      <c r="E212" s="10" t="e">
        <f>VLOOKUP(C212,#REF!,4,0)</f>
        <v>#REF!</v>
      </c>
      <c r="F212" s="37" t="e">
        <f>VLOOKUP(C212,#REF!,8,0)</f>
        <v>#REF!</v>
      </c>
      <c r="G212" s="22" t="str">
        <f>IF(ISERROR(IF(VLOOKUP(C212,#REF!,2,0)&gt;0,"등록","")),"",(IF(VLOOKUP(C212,#REF!,2,0)&gt;0,"등록","")))</f>
        <v/>
      </c>
      <c r="H212" s="33" t="str">
        <f t="array" aca="1" ref="H212" ca="1">IF(ISERROR(OFFSET(#REF!,SMALL(IF(#REF!=RM시즌체크판!C212,ROW(#REF!)-20),1),)),"",(OFFSET(#REF!,SMALL(IF(#REF!=RM시즌체크판!C212,ROW(#REF!)-20),1),)))</f>
        <v/>
      </c>
      <c r="I212" s="34" t="str">
        <f t="array" aca="1" ref="I212" ca="1">IF(ISERROR(OFFSET(#REF!,SMALL(IF(#REF!=RM시즌체크판!C212,ROW(#REF!)-20),2),)),"",(OFFSET(#REF!,SMALL(IF(#REF!=RM시즌체크판!C212,ROW(#REF!)-20),2),)))</f>
        <v/>
      </c>
      <c r="J212" s="34" t="str">
        <f t="array" aca="1" ref="J212" ca="1">IF(ISERROR(OFFSET(#REF!,SMALL(IF(#REF!=RM시즌체크판!C212,ROW(#REF!)-20),3),)),"",(OFFSET(#REF!,SMALL(IF(#REF!=RM시즌체크판!C212,ROW(#REF!)-20),3),)))</f>
        <v/>
      </c>
      <c r="K212" s="34" t="str">
        <f t="array" aca="1" ref="K212" ca="1">IF(ISERROR(OFFSET(#REF!,SMALL(IF(#REF!=RM시즌체크판!C212,ROW(#REF!)-20),4),)),"",(OFFSET(#REF!,SMALL(IF(#REF!=RM시즌체크판!C212,ROW(#REF!)-20),4),)))</f>
        <v/>
      </c>
      <c r="L212" s="34" t="str">
        <f t="array" aca="1" ref="L212" ca="1">IF(ISERROR(OFFSET(#REF!,SMALL(IF(#REF!=RM시즌체크판!C212,ROW(#REF!)-20),5),)),"",(OFFSET(#REF!,SMALL(IF(#REF!=RM시즌체크판!C212,ROW(#REF!)-20),5),)))</f>
        <v/>
      </c>
      <c r="M212" s="35" t="str">
        <f t="array" aca="1" ref="M212" ca="1">IF(ISERROR(OFFSET(#REF!,SMALL(IF(#REF!=RM시즌체크판!C212,ROW(#REF!)-20),6),)),"",(OFFSET(#REF!,SMALL(IF(#REF!=RM시즌체크판!C212,ROW(#REF!)-20),6),)))</f>
        <v/>
      </c>
      <c r="N212" s="27" t="str">
        <f>IF(ISERROR(VLOOKUP(C212,모델촬영리스트!$C:$E,3,)),"",(VLOOKUP(C212,모델촬영리스트!$C:$E,3,)))</f>
        <v/>
      </c>
      <c r="O212" s="23" t="str">
        <f>IF(ISERROR(VLOOKUP(C212,배너촬영리스트!$C:$E,3,)),"",(VLOOKUP(C212,배너촬영리스트!$C:$E,3,)))</f>
        <v/>
      </c>
      <c r="P212" s="36" t="str">
        <f>IF(ISERROR(VLOOKUP(C212,배너촬영리스트!$C:$E,2,)),"",(VLOOKUP(C212,배너촬영리스트!$C:$E,2,)))</f>
        <v/>
      </c>
    </row>
    <row r="213" spans="2:16">
      <c r="B213" s="20" t="str">
        <f t="shared" si="3"/>
        <v>RM</v>
      </c>
      <c r="C213" s="11" t="s">
        <v>160</v>
      </c>
      <c r="D213" s="12" t="e">
        <f>VLOOKUP(C213,#REF!,2,0)</f>
        <v>#REF!</v>
      </c>
      <c r="E213" s="10" t="e">
        <f>VLOOKUP(C213,#REF!,4,0)</f>
        <v>#REF!</v>
      </c>
      <c r="F213" s="37" t="e">
        <f>VLOOKUP(C213,#REF!,8,0)</f>
        <v>#REF!</v>
      </c>
      <c r="G213" s="22" t="str">
        <f>IF(ISERROR(IF(VLOOKUP(C213,#REF!,2,0)&gt;0,"등록","")),"",(IF(VLOOKUP(C213,#REF!,2,0)&gt;0,"등록","")))</f>
        <v/>
      </c>
      <c r="H213" s="33" t="str">
        <f t="array" aca="1" ref="H213" ca="1">IF(ISERROR(OFFSET(#REF!,SMALL(IF(#REF!=RM시즌체크판!C213,ROW(#REF!)-20),1),)),"",(OFFSET(#REF!,SMALL(IF(#REF!=RM시즌체크판!C213,ROW(#REF!)-20),1),)))</f>
        <v/>
      </c>
      <c r="I213" s="34" t="str">
        <f t="array" aca="1" ref="I213" ca="1">IF(ISERROR(OFFSET(#REF!,SMALL(IF(#REF!=RM시즌체크판!C213,ROW(#REF!)-20),2),)),"",(OFFSET(#REF!,SMALL(IF(#REF!=RM시즌체크판!C213,ROW(#REF!)-20),2),)))</f>
        <v/>
      </c>
      <c r="J213" s="34" t="str">
        <f t="array" aca="1" ref="J213" ca="1">IF(ISERROR(OFFSET(#REF!,SMALL(IF(#REF!=RM시즌체크판!C213,ROW(#REF!)-20),3),)),"",(OFFSET(#REF!,SMALL(IF(#REF!=RM시즌체크판!C213,ROW(#REF!)-20),3),)))</f>
        <v/>
      </c>
      <c r="K213" s="34" t="str">
        <f t="array" aca="1" ref="K213" ca="1">IF(ISERROR(OFFSET(#REF!,SMALL(IF(#REF!=RM시즌체크판!C213,ROW(#REF!)-20),4),)),"",(OFFSET(#REF!,SMALL(IF(#REF!=RM시즌체크판!C213,ROW(#REF!)-20),4),)))</f>
        <v/>
      </c>
      <c r="L213" s="34" t="str">
        <f t="array" aca="1" ref="L213" ca="1">IF(ISERROR(OFFSET(#REF!,SMALL(IF(#REF!=RM시즌체크판!C213,ROW(#REF!)-20),5),)),"",(OFFSET(#REF!,SMALL(IF(#REF!=RM시즌체크판!C213,ROW(#REF!)-20),5),)))</f>
        <v/>
      </c>
      <c r="M213" s="35" t="str">
        <f t="array" aca="1" ref="M213" ca="1">IF(ISERROR(OFFSET(#REF!,SMALL(IF(#REF!=RM시즌체크판!C213,ROW(#REF!)-20),6),)),"",(OFFSET(#REF!,SMALL(IF(#REF!=RM시즌체크판!C213,ROW(#REF!)-20),6),)))</f>
        <v/>
      </c>
      <c r="N213" s="27" t="str">
        <f>IF(ISERROR(VLOOKUP(C213,모델촬영리스트!$C:$E,3,)),"",(VLOOKUP(C213,모델촬영리스트!$C:$E,3,)))</f>
        <v/>
      </c>
      <c r="O213" s="23" t="str">
        <f>IF(ISERROR(VLOOKUP(C213,배너촬영리스트!$C:$E,3,)),"",(VLOOKUP(C213,배너촬영리스트!$C:$E,3,)))</f>
        <v/>
      </c>
      <c r="P213" s="36" t="str">
        <f>IF(ISERROR(VLOOKUP(C213,배너촬영리스트!$C:$E,2,)),"",(VLOOKUP(C213,배너촬영리스트!$C:$E,2,)))</f>
        <v/>
      </c>
    </row>
    <row r="214" spans="2:16">
      <c r="B214" s="20" t="str">
        <f t="shared" si="3"/>
        <v>RM</v>
      </c>
      <c r="C214" s="11" t="s">
        <v>161</v>
      </c>
      <c r="D214" s="12" t="e">
        <f>VLOOKUP(C214,#REF!,2,0)</f>
        <v>#REF!</v>
      </c>
      <c r="E214" s="10" t="e">
        <f>VLOOKUP(C214,#REF!,4,0)</f>
        <v>#REF!</v>
      </c>
      <c r="F214" s="37" t="e">
        <f>VLOOKUP(C214,#REF!,8,0)</f>
        <v>#REF!</v>
      </c>
      <c r="G214" s="22" t="str">
        <f>IF(ISERROR(IF(VLOOKUP(C214,#REF!,2,0)&gt;0,"등록","")),"",(IF(VLOOKUP(C214,#REF!,2,0)&gt;0,"등록","")))</f>
        <v/>
      </c>
      <c r="H214" s="33" t="str">
        <f t="array" aca="1" ref="H214" ca="1">IF(ISERROR(OFFSET(#REF!,SMALL(IF(#REF!=RM시즌체크판!C214,ROW(#REF!)-20),1),)),"",(OFFSET(#REF!,SMALL(IF(#REF!=RM시즌체크판!C214,ROW(#REF!)-20),1),)))</f>
        <v/>
      </c>
      <c r="I214" s="34" t="str">
        <f t="array" aca="1" ref="I214" ca="1">IF(ISERROR(OFFSET(#REF!,SMALL(IF(#REF!=RM시즌체크판!C214,ROW(#REF!)-20),2),)),"",(OFFSET(#REF!,SMALL(IF(#REF!=RM시즌체크판!C214,ROW(#REF!)-20),2),)))</f>
        <v/>
      </c>
      <c r="J214" s="34" t="str">
        <f t="array" aca="1" ref="J214" ca="1">IF(ISERROR(OFFSET(#REF!,SMALL(IF(#REF!=RM시즌체크판!C214,ROW(#REF!)-20),3),)),"",(OFFSET(#REF!,SMALL(IF(#REF!=RM시즌체크판!C214,ROW(#REF!)-20),3),)))</f>
        <v/>
      </c>
      <c r="K214" s="34" t="str">
        <f t="array" aca="1" ref="K214" ca="1">IF(ISERROR(OFFSET(#REF!,SMALL(IF(#REF!=RM시즌체크판!C214,ROW(#REF!)-20),4),)),"",(OFFSET(#REF!,SMALL(IF(#REF!=RM시즌체크판!C214,ROW(#REF!)-20),4),)))</f>
        <v/>
      </c>
      <c r="L214" s="34" t="str">
        <f t="array" aca="1" ref="L214" ca="1">IF(ISERROR(OFFSET(#REF!,SMALL(IF(#REF!=RM시즌체크판!C214,ROW(#REF!)-20),5),)),"",(OFFSET(#REF!,SMALL(IF(#REF!=RM시즌체크판!C214,ROW(#REF!)-20),5),)))</f>
        <v/>
      </c>
      <c r="M214" s="35" t="str">
        <f t="array" aca="1" ref="M214" ca="1">IF(ISERROR(OFFSET(#REF!,SMALL(IF(#REF!=RM시즌체크판!C214,ROW(#REF!)-20),6),)),"",(OFFSET(#REF!,SMALL(IF(#REF!=RM시즌체크판!C214,ROW(#REF!)-20),6),)))</f>
        <v/>
      </c>
      <c r="N214" s="27" t="str">
        <f>IF(ISERROR(VLOOKUP(C214,모델촬영리스트!$C:$E,3,)),"",(VLOOKUP(C214,모델촬영리스트!$C:$E,3,)))</f>
        <v/>
      </c>
      <c r="O214" s="23" t="str">
        <f>IF(ISERROR(VLOOKUP(C214,배너촬영리스트!$C:$E,3,)),"",(VLOOKUP(C214,배너촬영리스트!$C:$E,3,)))</f>
        <v/>
      </c>
      <c r="P214" s="36" t="str">
        <f>IF(ISERROR(VLOOKUP(C214,배너촬영리스트!$C:$E,2,)),"",(VLOOKUP(C214,배너촬영리스트!$C:$E,2,)))</f>
        <v/>
      </c>
    </row>
    <row r="215" spans="2:16">
      <c r="B215" s="20" t="str">
        <f t="shared" si="3"/>
        <v>RM</v>
      </c>
      <c r="C215" s="11" t="s">
        <v>162</v>
      </c>
      <c r="D215" s="12" t="e">
        <f>VLOOKUP(C215,#REF!,2,0)</f>
        <v>#REF!</v>
      </c>
      <c r="E215" s="10" t="e">
        <f>VLOOKUP(C215,#REF!,4,0)</f>
        <v>#REF!</v>
      </c>
      <c r="F215" s="37" t="e">
        <f>VLOOKUP(C215,#REF!,8,0)</f>
        <v>#REF!</v>
      </c>
      <c r="G215" s="22" t="str">
        <f>IF(ISERROR(IF(VLOOKUP(C215,#REF!,2,0)&gt;0,"등록","")),"",(IF(VLOOKUP(C215,#REF!,2,0)&gt;0,"등록","")))</f>
        <v/>
      </c>
      <c r="H215" s="33" t="str">
        <f t="array" aca="1" ref="H215" ca="1">IF(ISERROR(OFFSET(#REF!,SMALL(IF(#REF!=RM시즌체크판!C215,ROW(#REF!)-20),1),)),"",(OFFSET(#REF!,SMALL(IF(#REF!=RM시즌체크판!C215,ROW(#REF!)-20),1),)))</f>
        <v/>
      </c>
      <c r="I215" s="34" t="str">
        <f t="array" aca="1" ref="I215" ca="1">IF(ISERROR(OFFSET(#REF!,SMALL(IF(#REF!=RM시즌체크판!C215,ROW(#REF!)-20),2),)),"",(OFFSET(#REF!,SMALL(IF(#REF!=RM시즌체크판!C215,ROW(#REF!)-20),2),)))</f>
        <v/>
      </c>
      <c r="J215" s="34" t="str">
        <f t="array" aca="1" ref="J215" ca="1">IF(ISERROR(OFFSET(#REF!,SMALL(IF(#REF!=RM시즌체크판!C215,ROW(#REF!)-20),3),)),"",(OFFSET(#REF!,SMALL(IF(#REF!=RM시즌체크판!C215,ROW(#REF!)-20),3),)))</f>
        <v/>
      </c>
      <c r="K215" s="34" t="str">
        <f t="array" aca="1" ref="K215" ca="1">IF(ISERROR(OFFSET(#REF!,SMALL(IF(#REF!=RM시즌체크판!C215,ROW(#REF!)-20),4),)),"",(OFFSET(#REF!,SMALL(IF(#REF!=RM시즌체크판!C215,ROW(#REF!)-20),4),)))</f>
        <v/>
      </c>
      <c r="L215" s="34" t="str">
        <f t="array" aca="1" ref="L215" ca="1">IF(ISERROR(OFFSET(#REF!,SMALL(IF(#REF!=RM시즌체크판!C215,ROW(#REF!)-20),5),)),"",(OFFSET(#REF!,SMALL(IF(#REF!=RM시즌체크판!C215,ROW(#REF!)-20),5),)))</f>
        <v/>
      </c>
      <c r="M215" s="35" t="str">
        <f t="array" aca="1" ref="M215" ca="1">IF(ISERROR(OFFSET(#REF!,SMALL(IF(#REF!=RM시즌체크판!C215,ROW(#REF!)-20),6),)),"",(OFFSET(#REF!,SMALL(IF(#REF!=RM시즌체크판!C215,ROW(#REF!)-20),6),)))</f>
        <v/>
      </c>
      <c r="N215" s="27" t="str">
        <f>IF(ISERROR(VLOOKUP(C215,모델촬영리스트!$C:$E,3,)),"",(VLOOKUP(C215,모델촬영리스트!$C:$E,3,)))</f>
        <v/>
      </c>
      <c r="O215" s="23" t="str">
        <f>IF(ISERROR(VLOOKUP(C215,배너촬영리스트!$C:$E,3,)),"",(VLOOKUP(C215,배너촬영리스트!$C:$E,3,)))</f>
        <v/>
      </c>
      <c r="P215" s="36" t="str">
        <f>IF(ISERROR(VLOOKUP(C215,배너촬영리스트!$C:$E,2,)),"",(VLOOKUP(C215,배너촬영리스트!$C:$E,2,)))</f>
        <v/>
      </c>
    </row>
    <row r="216" spans="2:16">
      <c r="B216" s="20" t="str">
        <f t="shared" si="3"/>
        <v>RM</v>
      </c>
      <c r="C216" s="11" t="s">
        <v>163</v>
      </c>
      <c r="D216" s="12" t="e">
        <f>VLOOKUP(C216,#REF!,2,0)</f>
        <v>#REF!</v>
      </c>
      <c r="E216" s="10" t="e">
        <f>VLOOKUP(C216,#REF!,4,0)</f>
        <v>#REF!</v>
      </c>
      <c r="F216" s="37" t="e">
        <f>VLOOKUP(C216,#REF!,8,0)</f>
        <v>#REF!</v>
      </c>
      <c r="G216" s="22" t="str">
        <f>IF(ISERROR(IF(VLOOKUP(C216,#REF!,2,0)&gt;0,"등록","")),"",(IF(VLOOKUP(C216,#REF!,2,0)&gt;0,"등록","")))</f>
        <v/>
      </c>
      <c r="H216" s="33" t="str">
        <f t="array" aca="1" ref="H216" ca="1">IF(ISERROR(OFFSET(#REF!,SMALL(IF(#REF!=RM시즌체크판!C216,ROW(#REF!)-20),1),)),"",(OFFSET(#REF!,SMALL(IF(#REF!=RM시즌체크판!C216,ROW(#REF!)-20),1),)))</f>
        <v/>
      </c>
      <c r="I216" s="34" t="str">
        <f t="array" aca="1" ref="I216" ca="1">IF(ISERROR(OFFSET(#REF!,SMALL(IF(#REF!=RM시즌체크판!C216,ROW(#REF!)-20),2),)),"",(OFFSET(#REF!,SMALL(IF(#REF!=RM시즌체크판!C216,ROW(#REF!)-20),2),)))</f>
        <v/>
      </c>
      <c r="J216" s="34" t="str">
        <f t="array" aca="1" ref="J216" ca="1">IF(ISERROR(OFFSET(#REF!,SMALL(IF(#REF!=RM시즌체크판!C216,ROW(#REF!)-20),3),)),"",(OFFSET(#REF!,SMALL(IF(#REF!=RM시즌체크판!C216,ROW(#REF!)-20),3),)))</f>
        <v/>
      </c>
      <c r="K216" s="34" t="str">
        <f t="array" aca="1" ref="K216" ca="1">IF(ISERROR(OFFSET(#REF!,SMALL(IF(#REF!=RM시즌체크판!C216,ROW(#REF!)-20),4),)),"",(OFFSET(#REF!,SMALL(IF(#REF!=RM시즌체크판!C216,ROW(#REF!)-20),4),)))</f>
        <v/>
      </c>
      <c r="L216" s="34" t="str">
        <f t="array" aca="1" ref="L216" ca="1">IF(ISERROR(OFFSET(#REF!,SMALL(IF(#REF!=RM시즌체크판!C216,ROW(#REF!)-20),5),)),"",(OFFSET(#REF!,SMALL(IF(#REF!=RM시즌체크판!C216,ROW(#REF!)-20),5),)))</f>
        <v/>
      </c>
      <c r="M216" s="35" t="str">
        <f t="array" aca="1" ref="M216" ca="1">IF(ISERROR(OFFSET(#REF!,SMALL(IF(#REF!=RM시즌체크판!C216,ROW(#REF!)-20),6),)),"",(OFFSET(#REF!,SMALL(IF(#REF!=RM시즌체크판!C216,ROW(#REF!)-20),6),)))</f>
        <v/>
      </c>
      <c r="N216" s="27" t="str">
        <f>IF(ISERROR(VLOOKUP(C216,모델촬영리스트!$C:$E,3,)),"",(VLOOKUP(C216,모델촬영리스트!$C:$E,3,)))</f>
        <v/>
      </c>
      <c r="O216" s="23" t="str">
        <f>IF(ISERROR(VLOOKUP(C216,배너촬영리스트!$C:$E,3,)),"",(VLOOKUP(C216,배너촬영리스트!$C:$E,3,)))</f>
        <v/>
      </c>
      <c r="P216" s="36" t="str">
        <f>IF(ISERROR(VLOOKUP(C216,배너촬영리스트!$C:$E,2,)),"",(VLOOKUP(C216,배너촬영리스트!$C:$E,2,)))</f>
        <v/>
      </c>
    </row>
    <row r="217" spans="2:16">
      <c r="B217" s="20" t="str">
        <f t="shared" si="3"/>
        <v>RM</v>
      </c>
      <c r="C217" s="11" t="s">
        <v>164</v>
      </c>
      <c r="D217" s="12" t="e">
        <f>VLOOKUP(C217,#REF!,2,0)</f>
        <v>#REF!</v>
      </c>
      <c r="E217" s="10" t="e">
        <f>VLOOKUP(C217,#REF!,4,0)</f>
        <v>#REF!</v>
      </c>
      <c r="F217" s="37" t="e">
        <f>VLOOKUP(C217,#REF!,8,0)</f>
        <v>#REF!</v>
      </c>
      <c r="G217" s="22" t="str">
        <f>IF(ISERROR(IF(VLOOKUP(C217,#REF!,2,0)&gt;0,"등록","")),"",(IF(VLOOKUP(C217,#REF!,2,0)&gt;0,"등록","")))</f>
        <v/>
      </c>
      <c r="H217" s="33" t="str">
        <f t="array" aca="1" ref="H217" ca="1">IF(ISERROR(OFFSET(#REF!,SMALL(IF(#REF!=RM시즌체크판!C217,ROW(#REF!)-20),1),)),"",(OFFSET(#REF!,SMALL(IF(#REF!=RM시즌체크판!C217,ROW(#REF!)-20),1),)))</f>
        <v/>
      </c>
      <c r="I217" s="34" t="str">
        <f t="array" aca="1" ref="I217" ca="1">IF(ISERROR(OFFSET(#REF!,SMALL(IF(#REF!=RM시즌체크판!C217,ROW(#REF!)-20),2),)),"",(OFFSET(#REF!,SMALL(IF(#REF!=RM시즌체크판!C217,ROW(#REF!)-20),2),)))</f>
        <v/>
      </c>
      <c r="J217" s="34" t="str">
        <f t="array" aca="1" ref="J217" ca="1">IF(ISERROR(OFFSET(#REF!,SMALL(IF(#REF!=RM시즌체크판!C217,ROW(#REF!)-20),3),)),"",(OFFSET(#REF!,SMALL(IF(#REF!=RM시즌체크판!C217,ROW(#REF!)-20),3),)))</f>
        <v/>
      </c>
      <c r="K217" s="34" t="str">
        <f t="array" aca="1" ref="K217" ca="1">IF(ISERROR(OFFSET(#REF!,SMALL(IF(#REF!=RM시즌체크판!C217,ROW(#REF!)-20),4),)),"",(OFFSET(#REF!,SMALL(IF(#REF!=RM시즌체크판!C217,ROW(#REF!)-20),4),)))</f>
        <v/>
      </c>
      <c r="L217" s="34" t="str">
        <f t="array" aca="1" ref="L217" ca="1">IF(ISERROR(OFFSET(#REF!,SMALL(IF(#REF!=RM시즌체크판!C217,ROW(#REF!)-20),5),)),"",(OFFSET(#REF!,SMALL(IF(#REF!=RM시즌체크판!C217,ROW(#REF!)-20),5),)))</f>
        <v/>
      </c>
      <c r="M217" s="35" t="str">
        <f t="array" aca="1" ref="M217" ca="1">IF(ISERROR(OFFSET(#REF!,SMALL(IF(#REF!=RM시즌체크판!C217,ROW(#REF!)-20),6),)),"",(OFFSET(#REF!,SMALL(IF(#REF!=RM시즌체크판!C217,ROW(#REF!)-20),6),)))</f>
        <v/>
      </c>
      <c r="N217" s="27" t="str">
        <f>IF(ISERROR(VLOOKUP(C217,모델촬영리스트!$C:$E,3,)),"",(VLOOKUP(C217,모델촬영리스트!$C:$E,3,)))</f>
        <v/>
      </c>
      <c r="O217" s="23" t="str">
        <f>IF(ISERROR(VLOOKUP(C217,배너촬영리스트!$C:$E,3,)),"",(VLOOKUP(C217,배너촬영리스트!$C:$E,3,)))</f>
        <v/>
      </c>
      <c r="P217" s="36" t="str">
        <f>IF(ISERROR(VLOOKUP(C217,배너촬영리스트!$C:$E,2,)),"",(VLOOKUP(C217,배너촬영리스트!$C:$E,2,)))</f>
        <v/>
      </c>
    </row>
    <row r="218" spans="2:16">
      <c r="B218" s="20" t="str">
        <f t="shared" si="3"/>
        <v>RM</v>
      </c>
      <c r="C218" s="11" t="s">
        <v>165</v>
      </c>
      <c r="D218" s="12" t="e">
        <f>VLOOKUP(C218,#REF!,2,0)</f>
        <v>#REF!</v>
      </c>
      <c r="E218" s="10" t="e">
        <f>VLOOKUP(C218,#REF!,4,0)</f>
        <v>#REF!</v>
      </c>
      <c r="F218" s="37" t="e">
        <f>VLOOKUP(C218,#REF!,8,0)</f>
        <v>#REF!</v>
      </c>
      <c r="G218" s="22" t="str">
        <f>IF(ISERROR(IF(VLOOKUP(C218,#REF!,2,0)&gt;0,"등록","")),"",(IF(VLOOKUP(C218,#REF!,2,0)&gt;0,"등록","")))</f>
        <v/>
      </c>
      <c r="H218" s="33" t="str">
        <f t="array" aca="1" ref="H218" ca="1">IF(ISERROR(OFFSET(#REF!,SMALL(IF(#REF!=RM시즌체크판!C218,ROW(#REF!)-20),1),)),"",(OFFSET(#REF!,SMALL(IF(#REF!=RM시즌체크판!C218,ROW(#REF!)-20),1),)))</f>
        <v/>
      </c>
      <c r="I218" s="34" t="str">
        <f t="array" aca="1" ref="I218" ca="1">IF(ISERROR(OFFSET(#REF!,SMALL(IF(#REF!=RM시즌체크판!C218,ROW(#REF!)-20),2),)),"",(OFFSET(#REF!,SMALL(IF(#REF!=RM시즌체크판!C218,ROW(#REF!)-20),2),)))</f>
        <v/>
      </c>
      <c r="J218" s="34" t="str">
        <f t="array" aca="1" ref="J218" ca="1">IF(ISERROR(OFFSET(#REF!,SMALL(IF(#REF!=RM시즌체크판!C218,ROW(#REF!)-20),3),)),"",(OFFSET(#REF!,SMALL(IF(#REF!=RM시즌체크판!C218,ROW(#REF!)-20),3),)))</f>
        <v/>
      </c>
      <c r="K218" s="34" t="str">
        <f t="array" aca="1" ref="K218" ca="1">IF(ISERROR(OFFSET(#REF!,SMALL(IF(#REF!=RM시즌체크판!C218,ROW(#REF!)-20),4),)),"",(OFFSET(#REF!,SMALL(IF(#REF!=RM시즌체크판!C218,ROW(#REF!)-20),4),)))</f>
        <v/>
      </c>
      <c r="L218" s="34" t="str">
        <f t="array" aca="1" ref="L218" ca="1">IF(ISERROR(OFFSET(#REF!,SMALL(IF(#REF!=RM시즌체크판!C218,ROW(#REF!)-20),5),)),"",(OFFSET(#REF!,SMALL(IF(#REF!=RM시즌체크판!C218,ROW(#REF!)-20),5),)))</f>
        <v/>
      </c>
      <c r="M218" s="35" t="str">
        <f t="array" aca="1" ref="M218" ca="1">IF(ISERROR(OFFSET(#REF!,SMALL(IF(#REF!=RM시즌체크판!C218,ROW(#REF!)-20),6),)),"",(OFFSET(#REF!,SMALL(IF(#REF!=RM시즌체크판!C218,ROW(#REF!)-20),6),)))</f>
        <v/>
      </c>
      <c r="N218" s="27" t="str">
        <f>IF(ISERROR(VLOOKUP(C218,모델촬영리스트!$C:$E,3,)),"",(VLOOKUP(C218,모델촬영리스트!$C:$E,3,)))</f>
        <v/>
      </c>
      <c r="O218" s="23" t="str">
        <f>IF(ISERROR(VLOOKUP(C218,배너촬영리스트!$C:$E,3,)),"",(VLOOKUP(C218,배너촬영리스트!$C:$E,3,)))</f>
        <v/>
      </c>
      <c r="P218" s="36" t="str">
        <f>IF(ISERROR(VLOOKUP(C218,배너촬영리스트!$C:$E,2,)),"",(VLOOKUP(C218,배너촬영리스트!$C:$E,2,)))</f>
        <v/>
      </c>
    </row>
    <row r="219" spans="2:16">
      <c r="B219" s="20" t="str">
        <f t="shared" si="3"/>
        <v>RM</v>
      </c>
      <c r="C219" s="11" t="s">
        <v>166</v>
      </c>
      <c r="D219" s="12" t="e">
        <f>VLOOKUP(C219,#REF!,2,0)</f>
        <v>#REF!</v>
      </c>
      <c r="E219" s="10" t="e">
        <f>VLOOKUP(C219,#REF!,4,0)</f>
        <v>#REF!</v>
      </c>
      <c r="F219" s="37" t="e">
        <f>VLOOKUP(C219,#REF!,8,0)</f>
        <v>#REF!</v>
      </c>
      <c r="G219" s="22" t="str">
        <f>IF(ISERROR(IF(VLOOKUP(C219,#REF!,2,0)&gt;0,"등록","")),"",(IF(VLOOKUP(C219,#REF!,2,0)&gt;0,"등록","")))</f>
        <v/>
      </c>
      <c r="H219" s="33" t="str">
        <f t="array" aca="1" ref="H219" ca="1">IF(ISERROR(OFFSET(#REF!,SMALL(IF(#REF!=RM시즌체크판!C219,ROW(#REF!)-20),1),)),"",(OFFSET(#REF!,SMALL(IF(#REF!=RM시즌체크판!C219,ROW(#REF!)-20),1),)))</f>
        <v/>
      </c>
      <c r="I219" s="34" t="str">
        <f t="array" aca="1" ref="I219" ca="1">IF(ISERROR(OFFSET(#REF!,SMALL(IF(#REF!=RM시즌체크판!C219,ROW(#REF!)-20),2),)),"",(OFFSET(#REF!,SMALL(IF(#REF!=RM시즌체크판!C219,ROW(#REF!)-20),2),)))</f>
        <v/>
      </c>
      <c r="J219" s="34" t="str">
        <f t="array" aca="1" ref="J219" ca="1">IF(ISERROR(OFFSET(#REF!,SMALL(IF(#REF!=RM시즌체크판!C219,ROW(#REF!)-20),3),)),"",(OFFSET(#REF!,SMALL(IF(#REF!=RM시즌체크판!C219,ROW(#REF!)-20),3),)))</f>
        <v/>
      </c>
      <c r="K219" s="34" t="str">
        <f t="array" aca="1" ref="K219" ca="1">IF(ISERROR(OFFSET(#REF!,SMALL(IF(#REF!=RM시즌체크판!C219,ROW(#REF!)-20),4),)),"",(OFFSET(#REF!,SMALL(IF(#REF!=RM시즌체크판!C219,ROW(#REF!)-20),4),)))</f>
        <v/>
      </c>
      <c r="L219" s="34" t="str">
        <f t="array" aca="1" ref="L219" ca="1">IF(ISERROR(OFFSET(#REF!,SMALL(IF(#REF!=RM시즌체크판!C219,ROW(#REF!)-20),5),)),"",(OFFSET(#REF!,SMALL(IF(#REF!=RM시즌체크판!C219,ROW(#REF!)-20),5),)))</f>
        <v/>
      </c>
      <c r="M219" s="35" t="str">
        <f t="array" aca="1" ref="M219" ca="1">IF(ISERROR(OFFSET(#REF!,SMALL(IF(#REF!=RM시즌체크판!C219,ROW(#REF!)-20),6),)),"",(OFFSET(#REF!,SMALL(IF(#REF!=RM시즌체크판!C219,ROW(#REF!)-20),6),)))</f>
        <v/>
      </c>
      <c r="N219" s="27" t="str">
        <f>IF(ISERROR(VLOOKUP(C219,모델촬영리스트!$C:$E,3,)),"",(VLOOKUP(C219,모델촬영리스트!$C:$E,3,)))</f>
        <v/>
      </c>
      <c r="O219" s="23" t="str">
        <f>IF(ISERROR(VLOOKUP(C219,배너촬영리스트!$C:$E,3,)),"",(VLOOKUP(C219,배너촬영리스트!$C:$E,3,)))</f>
        <v/>
      </c>
      <c r="P219" s="36" t="str">
        <f>IF(ISERROR(VLOOKUP(C219,배너촬영리스트!$C:$E,2,)),"",(VLOOKUP(C219,배너촬영리스트!$C:$E,2,)))</f>
        <v/>
      </c>
    </row>
    <row r="220" spans="2:16">
      <c r="B220" s="20" t="str">
        <f t="shared" si="3"/>
        <v>RM</v>
      </c>
      <c r="C220" s="11" t="s">
        <v>167</v>
      </c>
      <c r="D220" s="12" t="e">
        <f>VLOOKUP(C220,#REF!,2,0)</f>
        <v>#REF!</v>
      </c>
      <c r="E220" s="10" t="e">
        <f>VLOOKUP(C220,#REF!,4,0)</f>
        <v>#REF!</v>
      </c>
      <c r="F220" s="37" t="e">
        <f>VLOOKUP(C220,#REF!,8,0)</f>
        <v>#REF!</v>
      </c>
      <c r="G220" s="22" t="str">
        <f>IF(ISERROR(IF(VLOOKUP(C220,#REF!,2,0)&gt;0,"등록","")),"",(IF(VLOOKUP(C220,#REF!,2,0)&gt;0,"등록","")))</f>
        <v/>
      </c>
      <c r="H220" s="33" t="str">
        <f t="array" aca="1" ref="H220" ca="1">IF(ISERROR(OFFSET(#REF!,SMALL(IF(#REF!=RM시즌체크판!C220,ROW(#REF!)-20),1),)),"",(OFFSET(#REF!,SMALL(IF(#REF!=RM시즌체크판!C220,ROW(#REF!)-20),1),)))</f>
        <v/>
      </c>
      <c r="I220" s="34" t="str">
        <f t="array" aca="1" ref="I220" ca="1">IF(ISERROR(OFFSET(#REF!,SMALL(IF(#REF!=RM시즌체크판!C220,ROW(#REF!)-20),2),)),"",(OFFSET(#REF!,SMALL(IF(#REF!=RM시즌체크판!C220,ROW(#REF!)-20),2),)))</f>
        <v/>
      </c>
      <c r="J220" s="34" t="str">
        <f t="array" aca="1" ref="J220" ca="1">IF(ISERROR(OFFSET(#REF!,SMALL(IF(#REF!=RM시즌체크판!C220,ROW(#REF!)-20),3),)),"",(OFFSET(#REF!,SMALL(IF(#REF!=RM시즌체크판!C220,ROW(#REF!)-20),3),)))</f>
        <v/>
      </c>
      <c r="K220" s="34" t="str">
        <f t="array" aca="1" ref="K220" ca="1">IF(ISERROR(OFFSET(#REF!,SMALL(IF(#REF!=RM시즌체크판!C220,ROW(#REF!)-20),4),)),"",(OFFSET(#REF!,SMALL(IF(#REF!=RM시즌체크판!C220,ROW(#REF!)-20),4),)))</f>
        <v/>
      </c>
      <c r="L220" s="34" t="str">
        <f t="array" aca="1" ref="L220" ca="1">IF(ISERROR(OFFSET(#REF!,SMALL(IF(#REF!=RM시즌체크판!C220,ROW(#REF!)-20),5),)),"",(OFFSET(#REF!,SMALL(IF(#REF!=RM시즌체크판!C220,ROW(#REF!)-20),5),)))</f>
        <v/>
      </c>
      <c r="M220" s="35" t="str">
        <f t="array" aca="1" ref="M220" ca="1">IF(ISERROR(OFFSET(#REF!,SMALL(IF(#REF!=RM시즌체크판!C220,ROW(#REF!)-20),6),)),"",(OFFSET(#REF!,SMALL(IF(#REF!=RM시즌체크판!C220,ROW(#REF!)-20),6),)))</f>
        <v/>
      </c>
      <c r="N220" s="27" t="str">
        <f>IF(ISERROR(VLOOKUP(C220,모델촬영리스트!$C:$E,3,)),"",(VLOOKUP(C220,모델촬영리스트!$C:$E,3,)))</f>
        <v/>
      </c>
      <c r="O220" s="23" t="str">
        <f>IF(ISERROR(VLOOKUP(C220,배너촬영리스트!$C:$E,3,)),"",(VLOOKUP(C220,배너촬영리스트!$C:$E,3,)))</f>
        <v/>
      </c>
      <c r="P220" s="36" t="str">
        <f>IF(ISERROR(VLOOKUP(C220,배너촬영리스트!$C:$E,2,)),"",(VLOOKUP(C220,배너촬영리스트!$C:$E,2,)))</f>
        <v/>
      </c>
    </row>
    <row r="221" spans="2:16">
      <c r="B221" s="20" t="str">
        <f t="shared" si="3"/>
        <v>RM</v>
      </c>
      <c r="C221" s="11" t="s">
        <v>168</v>
      </c>
      <c r="D221" s="12" t="e">
        <f>VLOOKUP(C221,#REF!,2,0)</f>
        <v>#REF!</v>
      </c>
      <c r="E221" s="10" t="e">
        <f>VLOOKUP(C221,#REF!,4,0)</f>
        <v>#REF!</v>
      </c>
      <c r="F221" s="37" t="e">
        <f>VLOOKUP(C221,#REF!,8,0)</f>
        <v>#REF!</v>
      </c>
      <c r="G221" s="22" t="str">
        <f>IF(ISERROR(IF(VLOOKUP(C221,#REF!,2,0)&gt;0,"등록","")),"",(IF(VLOOKUP(C221,#REF!,2,0)&gt;0,"등록","")))</f>
        <v/>
      </c>
      <c r="H221" s="33" t="str">
        <f t="array" aca="1" ref="H221" ca="1">IF(ISERROR(OFFSET(#REF!,SMALL(IF(#REF!=RM시즌체크판!C221,ROW(#REF!)-20),1),)),"",(OFFSET(#REF!,SMALL(IF(#REF!=RM시즌체크판!C221,ROW(#REF!)-20),1),)))</f>
        <v/>
      </c>
      <c r="I221" s="34" t="str">
        <f t="array" aca="1" ref="I221" ca="1">IF(ISERROR(OFFSET(#REF!,SMALL(IF(#REF!=RM시즌체크판!C221,ROW(#REF!)-20),2),)),"",(OFFSET(#REF!,SMALL(IF(#REF!=RM시즌체크판!C221,ROW(#REF!)-20),2),)))</f>
        <v/>
      </c>
      <c r="J221" s="34" t="str">
        <f t="array" aca="1" ref="J221" ca="1">IF(ISERROR(OFFSET(#REF!,SMALL(IF(#REF!=RM시즌체크판!C221,ROW(#REF!)-20),3),)),"",(OFFSET(#REF!,SMALL(IF(#REF!=RM시즌체크판!C221,ROW(#REF!)-20),3),)))</f>
        <v/>
      </c>
      <c r="K221" s="34" t="str">
        <f t="array" aca="1" ref="K221" ca="1">IF(ISERROR(OFFSET(#REF!,SMALL(IF(#REF!=RM시즌체크판!C221,ROW(#REF!)-20),4),)),"",(OFFSET(#REF!,SMALL(IF(#REF!=RM시즌체크판!C221,ROW(#REF!)-20),4),)))</f>
        <v/>
      </c>
      <c r="L221" s="34" t="str">
        <f t="array" aca="1" ref="L221" ca="1">IF(ISERROR(OFFSET(#REF!,SMALL(IF(#REF!=RM시즌체크판!C221,ROW(#REF!)-20),5),)),"",(OFFSET(#REF!,SMALL(IF(#REF!=RM시즌체크판!C221,ROW(#REF!)-20),5),)))</f>
        <v/>
      </c>
      <c r="M221" s="35" t="str">
        <f t="array" aca="1" ref="M221" ca="1">IF(ISERROR(OFFSET(#REF!,SMALL(IF(#REF!=RM시즌체크판!C221,ROW(#REF!)-20),6),)),"",(OFFSET(#REF!,SMALL(IF(#REF!=RM시즌체크판!C221,ROW(#REF!)-20),6),)))</f>
        <v/>
      </c>
      <c r="N221" s="27" t="str">
        <f>IF(ISERROR(VLOOKUP(C221,모델촬영리스트!$C:$E,3,)),"",(VLOOKUP(C221,모델촬영리스트!$C:$E,3,)))</f>
        <v/>
      </c>
      <c r="O221" s="23" t="str">
        <f>IF(ISERROR(VLOOKUP(C221,배너촬영리스트!$C:$E,3,)),"",(VLOOKUP(C221,배너촬영리스트!$C:$E,3,)))</f>
        <v/>
      </c>
      <c r="P221" s="36" t="str">
        <f>IF(ISERROR(VLOOKUP(C221,배너촬영리스트!$C:$E,2,)),"",(VLOOKUP(C221,배너촬영리스트!$C:$E,2,)))</f>
        <v/>
      </c>
    </row>
    <row r="222" spans="2:16">
      <c r="B222" s="20" t="str">
        <f t="shared" si="3"/>
        <v>RM</v>
      </c>
      <c r="C222" s="11" t="s">
        <v>184</v>
      </c>
      <c r="D222" s="12" t="e">
        <f>VLOOKUP(C222,#REF!,2,0)</f>
        <v>#REF!</v>
      </c>
      <c r="E222" s="10" t="e">
        <f>VLOOKUP(C222,#REF!,4,0)</f>
        <v>#REF!</v>
      </c>
      <c r="F222" s="37" t="e">
        <f>VLOOKUP(C222,#REF!,8,0)</f>
        <v>#REF!</v>
      </c>
      <c r="G222" s="22" t="str">
        <f>IF(ISERROR(IF(VLOOKUP(C222,#REF!,2,0)&gt;0,"등록","")),"",(IF(VLOOKUP(C222,#REF!,2,0)&gt;0,"등록","")))</f>
        <v/>
      </c>
      <c r="H222" s="33" t="str">
        <f t="array" aca="1" ref="H222" ca="1">IF(ISERROR(OFFSET(#REF!,SMALL(IF(#REF!=RM시즌체크판!C222,ROW(#REF!)-20),1),)),"",(OFFSET(#REF!,SMALL(IF(#REF!=RM시즌체크판!C222,ROW(#REF!)-20),1),)))</f>
        <v/>
      </c>
      <c r="I222" s="34" t="str">
        <f t="array" aca="1" ref="I222" ca="1">IF(ISERROR(OFFSET(#REF!,SMALL(IF(#REF!=RM시즌체크판!C222,ROW(#REF!)-20),2),)),"",(OFFSET(#REF!,SMALL(IF(#REF!=RM시즌체크판!C222,ROW(#REF!)-20),2),)))</f>
        <v/>
      </c>
      <c r="J222" s="34" t="str">
        <f t="array" aca="1" ref="J222" ca="1">IF(ISERROR(OFFSET(#REF!,SMALL(IF(#REF!=RM시즌체크판!C222,ROW(#REF!)-20),3),)),"",(OFFSET(#REF!,SMALL(IF(#REF!=RM시즌체크판!C222,ROW(#REF!)-20),3),)))</f>
        <v/>
      </c>
      <c r="K222" s="34" t="str">
        <f t="array" aca="1" ref="K222" ca="1">IF(ISERROR(OFFSET(#REF!,SMALL(IF(#REF!=RM시즌체크판!C222,ROW(#REF!)-20),4),)),"",(OFFSET(#REF!,SMALL(IF(#REF!=RM시즌체크판!C222,ROW(#REF!)-20),4),)))</f>
        <v/>
      </c>
      <c r="L222" s="34" t="str">
        <f t="array" aca="1" ref="L222" ca="1">IF(ISERROR(OFFSET(#REF!,SMALL(IF(#REF!=RM시즌체크판!C222,ROW(#REF!)-20),5),)),"",(OFFSET(#REF!,SMALL(IF(#REF!=RM시즌체크판!C222,ROW(#REF!)-20),5),)))</f>
        <v/>
      </c>
      <c r="M222" s="35" t="str">
        <f t="array" aca="1" ref="M222" ca="1">IF(ISERROR(OFFSET(#REF!,SMALL(IF(#REF!=RM시즌체크판!C222,ROW(#REF!)-20),6),)),"",(OFFSET(#REF!,SMALL(IF(#REF!=RM시즌체크판!C222,ROW(#REF!)-20),6),)))</f>
        <v/>
      </c>
      <c r="N222" s="27" t="str">
        <f>IF(ISERROR(VLOOKUP(C222,모델촬영리스트!$C:$E,3,)),"",(VLOOKUP(C222,모델촬영리스트!$C:$E,3,)))</f>
        <v/>
      </c>
      <c r="O222" s="23" t="str">
        <f>IF(ISERROR(VLOOKUP(C222,배너촬영리스트!$C:$E,3,)),"",(VLOOKUP(C222,배너촬영리스트!$C:$E,3,)))</f>
        <v/>
      </c>
      <c r="P222" s="36" t="str">
        <f>IF(ISERROR(VLOOKUP(C222,배너촬영리스트!$C:$E,2,)),"",(VLOOKUP(C222,배너촬영리스트!$C:$E,2,)))</f>
        <v/>
      </c>
    </row>
    <row r="223" spans="2:16">
      <c r="B223" s="20" t="str">
        <f t="shared" si="3"/>
        <v>RM</v>
      </c>
      <c r="C223" s="11" t="s">
        <v>185</v>
      </c>
      <c r="D223" s="12" t="e">
        <f>VLOOKUP(C223,#REF!,2,0)</f>
        <v>#REF!</v>
      </c>
      <c r="E223" s="10" t="e">
        <f>VLOOKUP(C223,#REF!,4,0)</f>
        <v>#REF!</v>
      </c>
      <c r="F223" s="37" t="e">
        <f>VLOOKUP(C223,#REF!,8,0)</f>
        <v>#REF!</v>
      </c>
      <c r="G223" s="22" t="str">
        <f>IF(ISERROR(IF(VLOOKUP(C223,#REF!,2,0)&gt;0,"등록","")),"",(IF(VLOOKUP(C223,#REF!,2,0)&gt;0,"등록","")))</f>
        <v/>
      </c>
      <c r="H223" s="33" t="str">
        <f t="array" aca="1" ref="H223" ca="1">IF(ISERROR(OFFSET(#REF!,SMALL(IF(#REF!=RM시즌체크판!C223,ROW(#REF!)-20),1),)),"",(OFFSET(#REF!,SMALL(IF(#REF!=RM시즌체크판!C223,ROW(#REF!)-20),1),)))</f>
        <v/>
      </c>
      <c r="I223" s="34" t="str">
        <f t="array" aca="1" ref="I223" ca="1">IF(ISERROR(OFFSET(#REF!,SMALL(IF(#REF!=RM시즌체크판!C223,ROW(#REF!)-20),2),)),"",(OFFSET(#REF!,SMALL(IF(#REF!=RM시즌체크판!C223,ROW(#REF!)-20),2),)))</f>
        <v/>
      </c>
      <c r="J223" s="34" t="str">
        <f t="array" aca="1" ref="J223" ca="1">IF(ISERROR(OFFSET(#REF!,SMALL(IF(#REF!=RM시즌체크판!C223,ROW(#REF!)-20),3),)),"",(OFFSET(#REF!,SMALL(IF(#REF!=RM시즌체크판!C223,ROW(#REF!)-20),3),)))</f>
        <v/>
      </c>
      <c r="K223" s="34" t="str">
        <f t="array" aca="1" ref="K223" ca="1">IF(ISERROR(OFFSET(#REF!,SMALL(IF(#REF!=RM시즌체크판!C223,ROW(#REF!)-20),4),)),"",(OFFSET(#REF!,SMALL(IF(#REF!=RM시즌체크판!C223,ROW(#REF!)-20),4),)))</f>
        <v/>
      </c>
      <c r="L223" s="34" t="str">
        <f t="array" aca="1" ref="L223" ca="1">IF(ISERROR(OFFSET(#REF!,SMALL(IF(#REF!=RM시즌체크판!C223,ROW(#REF!)-20),5),)),"",(OFFSET(#REF!,SMALL(IF(#REF!=RM시즌체크판!C223,ROW(#REF!)-20),5),)))</f>
        <v/>
      </c>
      <c r="M223" s="35" t="str">
        <f t="array" aca="1" ref="M223" ca="1">IF(ISERROR(OFFSET(#REF!,SMALL(IF(#REF!=RM시즌체크판!C223,ROW(#REF!)-20),6),)),"",(OFFSET(#REF!,SMALL(IF(#REF!=RM시즌체크판!C223,ROW(#REF!)-20),6),)))</f>
        <v/>
      </c>
      <c r="N223" s="27" t="str">
        <f>IF(ISERROR(VLOOKUP(C223,모델촬영리스트!$C:$E,3,)),"",(VLOOKUP(C223,모델촬영리스트!$C:$E,3,)))</f>
        <v/>
      </c>
      <c r="O223" s="23" t="str">
        <f>IF(ISERROR(VLOOKUP(C223,배너촬영리스트!$C:$E,3,)),"",(VLOOKUP(C223,배너촬영리스트!$C:$E,3,)))</f>
        <v/>
      </c>
      <c r="P223" s="36" t="str">
        <f>IF(ISERROR(VLOOKUP(C223,배너촬영리스트!$C:$E,2,)),"",(VLOOKUP(C223,배너촬영리스트!$C:$E,2,)))</f>
        <v/>
      </c>
    </row>
    <row r="224" spans="2:16">
      <c r="B224" s="20" t="str">
        <f t="shared" si="3"/>
        <v>RM</v>
      </c>
      <c r="C224" s="11" t="s">
        <v>186</v>
      </c>
      <c r="D224" s="12" t="e">
        <f>VLOOKUP(C224,#REF!,2,0)</f>
        <v>#REF!</v>
      </c>
      <c r="E224" s="10" t="e">
        <f>VLOOKUP(C224,#REF!,4,0)</f>
        <v>#REF!</v>
      </c>
      <c r="F224" s="37" t="e">
        <f>VLOOKUP(C224,#REF!,8,0)</f>
        <v>#REF!</v>
      </c>
      <c r="G224" s="22" t="str">
        <f>IF(ISERROR(IF(VLOOKUP(C224,#REF!,2,0)&gt;0,"등록","")),"",(IF(VLOOKUP(C224,#REF!,2,0)&gt;0,"등록","")))</f>
        <v/>
      </c>
      <c r="H224" s="33" t="str">
        <f t="array" aca="1" ref="H224" ca="1">IF(ISERROR(OFFSET(#REF!,SMALL(IF(#REF!=RM시즌체크판!C224,ROW(#REF!)-20),1),)),"",(OFFSET(#REF!,SMALL(IF(#REF!=RM시즌체크판!C224,ROW(#REF!)-20),1),)))</f>
        <v/>
      </c>
      <c r="I224" s="34" t="str">
        <f t="array" aca="1" ref="I224" ca="1">IF(ISERROR(OFFSET(#REF!,SMALL(IF(#REF!=RM시즌체크판!C224,ROW(#REF!)-20),2),)),"",(OFFSET(#REF!,SMALL(IF(#REF!=RM시즌체크판!C224,ROW(#REF!)-20),2),)))</f>
        <v/>
      </c>
      <c r="J224" s="34" t="str">
        <f t="array" aca="1" ref="J224" ca="1">IF(ISERROR(OFFSET(#REF!,SMALL(IF(#REF!=RM시즌체크판!C224,ROW(#REF!)-20),3),)),"",(OFFSET(#REF!,SMALL(IF(#REF!=RM시즌체크판!C224,ROW(#REF!)-20),3),)))</f>
        <v/>
      </c>
      <c r="K224" s="34" t="str">
        <f t="array" aca="1" ref="K224" ca="1">IF(ISERROR(OFFSET(#REF!,SMALL(IF(#REF!=RM시즌체크판!C224,ROW(#REF!)-20),4),)),"",(OFFSET(#REF!,SMALL(IF(#REF!=RM시즌체크판!C224,ROW(#REF!)-20),4),)))</f>
        <v/>
      </c>
      <c r="L224" s="34" t="str">
        <f t="array" aca="1" ref="L224" ca="1">IF(ISERROR(OFFSET(#REF!,SMALL(IF(#REF!=RM시즌체크판!C224,ROW(#REF!)-20),5),)),"",(OFFSET(#REF!,SMALL(IF(#REF!=RM시즌체크판!C224,ROW(#REF!)-20),5),)))</f>
        <v/>
      </c>
      <c r="M224" s="35" t="str">
        <f t="array" aca="1" ref="M224" ca="1">IF(ISERROR(OFFSET(#REF!,SMALL(IF(#REF!=RM시즌체크판!C224,ROW(#REF!)-20),6),)),"",(OFFSET(#REF!,SMALL(IF(#REF!=RM시즌체크판!C224,ROW(#REF!)-20),6),)))</f>
        <v/>
      </c>
      <c r="N224" s="27" t="str">
        <f>IF(ISERROR(VLOOKUP(C224,모델촬영리스트!$C:$E,3,)),"",(VLOOKUP(C224,모델촬영리스트!$C:$E,3,)))</f>
        <v/>
      </c>
      <c r="O224" s="23" t="str">
        <f>IF(ISERROR(VLOOKUP(C224,배너촬영리스트!$C:$E,3,)),"",(VLOOKUP(C224,배너촬영리스트!$C:$E,3,)))</f>
        <v/>
      </c>
      <c r="P224" s="36" t="str">
        <f>IF(ISERROR(VLOOKUP(C224,배너촬영리스트!$C:$E,2,)),"",(VLOOKUP(C224,배너촬영리스트!$C:$E,2,)))</f>
        <v/>
      </c>
    </row>
    <row r="225" spans="2:16">
      <c r="B225" s="20" t="str">
        <f t="shared" si="3"/>
        <v>RM</v>
      </c>
      <c r="C225" s="11" t="s">
        <v>188</v>
      </c>
      <c r="D225" s="12" t="e">
        <f>VLOOKUP(C225,#REF!,2,0)</f>
        <v>#REF!</v>
      </c>
      <c r="E225" s="10" t="e">
        <f>VLOOKUP(C225,#REF!,4,0)</f>
        <v>#REF!</v>
      </c>
      <c r="F225" s="37" t="e">
        <f>VLOOKUP(C225,#REF!,8,0)</f>
        <v>#REF!</v>
      </c>
      <c r="G225" s="22" t="str">
        <f>IF(ISERROR(IF(VLOOKUP(C225,#REF!,2,0)&gt;0,"등록","")),"",(IF(VLOOKUP(C225,#REF!,2,0)&gt;0,"등록","")))</f>
        <v/>
      </c>
      <c r="H225" s="33" t="str">
        <f t="array" aca="1" ref="H225" ca="1">IF(ISERROR(OFFSET(#REF!,SMALL(IF(#REF!=RM시즌체크판!C225,ROW(#REF!)-20),1),)),"",(OFFSET(#REF!,SMALL(IF(#REF!=RM시즌체크판!C225,ROW(#REF!)-20),1),)))</f>
        <v/>
      </c>
      <c r="I225" s="34" t="str">
        <f t="array" aca="1" ref="I225" ca="1">IF(ISERROR(OFFSET(#REF!,SMALL(IF(#REF!=RM시즌체크판!C225,ROW(#REF!)-20),2),)),"",(OFFSET(#REF!,SMALL(IF(#REF!=RM시즌체크판!C225,ROW(#REF!)-20),2),)))</f>
        <v/>
      </c>
      <c r="J225" s="34" t="str">
        <f t="array" aca="1" ref="J225" ca="1">IF(ISERROR(OFFSET(#REF!,SMALL(IF(#REF!=RM시즌체크판!C225,ROW(#REF!)-20),3),)),"",(OFFSET(#REF!,SMALL(IF(#REF!=RM시즌체크판!C225,ROW(#REF!)-20),3),)))</f>
        <v/>
      </c>
      <c r="K225" s="34" t="str">
        <f t="array" aca="1" ref="K225" ca="1">IF(ISERROR(OFFSET(#REF!,SMALL(IF(#REF!=RM시즌체크판!C225,ROW(#REF!)-20),4),)),"",(OFFSET(#REF!,SMALL(IF(#REF!=RM시즌체크판!C225,ROW(#REF!)-20),4),)))</f>
        <v/>
      </c>
      <c r="L225" s="34" t="str">
        <f t="array" aca="1" ref="L225" ca="1">IF(ISERROR(OFFSET(#REF!,SMALL(IF(#REF!=RM시즌체크판!C225,ROW(#REF!)-20),5),)),"",(OFFSET(#REF!,SMALL(IF(#REF!=RM시즌체크판!C225,ROW(#REF!)-20),5),)))</f>
        <v/>
      </c>
      <c r="M225" s="35" t="str">
        <f t="array" aca="1" ref="M225" ca="1">IF(ISERROR(OFFSET(#REF!,SMALL(IF(#REF!=RM시즌체크판!C225,ROW(#REF!)-20),6),)),"",(OFFSET(#REF!,SMALL(IF(#REF!=RM시즌체크판!C225,ROW(#REF!)-20),6),)))</f>
        <v/>
      </c>
      <c r="N225" s="27" t="str">
        <f>IF(ISERROR(VLOOKUP(C225,모델촬영리스트!$C:$E,3,)),"",(VLOOKUP(C225,모델촬영리스트!$C:$E,3,)))</f>
        <v/>
      </c>
      <c r="O225" s="23" t="str">
        <f>IF(ISERROR(VLOOKUP(C225,배너촬영리스트!$C:$E,3,)),"",(VLOOKUP(C225,배너촬영리스트!$C:$E,3,)))</f>
        <v/>
      </c>
      <c r="P225" s="36" t="str">
        <f>IF(ISERROR(VLOOKUP(C225,배너촬영리스트!$C:$E,2,)),"",(VLOOKUP(C225,배너촬영리스트!$C:$E,2,)))</f>
        <v/>
      </c>
    </row>
    <row r="226" spans="2:16">
      <c r="B226" s="20" t="str">
        <f t="shared" si="3"/>
        <v>RM</v>
      </c>
      <c r="C226" s="11" t="s">
        <v>189</v>
      </c>
      <c r="D226" s="12" t="e">
        <f>VLOOKUP(C226,#REF!,2,0)</f>
        <v>#REF!</v>
      </c>
      <c r="E226" s="10" t="e">
        <f>VLOOKUP(C226,#REF!,4,0)</f>
        <v>#REF!</v>
      </c>
      <c r="F226" s="37" t="e">
        <f>VLOOKUP(C226,#REF!,8,0)</f>
        <v>#REF!</v>
      </c>
      <c r="G226" s="22" t="str">
        <f>IF(ISERROR(IF(VLOOKUP(C226,#REF!,2,0)&gt;0,"등록","")),"",(IF(VLOOKUP(C226,#REF!,2,0)&gt;0,"등록","")))</f>
        <v/>
      </c>
      <c r="H226" s="33" t="str">
        <f t="array" aca="1" ref="H226" ca="1">IF(ISERROR(OFFSET(#REF!,SMALL(IF(#REF!=RM시즌체크판!C226,ROW(#REF!)-20),1),)),"",(OFFSET(#REF!,SMALL(IF(#REF!=RM시즌체크판!C226,ROW(#REF!)-20),1),)))</f>
        <v/>
      </c>
      <c r="I226" s="34" t="str">
        <f t="array" aca="1" ref="I226" ca="1">IF(ISERROR(OFFSET(#REF!,SMALL(IF(#REF!=RM시즌체크판!C226,ROW(#REF!)-20),2),)),"",(OFFSET(#REF!,SMALL(IF(#REF!=RM시즌체크판!C226,ROW(#REF!)-20),2),)))</f>
        <v/>
      </c>
      <c r="J226" s="34" t="str">
        <f t="array" aca="1" ref="J226" ca="1">IF(ISERROR(OFFSET(#REF!,SMALL(IF(#REF!=RM시즌체크판!C226,ROW(#REF!)-20),3),)),"",(OFFSET(#REF!,SMALL(IF(#REF!=RM시즌체크판!C226,ROW(#REF!)-20),3),)))</f>
        <v/>
      </c>
      <c r="K226" s="34" t="str">
        <f t="array" aca="1" ref="K226" ca="1">IF(ISERROR(OFFSET(#REF!,SMALL(IF(#REF!=RM시즌체크판!C226,ROW(#REF!)-20),4),)),"",(OFFSET(#REF!,SMALL(IF(#REF!=RM시즌체크판!C226,ROW(#REF!)-20),4),)))</f>
        <v/>
      </c>
      <c r="L226" s="34" t="str">
        <f t="array" aca="1" ref="L226" ca="1">IF(ISERROR(OFFSET(#REF!,SMALL(IF(#REF!=RM시즌체크판!C226,ROW(#REF!)-20),5),)),"",(OFFSET(#REF!,SMALL(IF(#REF!=RM시즌체크판!C226,ROW(#REF!)-20),5),)))</f>
        <v/>
      </c>
      <c r="M226" s="35" t="str">
        <f t="array" aca="1" ref="M226" ca="1">IF(ISERROR(OFFSET(#REF!,SMALL(IF(#REF!=RM시즌체크판!C226,ROW(#REF!)-20),6),)),"",(OFFSET(#REF!,SMALL(IF(#REF!=RM시즌체크판!C226,ROW(#REF!)-20),6),)))</f>
        <v/>
      </c>
      <c r="N226" s="27" t="str">
        <f>IF(ISERROR(VLOOKUP(C226,모델촬영리스트!$C:$E,3,)),"",(VLOOKUP(C226,모델촬영리스트!$C:$E,3,)))</f>
        <v/>
      </c>
      <c r="O226" s="23" t="str">
        <f>IF(ISERROR(VLOOKUP(C226,배너촬영리스트!$C:$E,3,)),"",(VLOOKUP(C226,배너촬영리스트!$C:$E,3,)))</f>
        <v/>
      </c>
      <c r="P226" s="36" t="str">
        <f>IF(ISERROR(VLOOKUP(C226,배너촬영리스트!$C:$E,2,)),"",(VLOOKUP(C226,배너촬영리스트!$C:$E,2,)))</f>
        <v/>
      </c>
    </row>
    <row r="227" spans="2:16">
      <c r="B227" s="20" t="str">
        <f t="shared" si="3"/>
        <v>RM</v>
      </c>
      <c r="C227" s="11" t="s">
        <v>190</v>
      </c>
      <c r="D227" s="12" t="e">
        <f>VLOOKUP(C227,#REF!,2,0)</f>
        <v>#REF!</v>
      </c>
      <c r="E227" s="10" t="e">
        <f>VLOOKUP(C227,#REF!,4,0)</f>
        <v>#REF!</v>
      </c>
      <c r="F227" s="37" t="e">
        <f>VLOOKUP(C227,#REF!,8,0)</f>
        <v>#REF!</v>
      </c>
      <c r="G227" s="22" t="str">
        <f>IF(ISERROR(IF(VLOOKUP(C227,#REF!,2,0)&gt;0,"등록","")),"",(IF(VLOOKUP(C227,#REF!,2,0)&gt;0,"등록","")))</f>
        <v/>
      </c>
      <c r="H227" s="33" t="str">
        <f t="array" aca="1" ref="H227" ca="1">IF(ISERROR(OFFSET(#REF!,SMALL(IF(#REF!=RM시즌체크판!C227,ROW(#REF!)-20),1),)),"",(OFFSET(#REF!,SMALL(IF(#REF!=RM시즌체크판!C227,ROW(#REF!)-20),1),)))</f>
        <v/>
      </c>
      <c r="I227" s="34" t="str">
        <f t="array" aca="1" ref="I227" ca="1">IF(ISERROR(OFFSET(#REF!,SMALL(IF(#REF!=RM시즌체크판!C227,ROW(#REF!)-20),2),)),"",(OFFSET(#REF!,SMALL(IF(#REF!=RM시즌체크판!C227,ROW(#REF!)-20),2),)))</f>
        <v/>
      </c>
      <c r="J227" s="34" t="str">
        <f t="array" aca="1" ref="J227" ca="1">IF(ISERROR(OFFSET(#REF!,SMALL(IF(#REF!=RM시즌체크판!C227,ROW(#REF!)-20),3),)),"",(OFFSET(#REF!,SMALL(IF(#REF!=RM시즌체크판!C227,ROW(#REF!)-20),3),)))</f>
        <v/>
      </c>
      <c r="K227" s="34" t="str">
        <f t="array" aca="1" ref="K227" ca="1">IF(ISERROR(OFFSET(#REF!,SMALL(IF(#REF!=RM시즌체크판!C227,ROW(#REF!)-20),4),)),"",(OFFSET(#REF!,SMALL(IF(#REF!=RM시즌체크판!C227,ROW(#REF!)-20),4),)))</f>
        <v/>
      </c>
      <c r="L227" s="34" t="str">
        <f t="array" aca="1" ref="L227" ca="1">IF(ISERROR(OFFSET(#REF!,SMALL(IF(#REF!=RM시즌체크판!C227,ROW(#REF!)-20),5),)),"",(OFFSET(#REF!,SMALL(IF(#REF!=RM시즌체크판!C227,ROW(#REF!)-20),5),)))</f>
        <v/>
      </c>
      <c r="M227" s="35" t="str">
        <f t="array" aca="1" ref="M227" ca="1">IF(ISERROR(OFFSET(#REF!,SMALL(IF(#REF!=RM시즌체크판!C227,ROW(#REF!)-20),6),)),"",(OFFSET(#REF!,SMALL(IF(#REF!=RM시즌체크판!C227,ROW(#REF!)-20),6),)))</f>
        <v/>
      </c>
      <c r="N227" s="27" t="str">
        <f>IF(ISERROR(VLOOKUP(C227,모델촬영리스트!$C:$E,3,)),"",(VLOOKUP(C227,모델촬영리스트!$C:$E,3,)))</f>
        <v/>
      </c>
      <c r="O227" s="23" t="str">
        <f>IF(ISERROR(VLOOKUP(C227,배너촬영리스트!$C:$E,3,)),"",(VLOOKUP(C227,배너촬영리스트!$C:$E,3,)))</f>
        <v/>
      </c>
      <c r="P227" s="36" t="str">
        <f>IF(ISERROR(VLOOKUP(C227,배너촬영리스트!$C:$E,2,)),"",(VLOOKUP(C227,배너촬영리스트!$C:$E,2,)))</f>
        <v/>
      </c>
    </row>
    <row r="228" spans="2:16">
      <c r="B228" s="20" t="str">
        <f t="shared" si="3"/>
        <v>RM</v>
      </c>
      <c r="C228" s="11" t="s">
        <v>202</v>
      </c>
      <c r="D228" s="12" t="e">
        <f>VLOOKUP(C228,#REF!,2,0)</f>
        <v>#REF!</v>
      </c>
      <c r="E228" s="10" t="e">
        <f>VLOOKUP(C228,#REF!,4,0)</f>
        <v>#REF!</v>
      </c>
      <c r="F228" s="37" t="e">
        <f>VLOOKUP(C228,#REF!,8,0)</f>
        <v>#REF!</v>
      </c>
      <c r="G228" s="22" t="str">
        <f>IF(ISERROR(IF(VLOOKUP(C228,#REF!,2,0)&gt;0,"등록","")),"",(IF(VLOOKUP(C228,#REF!,2,0)&gt;0,"등록","")))</f>
        <v/>
      </c>
      <c r="H228" s="33" t="str">
        <f t="array" aca="1" ref="H228" ca="1">IF(ISERROR(OFFSET(#REF!,SMALL(IF(#REF!=RM시즌체크판!C228,ROW(#REF!)-20),1),)),"",(OFFSET(#REF!,SMALL(IF(#REF!=RM시즌체크판!C228,ROW(#REF!)-20),1),)))</f>
        <v/>
      </c>
      <c r="I228" s="34" t="str">
        <f t="array" aca="1" ref="I228" ca="1">IF(ISERROR(OFFSET(#REF!,SMALL(IF(#REF!=RM시즌체크판!C228,ROW(#REF!)-20),2),)),"",(OFFSET(#REF!,SMALL(IF(#REF!=RM시즌체크판!C228,ROW(#REF!)-20),2),)))</f>
        <v/>
      </c>
      <c r="J228" s="34" t="str">
        <f t="array" aca="1" ref="J228" ca="1">IF(ISERROR(OFFSET(#REF!,SMALL(IF(#REF!=RM시즌체크판!C228,ROW(#REF!)-20),3),)),"",(OFFSET(#REF!,SMALL(IF(#REF!=RM시즌체크판!C228,ROW(#REF!)-20),3),)))</f>
        <v/>
      </c>
      <c r="K228" s="34" t="str">
        <f t="array" aca="1" ref="K228" ca="1">IF(ISERROR(OFFSET(#REF!,SMALL(IF(#REF!=RM시즌체크판!C228,ROW(#REF!)-20),4),)),"",(OFFSET(#REF!,SMALL(IF(#REF!=RM시즌체크판!C228,ROW(#REF!)-20),4),)))</f>
        <v/>
      </c>
      <c r="L228" s="34" t="str">
        <f t="array" aca="1" ref="L228" ca="1">IF(ISERROR(OFFSET(#REF!,SMALL(IF(#REF!=RM시즌체크판!C228,ROW(#REF!)-20),5),)),"",(OFFSET(#REF!,SMALL(IF(#REF!=RM시즌체크판!C228,ROW(#REF!)-20),5),)))</f>
        <v/>
      </c>
      <c r="M228" s="35" t="str">
        <f t="array" aca="1" ref="M228" ca="1">IF(ISERROR(OFFSET(#REF!,SMALL(IF(#REF!=RM시즌체크판!C228,ROW(#REF!)-20),6),)),"",(OFFSET(#REF!,SMALL(IF(#REF!=RM시즌체크판!C228,ROW(#REF!)-20),6),)))</f>
        <v/>
      </c>
      <c r="N228" s="27" t="str">
        <f>IF(ISERROR(VLOOKUP(C228,모델촬영리스트!$C:$E,3,)),"",(VLOOKUP(C228,모델촬영리스트!$C:$E,3,)))</f>
        <v/>
      </c>
      <c r="O228" s="23" t="str">
        <f>IF(ISERROR(VLOOKUP(C228,배너촬영리스트!$C:$E,3,)),"",(VLOOKUP(C228,배너촬영리스트!$C:$E,3,)))</f>
        <v/>
      </c>
      <c r="P228" s="36" t="str">
        <f>IF(ISERROR(VLOOKUP(C228,배너촬영리스트!$C:$E,2,)),"",(VLOOKUP(C228,배너촬영리스트!$C:$E,2,)))</f>
        <v/>
      </c>
    </row>
    <row r="229" spans="2:16">
      <c r="B229" s="20" t="str">
        <f t="shared" si="3"/>
        <v>RM</v>
      </c>
      <c r="C229" s="11" t="s">
        <v>203</v>
      </c>
      <c r="D229" s="12" t="e">
        <f>VLOOKUP(C229,#REF!,2,0)</f>
        <v>#REF!</v>
      </c>
      <c r="E229" s="10" t="e">
        <f>VLOOKUP(C229,#REF!,4,0)</f>
        <v>#REF!</v>
      </c>
      <c r="F229" s="37" t="e">
        <f>VLOOKUP(C229,#REF!,8,0)</f>
        <v>#REF!</v>
      </c>
      <c r="G229" s="22" t="str">
        <f>IF(ISERROR(IF(VLOOKUP(C229,#REF!,2,0)&gt;0,"등록","")),"",(IF(VLOOKUP(C229,#REF!,2,0)&gt;0,"등록","")))</f>
        <v/>
      </c>
      <c r="H229" s="33" t="str">
        <f t="array" aca="1" ref="H229" ca="1">IF(ISERROR(OFFSET(#REF!,SMALL(IF(#REF!=RM시즌체크판!C229,ROW(#REF!)-20),1),)),"",(OFFSET(#REF!,SMALL(IF(#REF!=RM시즌체크판!C229,ROW(#REF!)-20),1),)))</f>
        <v/>
      </c>
      <c r="I229" s="34" t="str">
        <f t="array" aca="1" ref="I229" ca="1">IF(ISERROR(OFFSET(#REF!,SMALL(IF(#REF!=RM시즌체크판!C229,ROW(#REF!)-20),2),)),"",(OFFSET(#REF!,SMALL(IF(#REF!=RM시즌체크판!C229,ROW(#REF!)-20),2),)))</f>
        <v/>
      </c>
      <c r="J229" s="34" t="str">
        <f t="array" aca="1" ref="J229" ca="1">IF(ISERROR(OFFSET(#REF!,SMALL(IF(#REF!=RM시즌체크판!C229,ROW(#REF!)-20),3),)),"",(OFFSET(#REF!,SMALL(IF(#REF!=RM시즌체크판!C229,ROW(#REF!)-20),3),)))</f>
        <v/>
      </c>
      <c r="K229" s="34" t="str">
        <f t="array" aca="1" ref="K229" ca="1">IF(ISERROR(OFFSET(#REF!,SMALL(IF(#REF!=RM시즌체크판!C229,ROW(#REF!)-20),4),)),"",(OFFSET(#REF!,SMALL(IF(#REF!=RM시즌체크판!C229,ROW(#REF!)-20),4),)))</f>
        <v/>
      </c>
      <c r="L229" s="34" t="str">
        <f t="array" aca="1" ref="L229" ca="1">IF(ISERROR(OFFSET(#REF!,SMALL(IF(#REF!=RM시즌체크판!C229,ROW(#REF!)-20),5),)),"",(OFFSET(#REF!,SMALL(IF(#REF!=RM시즌체크판!C229,ROW(#REF!)-20),5),)))</f>
        <v/>
      </c>
      <c r="M229" s="35" t="str">
        <f t="array" aca="1" ref="M229" ca="1">IF(ISERROR(OFFSET(#REF!,SMALL(IF(#REF!=RM시즌체크판!C229,ROW(#REF!)-20),6),)),"",(OFFSET(#REF!,SMALL(IF(#REF!=RM시즌체크판!C229,ROW(#REF!)-20),6),)))</f>
        <v/>
      </c>
      <c r="N229" s="27" t="str">
        <f>IF(ISERROR(VLOOKUP(C229,모델촬영리스트!$C:$E,3,)),"",(VLOOKUP(C229,모델촬영리스트!$C:$E,3,)))</f>
        <v/>
      </c>
      <c r="O229" s="23" t="str">
        <f>IF(ISERROR(VLOOKUP(C229,배너촬영리스트!$C:$E,3,)),"",(VLOOKUP(C229,배너촬영리스트!$C:$E,3,)))</f>
        <v/>
      </c>
      <c r="P229" s="36" t="str">
        <f>IF(ISERROR(VLOOKUP(C229,배너촬영리스트!$C:$E,2,)),"",(VLOOKUP(C229,배너촬영리스트!$C:$E,2,)))</f>
        <v/>
      </c>
    </row>
    <row r="230" spans="2:16">
      <c r="B230" s="20" t="str">
        <f t="shared" si="3"/>
        <v>RM</v>
      </c>
      <c r="C230" s="11" t="s">
        <v>204</v>
      </c>
      <c r="D230" s="12" t="e">
        <f>VLOOKUP(C230,#REF!,2,0)</f>
        <v>#REF!</v>
      </c>
      <c r="E230" s="10" t="e">
        <f>VLOOKUP(C230,#REF!,4,0)</f>
        <v>#REF!</v>
      </c>
      <c r="F230" s="37" t="e">
        <f>VLOOKUP(C230,#REF!,8,0)</f>
        <v>#REF!</v>
      </c>
      <c r="G230" s="22" t="str">
        <f>IF(ISERROR(IF(VLOOKUP(C230,#REF!,2,0)&gt;0,"등록","")),"",(IF(VLOOKUP(C230,#REF!,2,0)&gt;0,"등록","")))</f>
        <v/>
      </c>
      <c r="H230" s="33" t="str">
        <f t="array" aca="1" ref="H230" ca="1">IF(ISERROR(OFFSET(#REF!,SMALL(IF(#REF!=RM시즌체크판!C230,ROW(#REF!)-20),1),)),"",(OFFSET(#REF!,SMALL(IF(#REF!=RM시즌체크판!C230,ROW(#REF!)-20),1),)))</f>
        <v/>
      </c>
      <c r="I230" s="34" t="str">
        <f t="array" aca="1" ref="I230" ca="1">IF(ISERROR(OFFSET(#REF!,SMALL(IF(#REF!=RM시즌체크판!C230,ROW(#REF!)-20),2),)),"",(OFFSET(#REF!,SMALL(IF(#REF!=RM시즌체크판!C230,ROW(#REF!)-20),2),)))</f>
        <v/>
      </c>
      <c r="J230" s="34" t="str">
        <f t="array" aca="1" ref="J230" ca="1">IF(ISERROR(OFFSET(#REF!,SMALL(IF(#REF!=RM시즌체크판!C230,ROW(#REF!)-20),3),)),"",(OFFSET(#REF!,SMALL(IF(#REF!=RM시즌체크판!C230,ROW(#REF!)-20),3),)))</f>
        <v/>
      </c>
      <c r="K230" s="34" t="str">
        <f t="array" aca="1" ref="K230" ca="1">IF(ISERROR(OFFSET(#REF!,SMALL(IF(#REF!=RM시즌체크판!C230,ROW(#REF!)-20),4),)),"",(OFFSET(#REF!,SMALL(IF(#REF!=RM시즌체크판!C230,ROW(#REF!)-20),4),)))</f>
        <v/>
      </c>
      <c r="L230" s="34" t="str">
        <f t="array" aca="1" ref="L230" ca="1">IF(ISERROR(OFFSET(#REF!,SMALL(IF(#REF!=RM시즌체크판!C230,ROW(#REF!)-20),5),)),"",(OFFSET(#REF!,SMALL(IF(#REF!=RM시즌체크판!C230,ROW(#REF!)-20),5),)))</f>
        <v/>
      </c>
      <c r="M230" s="35" t="str">
        <f t="array" aca="1" ref="M230" ca="1">IF(ISERROR(OFFSET(#REF!,SMALL(IF(#REF!=RM시즌체크판!C230,ROW(#REF!)-20),6),)),"",(OFFSET(#REF!,SMALL(IF(#REF!=RM시즌체크판!C230,ROW(#REF!)-20),6),)))</f>
        <v/>
      </c>
      <c r="N230" s="27" t="str">
        <f>IF(ISERROR(VLOOKUP(C230,모델촬영리스트!$C:$E,3,)),"",(VLOOKUP(C230,모델촬영리스트!$C:$E,3,)))</f>
        <v/>
      </c>
      <c r="O230" s="23" t="str">
        <f>IF(ISERROR(VLOOKUP(C230,배너촬영리스트!$C:$E,3,)),"",(VLOOKUP(C230,배너촬영리스트!$C:$E,3,)))</f>
        <v/>
      </c>
      <c r="P230" s="36" t="str">
        <f>IF(ISERROR(VLOOKUP(C230,배너촬영리스트!$C:$E,2,)),"",(VLOOKUP(C230,배너촬영리스트!$C:$E,2,)))</f>
        <v/>
      </c>
    </row>
    <row r="231" spans="2:16">
      <c r="B231" s="20" t="str">
        <f t="shared" si="3"/>
        <v>RM</v>
      </c>
      <c r="C231" s="11" t="s">
        <v>205</v>
      </c>
      <c r="D231" s="12" t="e">
        <f>VLOOKUP(C231,#REF!,2,0)</f>
        <v>#REF!</v>
      </c>
      <c r="E231" s="10" t="e">
        <f>VLOOKUP(C231,#REF!,4,0)</f>
        <v>#REF!</v>
      </c>
      <c r="F231" s="37" t="e">
        <f>VLOOKUP(C231,#REF!,8,0)</f>
        <v>#REF!</v>
      </c>
      <c r="G231" s="22" t="str">
        <f>IF(ISERROR(IF(VLOOKUP(C231,#REF!,2,0)&gt;0,"등록","")),"",(IF(VLOOKUP(C231,#REF!,2,0)&gt;0,"등록","")))</f>
        <v/>
      </c>
      <c r="H231" s="33" t="str">
        <f t="array" aca="1" ref="H231" ca="1">IF(ISERROR(OFFSET(#REF!,SMALL(IF(#REF!=RM시즌체크판!C231,ROW(#REF!)-20),1),)),"",(OFFSET(#REF!,SMALL(IF(#REF!=RM시즌체크판!C231,ROW(#REF!)-20),1),)))</f>
        <v/>
      </c>
      <c r="I231" s="34" t="str">
        <f t="array" aca="1" ref="I231" ca="1">IF(ISERROR(OFFSET(#REF!,SMALL(IF(#REF!=RM시즌체크판!C231,ROW(#REF!)-20),2),)),"",(OFFSET(#REF!,SMALL(IF(#REF!=RM시즌체크판!C231,ROW(#REF!)-20),2),)))</f>
        <v/>
      </c>
      <c r="J231" s="34" t="str">
        <f t="array" aca="1" ref="J231" ca="1">IF(ISERROR(OFFSET(#REF!,SMALL(IF(#REF!=RM시즌체크판!C231,ROW(#REF!)-20),3),)),"",(OFFSET(#REF!,SMALL(IF(#REF!=RM시즌체크판!C231,ROW(#REF!)-20),3),)))</f>
        <v/>
      </c>
      <c r="K231" s="34" t="str">
        <f t="array" aca="1" ref="K231" ca="1">IF(ISERROR(OFFSET(#REF!,SMALL(IF(#REF!=RM시즌체크판!C231,ROW(#REF!)-20),4),)),"",(OFFSET(#REF!,SMALL(IF(#REF!=RM시즌체크판!C231,ROW(#REF!)-20),4),)))</f>
        <v/>
      </c>
      <c r="L231" s="34" t="str">
        <f t="array" aca="1" ref="L231" ca="1">IF(ISERROR(OFFSET(#REF!,SMALL(IF(#REF!=RM시즌체크판!C231,ROW(#REF!)-20),5),)),"",(OFFSET(#REF!,SMALL(IF(#REF!=RM시즌체크판!C231,ROW(#REF!)-20),5),)))</f>
        <v/>
      </c>
      <c r="M231" s="35" t="str">
        <f t="array" aca="1" ref="M231" ca="1">IF(ISERROR(OFFSET(#REF!,SMALL(IF(#REF!=RM시즌체크판!C231,ROW(#REF!)-20),6),)),"",(OFFSET(#REF!,SMALL(IF(#REF!=RM시즌체크판!C231,ROW(#REF!)-20),6),)))</f>
        <v/>
      </c>
      <c r="N231" s="27" t="str">
        <f>IF(ISERROR(VLOOKUP(C231,모델촬영리스트!$C:$E,3,)),"",(VLOOKUP(C231,모델촬영리스트!$C:$E,3,)))</f>
        <v/>
      </c>
      <c r="O231" s="23" t="str">
        <f>IF(ISERROR(VLOOKUP(C231,배너촬영리스트!$C:$E,3,)),"",(VLOOKUP(C231,배너촬영리스트!$C:$E,3,)))</f>
        <v/>
      </c>
      <c r="P231" s="36" t="str">
        <f>IF(ISERROR(VLOOKUP(C231,배너촬영리스트!$C:$E,2,)),"",(VLOOKUP(C231,배너촬영리스트!$C:$E,2,)))</f>
        <v/>
      </c>
    </row>
    <row r="232" spans="2:16">
      <c r="B232" s="20" t="str">
        <f t="shared" si="3"/>
        <v>RM</v>
      </c>
      <c r="C232" s="11" t="s">
        <v>206</v>
      </c>
      <c r="D232" s="12" t="e">
        <f>VLOOKUP(C232,#REF!,2,0)</f>
        <v>#REF!</v>
      </c>
      <c r="E232" s="10" t="e">
        <f>VLOOKUP(C232,#REF!,4,0)</f>
        <v>#REF!</v>
      </c>
      <c r="F232" s="37" t="e">
        <f>VLOOKUP(C232,#REF!,8,0)</f>
        <v>#REF!</v>
      </c>
      <c r="G232" s="22" t="str">
        <f>IF(ISERROR(IF(VLOOKUP(C232,#REF!,2,0)&gt;0,"등록","")),"",(IF(VLOOKUP(C232,#REF!,2,0)&gt;0,"등록","")))</f>
        <v/>
      </c>
      <c r="H232" s="33" t="str">
        <f t="array" aca="1" ref="H232" ca="1">IF(ISERROR(OFFSET(#REF!,SMALL(IF(#REF!=RM시즌체크판!C232,ROW(#REF!)-20),1),)),"",(OFFSET(#REF!,SMALL(IF(#REF!=RM시즌체크판!C232,ROW(#REF!)-20),1),)))</f>
        <v/>
      </c>
      <c r="I232" s="34" t="str">
        <f t="array" aca="1" ref="I232" ca="1">IF(ISERROR(OFFSET(#REF!,SMALL(IF(#REF!=RM시즌체크판!C232,ROW(#REF!)-20),2),)),"",(OFFSET(#REF!,SMALL(IF(#REF!=RM시즌체크판!C232,ROW(#REF!)-20),2),)))</f>
        <v/>
      </c>
      <c r="J232" s="34" t="str">
        <f t="array" aca="1" ref="J232" ca="1">IF(ISERROR(OFFSET(#REF!,SMALL(IF(#REF!=RM시즌체크판!C232,ROW(#REF!)-20),3),)),"",(OFFSET(#REF!,SMALL(IF(#REF!=RM시즌체크판!C232,ROW(#REF!)-20),3),)))</f>
        <v/>
      </c>
      <c r="K232" s="34" t="str">
        <f t="array" aca="1" ref="K232" ca="1">IF(ISERROR(OFFSET(#REF!,SMALL(IF(#REF!=RM시즌체크판!C232,ROW(#REF!)-20),4),)),"",(OFFSET(#REF!,SMALL(IF(#REF!=RM시즌체크판!C232,ROW(#REF!)-20),4),)))</f>
        <v/>
      </c>
      <c r="L232" s="34" t="str">
        <f t="array" aca="1" ref="L232" ca="1">IF(ISERROR(OFFSET(#REF!,SMALL(IF(#REF!=RM시즌체크판!C232,ROW(#REF!)-20),5),)),"",(OFFSET(#REF!,SMALL(IF(#REF!=RM시즌체크판!C232,ROW(#REF!)-20),5),)))</f>
        <v/>
      </c>
      <c r="M232" s="35" t="str">
        <f t="array" aca="1" ref="M232" ca="1">IF(ISERROR(OFFSET(#REF!,SMALL(IF(#REF!=RM시즌체크판!C232,ROW(#REF!)-20),6),)),"",(OFFSET(#REF!,SMALL(IF(#REF!=RM시즌체크판!C232,ROW(#REF!)-20),6),)))</f>
        <v/>
      </c>
      <c r="N232" s="27" t="str">
        <f>IF(ISERROR(VLOOKUP(C232,모델촬영리스트!$C:$E,3,)),"",(VLOOKUP(C232,모델촬영리스트!$C:$E,3,)))</f>
        <v/>
      </c>
      <c r="O232" s="23" t="str">
        <f>IF(ISERROR(VLOOKUP(C232,배너촬영리스트!$C:$E,3,)),"",(VLOOKUP(C232,배너촬영리스트!$C:$E,3,)))</f>
        <v/>
      </c>
      <c r="P232" s="36" t="str">
        <f>IF(ISERROR(VLOOKUP(C232,배너촬영리스트!$C:$E,2,)),"",(VLOOKUP(C232,배너촬영리스트!$C:$E,2,)))</f>
        <v/>
      </c>
    </row>
    <row r="233" spans="2:16">
      <c r="B233" s="20" t="str">
        <f t="shared" si="3"/>
        <v>RM</v>
      </c>
      <c r="C233" s="11" t="s">
        <v>207</v>
      </c>
      <c r="D233" s="12" t="e">
        <f>VLOOKUP(C233,#REF!,2,0)</f>
        <v>#REF!</v>
      </c>
      <c r="E233" s="10" t="e">
        <f>VLOOKUP(C233,#REF!,4,0)</f>
        <v>#REF!</v>
      </c>
      <c r="F233" s="37" t="e">
        <f>VLOOKUP(C233,#REF!,8,0)</f>
        <v>#REF!</v>
      </c>
      <c r="G233" s="22" t="str">
        <f>IF(ISERROR(IF(VLOOKUP(C233,#REF!,2,0)&gt;0,"등록","")),"",(IF(VLOOKUP(C233,#REF!,2,0)&gt;0,"등록","")))</f>
        <v/>
      </c>
      <c r="H233" s="33" t="str">
        <f t="array" aca="1" ref="H233" ca="1">IF(ISERROR(OFFSET(#REF!,SMALL(IF(#REF!=RM시즌체크판!C233,ROW(#REF!)-20),1),)),"",(OFFSET(#REF!,SMALL(IF(#REF!=RM시즌체크판!C233,ROW(#REF!)-20),1),)))</f>
        <v/>
      </c>
      <c r="I233" s="34" t="str">
        <f t="array" aca="1" ref="I233" ca="1">IF(ISERROR(OFFSET(#REF!,SMALL(IF(#REF!=RM시즌체크판!C233,ROW(#REF!)-20),2),)),"",(OFFSET(#REF!,SMALL(IF(#REF!=RM시즌체크판!C233,ROW(#REF!)-20),2),)))</f>
        <v/>
      </c>
      <c r="J233" s="34" t="str">
        <f t="array" aca="1" ref="J233" ca="1">IF(ISERROR(OFFSET(#REF!,SMALL(IF(#REF!=RM시즌체크판!C233,ROW(#REF!)-20),3),)),"",(OFFSET(#REF!,SMALL(IF(#REF!=RM시즌체크판!C233,ROW(#REF!)-20),3),)))</f>
        <v/>
      </c>
      <c r="K233" s="34" t="str">
        <f t="array" aca="1" ref="K233" ca="1">IF(ISERROR(OFFSET(#REF!,SMALL(IF(#REF!=RM시즌체크판!C233,ROW(#REF!)-20),4),)),"",(OFFSET(#REF!,SMALL(IF(#REF!=RM시즌체크판!C233,ROW(#REF!)-20),4),)))</f>
        <v/>
      </c>
      <c r="L233" s="34" t="str">
        <f t="array" aca="1" ref="L233" ca="1">IF(ISERROR(OFFSET(#REF!,SMALL(IF(#REF!=RM시즌체크판!C233,ROW(#REF!)-20),5),)),"",(OFFSET(#REF!,SMALL(IF(#REF!=RM시즌체크판!C233,ROW(#REF!)-20),5),)))</f>
        <v/>
      </c>
      <c r="M233" s="35" t="str">
        <f t="array" aca="1" ref="M233" ca="1">IF(ISERROR(OFFSET(#REF!,SMALL(IF(#REF!=RM시즌체크판!C233,ROW(#REF!)-20),6),)),"",(OFFSET(#REF!,SMALL(IF(#REF!=RM시즌체크판!C233,ROW(#REF!)-20),6),)))</f>
        <v/>
      </c>
      <c r="N233" s="27" t="str">
        <f>IF(ISERROR(VLOOKUP(C233,모델촬영리스트!$C:$E,3,)),"",(VLOOKUP(C233,모델촬영리스트!$C:$E,3,)))</f>
        <v/>
      </c>
      <c r="O233" s="23" t="str">
        <f>IF(ISERROR(VLOOKUP(C233,배너촬영리스트!$C:$E,3,)),"",(VLOOKUP(C233,배너촬영리스트!$C:$E,3,)))</f>
        <v/>
      </c>
      <c r="P233" s="36" t="str">
        <f>IF(ISERROR(VLOOKUP(C233,배너촬영리스트!$C:$E,2,)),"",(VLOOKUP(C233,배너촬영리스트!$C:$E,2,)))</f>
        <v/>
      </c>
    </row>
    <row r="234" spans="2:16">
      <c r="B234" s="20" t="str">
        <f t="shared" si="3"/>
        <v>RM</v>
      </c>
      <c r="C234" s="11" t="s">
        <v>208</v>
      </c>
      <c r="D234" s="12" t="e">
        <f>VLOOKUP(C234,#REF!,2,0)</f>
        <v>#REF!</v>
      </c>
      <c r="E234" s="10" t="e">
        <f>VLOOKUP(C234,#REF!,4,0)</f>
        <v>#REF!</v>
      </c>
      <c r="F234" s="37" t="e">
        <f>VLOOKUP(C234,#REF!,8,0)</f>
        <v>#REF!</v>
      </c>
      <c r="G234" s="22" t="str">
        <f>IF(ISERROR(IF(VLOOKUP(C234,#REF!,2,0)&gt;0,"등록","")),"",(IF(VLOOKUP(C234,#REF!,2,0)&gt;0,"등록","")))</f>
        <v/>
      </c>
      <c r="H234" s="33" t="str">
        <f t="array" aca="1" ref="H234" ca="1">IF(ISERROR(OFFSET(#REF!,SMALL(IF(#REF!=RM시즌체크판!C234,ROW(#REF!)-20),1),)),"",(OFFSET(#REF!,SMALL(IF(#REF!=RM시즌체크판!C234,ROW(#REF!)-20),1),)))</f>
        <v/>
      </c>
      <c r="I234" s="34" t="str">
        <f t="array" aca="1" ref="I234" ca="1">IF(ISERROR(OFFSET(#REF!,SMALL(IF(#REF!=RM시즌체크판!C234,ROW(#REF!)-20),2),)),"",(OFFSET(#REF!,SMALL(IF(#REF!=RM시즌체크판!C234,ROW(#REF!)-20),2),)))</f>
        <v/>
      </c>
      <c r="J234" s="34" t="str">
        <f t="array" aca="1" ref="J234" ca="1">IF(ISERROR(OFFSET(#REF!,SMALL(IF(#REF!=RM시즌체크판!C234,ROW(#REF!)-20),3),)),"",(OFFSET(#REF!,SMALL(IF(#REF!=RM시즌체크판!C234,ROW(#REF!)-20),3),)))</f>
        <v/>
      </c>
      <c r="K234" s="34" t="str">
        <f t="array" aca="1" ref="K234" ca="1">IF(ISERROR(OFFSET(#REF!,SMALL(IF(#REF!=RM시즌체크판!C234,ROW(#REF!)-20),4),)),"",(OFFSET(#REF!,SMALL(IF(#REF!=RM시즌체크판!C234,ROW(#REF!)-20),4),)))</f>
        <v/>
      </c>
      <c r="L234" s="34" t="str">
        <f t="array" aca="1" ref="L234" ca="1">IF(ISERROR(OFFSET(#REF!,SMALL(IF(#REF!=RM시즌체크판!C234,ROW(#REF!)-20),5),)),"",(OFFSET(#REF!,SMALL(IF(#REF!=RM시즌체크판!C234,ROW(#REF!)-20),5),)))</f>
        <v/>
      </c>
      <c r="M234" s="35" t="str">
        <f t="array" aca="1" ref="M234" ca="1">IF(ISERROR(OFFSET(#REF!,SMALL(IF(#REF!=RM시즌체크판!C234,ROW(#REF!)-20),6),)),"",(OFFSET(#REF!,SMALL(IF(#REF!=RM시즌체크판!C234,ROW(#REF!)-20),6),)))</f>
        <v/>
      </c>
      <c r="N234" s="27" t="str">
        <f>IF(ISERROR(VLOOKUP(C234,모델촬영리스트!$C:$E,3,)),"",(VLOOKUP(C234,모델촬영리스트!$C:$E,3,)))</f>
        <v/>
      </c>
      <c r="O234" s="23" t="str">
        <f>IF(ISERROR(VLOOKUP(C234,배너촬영리스트!$C:$E,3,)),"",(VLOOKUP(C234,배너촬영리스트!$C:$E,3,)))</f>
        <v/>
      </c>
      <c r="P234" s="36" t="str">
        <f>IF(ISERROR(VLOOKUP(C234,배너촬영리스트!$C:$E,2,)),"",(VLOOKUP(C234,배너촬영리스트!$C:$E,2,)))</f>
        <v/>
      </c>
    </row>
    <row r="235" spans="2:16">
      <c r="B235" s="20" t="str">
        <f t="shared" si="3"/>
        <v>RM</v>
      </c>
      <c r="C235" s="11" t="s">
        <v>209</v>
      </c>
      <c r="D235" s="12" t="e">
        <f>VLOOKUP(C235,#REF!,2,0)</f>
        <v>#REF!</v>
      </c>
      <c r="E235" s="10" t="e">
        <f>VLOOKUP(C235,#REF!,4,0)</f>
        <v>#REF!</v>
      </c>
      <c r="F235" s="37" t="e">
        <f>VLOOKUP(C235,#REF!,8,0)</f>
        <v>#REF!</v>
      </c>
      <c r="G235" s="22" t="str">
        <f>IF(ISERROR(IF(VLOOKUP(C235,#REF!,2,0)&gt;0,"등록","")),"",(IF(VLOOKUP(C235,#REF!,2,0)&gt;0,"등록","")))</f>
        <v/>
      </c>
      <c r="H235" s="33" t="str">
        <f t="array" aca="1" ref="H235" ca="1">IF(ISERROR(OFFSET(#REF!,SMALL(IF(#REF!=RM시즌체크판!C235,ROW(#REF!)-20),1),)),"",(OFFSET(#REF!,SMALL(IF(#REF!=RM시즌체크판!C235,ROW(#REF!)-20),1),)))</f>
        <v/>
      </c>
      <c r="I235" s="34" t="str">
        <f t="array" aca="1" ref="I235" ca="1">IF(ISERROR(OFFSET(#REF!,SMALL(IF(#REF!=RM시즌체크판!C235,ROW(#REF!)-20),2),)),"",(OFFSET(#REF!,SMALL(IF(#REF!=RM시즌체크판!C235,ROW(#REF!)-20),2),)))</f>
        <v/>
      </c>
      <c r="J235" s="34" t="str">
        <f t="array" aca="1" ref="J235" ca="1">IF(ISERROR(OFFSET(#REF!,SMALL(IF(#REF!=RM시즌체크판!C235,ROW(#REF!)-20),3),)),"",(OFFSET(#REF!,SMALL(IF(#REF!=RM시즌체크판!C235,ROW(#REF!)-20),3),)))</f>
        <v/>
      </c>
      <c r="K235" s="34" t="str">
        <f t="array" aca="1" ref="K235" ca="1">IF(ISERROR(OFFSET(#REF!,SMALL(IF(#REF!=RM시즌체크판!C235,ROW(#REF!)-20),4),)),"",(OFFSET(#REF!,SMALL(IF(#REF!=RM시즌체크판!C235,ROW(#REF!)-20),4),)))</f>
        <v/>
      </c>
      <c r="L235" s="34" t="str">
        <f t="array" aca="1" ref="L235" ca="1">IF(ISERROR(OFFSET(#REF!,SMALL(IF(#REF!=RM시즌체크판!C235,ROW(#REF!)-20),5),)),"",(OFFSET(#REF!,SMALL(IF(#REF!=RM시즌체크판!C235,ROW(#REF!)-20),5),)))</f>
        <v/>
      </c>
      <c r="M235" s="35" t="str">
        <f t="array" aca="1" ref="M235" ca="1">IF(ISERROR(OFFSET(#REF!,SMALL(IF(#REF!=RM시즌체크판!C235,ROW(#REF!)-20),6),)),"",(OFFSET(#REF!,SMALL(IF(#REF!=RM시즌체크판!C235,ROW(#REF!)-20),6),)))</f>
        <v/>
      </c>
      <c r="N235" s="27" t="str">
        <f>IF(ISERROR(VLOOKUP(C235,모델촬영리스트!$C:$E,3,)),"",(VLOOKUP(C235,모델촬영리스트!$C:$E,3,)))</f>
        <v/>
      </c>
      <c r="O235" s="23" t="str">
        <f>IF(ISERROR(VLOOKUP(C235,배너촬영리스트!$C:$E,3,)),"",(VLOOKUP(C235,배너촬영리스트!$C:$E,3,)))</f>
        <v/>
      </c>
      <c r="P235" s="36" t="str">
        <f>IF(ISERROR(VLOOKUP(C235,배너촬영리스트!$C:$E,2,)),"",(VLOOKUP(C235,배너촬영리스트!$C:$E,2,)))</f>
        <v/>
      </c>
    </row>
    <row r="236" spans="2:16">
      <c r="B236" s="20" t="str">
        <f t="shared" si="3"/>
        <v>RM</v>
      </c>
      <c r="C236" s="11" t="s">
        <v>210</v>
      </c>
      <c r="D236" s="12" t="e">
        <f>VLOOKUP(C236,#REF!,2,0)</f>
        <v>#REF!</v>
      </c>
      <c r="E236" s="10" t="e">
        <f>VLOOKUP(C236,#REF!,4,0)</f>
        <v>#REF!</v>
      </c>
      <c r="F236" s="37" t="e">
        <f>VLOOKUP(C236,#REF!,8,0)</f>
        <v>#REF!</v>
      </c>
      <c r="G236" s="22" t="str">
        <f>IF(ISERROR(IF(VLOOKUP(C236,#REF!,2,0)&gt;0,"등록","")),"",(IF(VLOOKUP(C236,#REF!,2,0)&gt;0,"등록","")))</f>
        <v/>
      </c>
      <c r="H236" s="33" t="str">
        <f t="array" aca="1" ref="H236" ca="1">IF(ISERROR(OFFSET(#REF!,SMALL(IF(#REF!=RM시즌체크판!C236,ROW(#REF!)-20),1),)),"",(OFFSET(#REF!,SMALL(IF(#REF!=RM시즌체크판!C236,ROW(#REF!)-20),1),)))</f>
        <v/>
      </c>
      <c r="I236" s="34" t="str">
        <f t="array" aca="1" ref="I236" ca="1">IF(ISERROR(OFFSET(#REF!,SMALL(IF(#REF!=RM시즌체크판!C236,ROW(#REF!)-20),2),)),"",(OFFSET(#REF!,SMALL(IF(#REF!=RM시즌체크판!C236,ROW(#REF!)-20),2),)))</f>
        <v/>
      </c>
      <c r="J236" s="34" t="str">
        <f t="array" aca="1" ref="J236" ca="1">IF(ISERROR(OFFSET(#REF!,SMALL(IF(#REF!=RM시즌체크판!C236,ROW(#REF!)-20),3),)),"",(OFFSET(#REF!,SMALL(IF(#REF!=RM시즌체크판!C236,ROW(#REF!)-20),3),)))</f>
        <v/>
      </c>
      <c r="K236" s="34" t="str">
        <f t="array" aca="1" ref="K236" ca="1">IF(ISERROR(OFFSET(#REF!,SMALL(IF(#REF!=RM시즌체크판!C236,ROW(#REF!)-20),4),)),"",(OFFSET(#REF!,SMALL(IF(#REF!=RM시즌체크판!C236,ROW(#REF!)-20),4),)))</f>
        <v/>
      </c>
      <c r="L236" s="34" t="str">
        <f t="array" aca="1" ref="L236" ca="1">IF(ISERROR(OFFSET(#REF!,SMALL(IF(#REF!=RM시즌체크판!C236,ROW(#REF!)-20),5),)),"",(OFFSET(#REF!,SMALL(IF(#REF!=RM시즌체크판!C236,ROW(#REF!)-20),5),)))</f>
        <v/>
      </c>
      <c r="M236" s="35" t="str">
        <f t="array" aca="1" ref="M236" ca="1">IF(ISERROR(OFFSET(#REF!,SMALL(IF(#REF!=RM시즌체크판!C236,ROW(#REF!)-20),6),)),"",(OFFSET(#REF!,SMALL(IF(#REF!=RM시즌체크판!C236,ROW(#REF!)-20),6),)))</f>
        <v/>
      </c>
      <c r="N236" s="27" t="str">
        <f>IF(ISERROR(VLOOKUP(C236,모델촬영리스트!$C:$E,3,)),"",(VLOOKUP(C236,모델촬영리스트!$C:$E,3,)))</f>
        <v/>
      </c>
      <c r="O236" s="23" t="str">
        <f>IF(ISERROR(VLOOKUP(C236,배너촬영리스트!$C:$E,3,)),"",(VLOOKUP(C236,배너촬영리스트!$C:$E,3,)))</f>
        <v/>
      </c>
      <c r="P236" s="36" t="str">
        <f>IF(ISERROR(VLOOKUP(C236,배너촬영리스트!$C:$E,2,)),"",(VLOOKUP(C236,배너촬영리스트!$C:$E,2,)))</f>
        <v/>
      </c>
    </row>
    <row r="237" spans="2:16">
      <c r="B237" s="20" t="str">
        <f t="shared" si="3"/>
        <v>RM</v>
      </c>
      <c r="C237" s="11" t="s">
        <v>211</v>
      </c>
      <c r="D237" s="12" t="e">
        <f>VLOOKUP(C237,#REF!,2,0)</f>
        <v>#REF!</v>
      </c>
      <c r="E237" s="10" t="e">
        <f>VLOOKUP(C237,#REF!,4,0)</f>
        <v>#REF!</v>
      </c>
      <c r="F237" s="37" t="e">
        <f>VLOOKUP(C237,#REF!,8,0)</f>
        <v>#REF!</v>
      </c>
      <c r="G237" s="22" t="str">
        <f>IF(ISERROR(IF(VLOOKUP(C237,#REF!,2,0)&gt;0,"등록","")),"",(IF(VLOOKUP(C237,#REF!,2,0)&gt;0,"등록","")))</f>
        <v/>
      </c>
      <c r="H237" s="33" t="str">
        <f t="array" aca="1" ref="H237" ca="1">IF(ISERROR(OFFSET(#REF!,SMALL(IF(#REF!=RM시즌체크판!C237,ROW(#REF!)-20),1),)),"",(OFFSET(#REF!,SMALL(IF(#REF!=RM시즌체크판!C237,ROW(#REF!)-20),1),)))</f>
        <v/>
      </c>
      <c r="I237" s="34" t="str">
        <f t="array" aca="1" ref="I237" ca="1">IF(ISERROR(OFFSET(#REF!,SMALL(IF(#REF!=RM시즌체크판!C237,ROW(#REF!)-20),2),)),"",(OFFSET(#REF!,SMALL(IF(#REF!=RM시즌체크판!C237,ROW(#REF!)-20),2),)))</f>
        <v/>
      </c>
      <c r="J237" s="34" t="str">
        <f t="array" aca="1" ref="J237" ca="1">IF(ISERROR(OFFSET(#REF!,SMALL(IF(#REF!=RM시즌체크판!C237,ROW(#REF!)-20),3),)),"",(OFFSET(#REF!,SMALL(IF(#REF!=RM시즌체크판!C237,ROW(#REF!)-20),3),)))</f>
        <v/>
      </c>
      <c r="K237" s="34" t="str">
        <f t="array" aca="1" ref="K237" ca="1">IF(ISERROR(OFFSET(#REF!,SMALL(IF(#REF!=RM시즌체크판!C237,ROW(#REF!)-20),4),)),"",(OFFSET(#REF!,SMALL(IF(#REF!=RM시즌체크판!C237,ROW(#REF!)-20),4),)))</f>
        <v/>
      </c>
      <c r="L237" s="34" t="str">
        <f t="array" aca="1" ref="L237" ca="1">IF(ISERROR(OFFSET(#REF!,SMALL(IF(#REF!=RM시즌체크판!C237,ROW(#REF!)-20),5),)),"",(OFFSET(#REF!,SMALL(IF(#REF!=RM시즌체크판!C237,ROW(#REF!)-20),5),)))</f>
        <v/>
      </c>
      <c r="M237" s="35" t="str">
        <f t="array" aca="1" ref="M237" ca="1">IF(ISERROR(OFFSET(#REF!,SMALL(IF(#REF!=RM시즌체크판!C237,ROW(#REF!)-20),6),)),"",(OFFSET(#REF!,SMALL(IF(#REF!=RM시즌체크판!C237,ROW(#REF!)-20),6),)))</f>
        <v/>
      </c>
      <c r="N237" s="27" t="str">
        <f>IF(ISERROR(VLOOKUP(C237,모델촬영리스트!$C:$E,3,)),"",(VLOOKUP(C237,모델촬영리스트!$C:$E,3,)))</f>
        <v/>
      </c>
      <c r="O237" s="23" t="str">
        <f>IF(ISERROR(VLOOKUP(C237,배너촬영리스트!$C:$E,3,)),"",(VLOOKUP(C237,배너촬영리스트!$C:$E,3,)))</f>
        <v/>
      </c>
      <c r="P237" s="36" t="str">
        <f>IF(ISERROR(VLOOKUP(C237,배너촬영리스트!$C:$E,2,)),"",(VLOOKUP(C237,배너촬영리스트!$C:$E,2,)))</f>
        <v/>
      </c>
    </row>
    <row r="238" spans="2:16">
      <c r="B238" s="20" t="str">
        <f t="shared" si="3"/>
        <v>RM</v>
      </c>
      <c r="C238" s="11" t="s">
        <v>212</v>
      </c>
      <c r="D238" s="12" t="e">
        <f>VLOOKUP(C238,#REF!,2,0)</f>
        <v>#REF!</v>
      </c>
      <c r="E238" s="10" t="e">
        <f>VLOOKUP(C238,#REF!,4,0)</f>
        <v>#REF!</v>
      </c>
      <c r="F238" s="37" t="e">
        <f>VLOOKUP(C238,#REF!,8,0)</f>
        <v>#REF!</v>
      </c>
      <c r="G238" s="22" t="str">
        <f>IF(ISERROR(IF(VLOOKUP(C238,#REF!,2,0)&gt;0,"등록","")),"",(IF(VLOOKUP(C238,#REF!,2,0)&gt;0,"등록","")))</f>
        <v/>
      </c>
      <c r="H238" s="33" t="str">
        <f t="array" aca="1" ref="H238" ca="1">IF(ISERROR(OFFSET(#REF!,SMALL(IF(#REF!=RM시즌체크판!C238,ROW(#REF!)-20),1),)),"",(OFFSET(#REF!,SMALL(IF(#REF!=RM시즌체크판!C238,ROW(#REF!)-20),1),)))</f>
        <v/>
      </c>
      <c r="I238" s="34" t="str">
        <f t="array" aca="1" ref="I238" ca="1">IF(ISERROR(OFFSET(#REF!,SMALL(IF(#REF!=RM시즌체크판!C238,ROW(#REF!)-20),2),)),"",(OFFSET(#REF!,SMALL(IF(#REF!=RM시즌체크판!C238,ROW(#REF!)-20),2),)))</f>
        <v/>
      </c>
      <c r="J238" s="34" t="str">
        <f t="array" aca="1" ref="J238" ca="1">IF(ISERROR(OFFSET(#REF!,SMALL(IF(#REF!=RM시즌체크판!C238,ROW(#REF!)-20),3),)),"",(OFFSET(#REF!,SMALL(IF(#REF!=RM시즌체크판!C238,ROW(#REF!)-20),3),)))</f>
        <v/>
      </c>
      <c r="K238" s="34" t="str">
        <f t="array" aca="1" ref="K238" ca="1">IF(ISERROR(OFFSET(#REF!,SMALL(IF(#REF!=RM시즌체크판!C238,ROW(#REF!)-20),4),)),"",(OFFSET(#REF!,SMALL(IF(#REF!=RM시즌체크판!C238,ROW(#REF!)-20),4),)))</f>
        <v/>
      </c>
      <c r="L238" s="34" t="str">
        <f t="array" aca="1" ref="L238" ca="1">IF(ISERROR(OFFSET(#REF!,SMALL(IF(#REF!=RM시즌체크판!C238,ROW(#REF!)-20),5),)),"",(OFFSET(#REF!,SMALL(IF(#REF!=RM시즌체크판!C238,ROW(#REF!)-20),5),)))</f>
        <v/>
      </c>
      <c r="M238" s="35" t="str">
        <f t="array" aca="1" ref="M238" ca="1">IF(ISERROR(OFFSET(#REF!,SMALL(IF(#REF!=RM시즌체크판!C238,ROW(#REF!)-20),6),)),"",(OFFSET(#REF!,SMALL(IF(#REF!=RM시즌체크판!C238,ROW(#REF!)-20),6),)))</f>
        <v/>
      </c>
      <c r="N238" s="27" t="str">
        <f>IF(ISERROR(VLOOKUP(C238,모델촬영리스트!$C:$E,3,)),"",(VLOOKUP(C238,모델촬영리스트!$C:$E,3,)))</f>
        <v/>
      </c>
      <c r="O238" s="23" t="str">
        <f>IF(ISERROR(VLOOKUP(C238,배너촬영리스트!$C:$E,3,)),"",(VLOOKUP(C238,배너촬영리스트!$C:$E,3,)))</f>
        <v/>
      </c>
      <c r="P238" s="36" t="str">
        <f>IF(ISERROR(VLOOKUP(C238,배너촬영리스트!$C:$E,2,)),"",(VLOOKUP(C238,배너촬영리스트!$C:$E,2,)))</f>
        <v/>
      </c>
    </row>
    <row r="239" spans="2:16">
      <c r="B239" s="20" t="str">
        <f t="shared" si="3"/>
        <v>RM</v>
      </c>
      <c r="C239" s="11" t="s">
        <v>213</v>
      </c>
      <c r="D239" s="12" t="e">
        <f>VLOOKUP(C239,#REF!,2,0)</f>
        <v>#REF!</v>
      </c>
      <c r="E239" s="10" t="e">
        <f>VLOOKUP(C239,#REF!,4,0)</f>
        <v>#REF!</v>
      </c>
      <c r="F239" s="37" t="e">
        <f>VLOOKUP(C239,#REF!,8,0)</f>
        <v>#REF!</v>
      </c>
      <c r="G239" s="22" t="str">
        <f>IF(ISERROR(IF(VLOOKUP(C239,#REF!,2,0)&gt;0,"등록","")),"",(IF(VLOOKUP(C239,#REF!,2,0)&gt;0,"등록","")))</f>
        <v/>
      </c>
      <c r="H239" s="33" t="str">
        <f t="array" aca="1" ref="H239" ca="1">IF(ISERROR(OFFSET(#REF!,SMALL(IF(#REF!=RM시즌체크판!C239,ROW(#REF!)-20),1),)),"",(OFFSET(#REF!,SMALL(IF(#REF!=RM시즌체크판!C239,ROW(#REF!)-20),1),)))</f>
        <v/>
      </c>
      <c r="I239" s="34" t="str">
        <f t="array" aca="1" ref="I239" ca="1">IF(ISERROR(OFFSET(#REF!,SMALL(IF(#REF!=RM시즌체크판!C239,ROW(#REF!)-20),2),)),"",(OFFSET(#REF!,SMALL(IF(#REF!=RM시즌체크판!C239,ROW(#REF!)-20),2),)))</f>
        <v/>
      </c>
      <c r="J239" s="34" t="str">
        <f t="array" aca="1" ref="J239" ca="1">IF(ISERROR(OFFSET(#REF!,SMALL(IF(#REF!=RM시즌체크판!C239,ROW(#REF!)-20),3),)),"",(OFFSET(#REF!,SMALL(IF(#REF!=RM시즌체크판!C239,ROW(#REF!)-20),3),)))</f>
        <v/>
      </c>
      <c r="K239" s="34" t="str">
        <f t="array" aca="1" ref="K239" ca="1">IF(ISERROR(OFFSET(#REF!,SMALL(IF(#REF!=RM시즌체크판!C239,ROW(#REF!)-20),4),)),"",(OFFSET(#REF!,SMALL(IF(#REF!=RM시즌체크판!C239,ROW(#REF!)-20),4),)))</f>
        <v/>
      </c>
      <c r="L239" s="34" t="str">
        <f t="array" aca="1" ref="L239" ca="1">IF(ISERROR(OFFSET(#REF!,SMALL(IF(#REF!=RM시즌체크판!C239,ROW(#REF!)-20),5),)),"",(OFFSET(#REF!,SMALL(IF(#REF!=RM시즌체크판!C239,ROW(#REF!)-20),5),)))</f>
        <v/>
      </c>
      <c r="M239" s="35" t="str">
        <f t="array" aca="1" ref="M239" ca="1">IF(ISERROR(OFFSET(#REF!,SMALL(IF(#REF!=RM시즌체크판!C239,ROW(#REF!)-20),6),)),"",(OFFSET(#REF!,SMALL(IF(#REF!=RM시즌체크판!C239,ROW(#REF!)-20),6),)))</f>
        <v/>
      </c>
      <c r="N239" s="27" t="str">
        <f>IF(ISERROR(VLOOKUP(C239,모델촬영리스트!$C:$E,3,)),"",(VLOOKUP(C239,모델촬영리스트!$C:$E,3,)))</f>
        <v/>
      </c>
      <c r="O239" s="23" t="str">
        <f>IF(ISERROR(VLOOKUP(C239,배너촬영리스트!$C:$E,3,)),"",(VLOOKUP(C239,배너촬영리스트!$C:$E,3,)))</f>
        <v/>
      </c>
      <c r="P239" s="36" t="str">
        <f>IF(ISERROR(VLOOKUP(C239,배너촬영리스트!$C:$E,2,)),"",(VLOOKUP(C239,배너촬영리스트!$C:$E,2,)))</f>
        <v/>
      </c>
    </row>
    <row r="240" spans="2:16">
      <c r="B240" s="20" t="str">
        <f t="shared" si="3"/>
        <v>RM</v>
      </c>
      <c r="C240" s="11" t="s">
        <v>214</v>
      </c>
      <c r="D240" s="12" t="e">
        <f>VLOOKUP(C240,#REF!,2,0)</f>
        <v>#REF!</v>
      </c>
      <c r="E240" s="10" t="e">
        <f>VLOOKUP(C240,#REF!,4,0)</f>
        <v>#REF!</v>
      </c>
      <c r="F240" s="37" t="e">
        <f>VLOOKUP(C240,#REF!,8,0)</f>
        <v>#REF!</v>
      </c>
      <c r="G240" s="22" t="str">
        <f>IF(ISERROR(IF(VLOOKUP(C240,#REF!,2,0)&gt;0,"등록","")),"",(IF(VLOOKUP(C240,#REF!,2,0)&gt;0,"등록","")))</f>
        <v/>
      </c>
      <c r="H240" s="33" t="str">
        <f t="array" aca="1" ref="H240" ca="1">IF(ISERROR(OFFSET(#REF!,SMALL(IF(#REF!=RM시즌체크판!C240,ROW(#REF!)-20),1),)),"",(OFFSET(#REF!,SMALL(IF(#REF!=RM시즌체크판!C240,ROW(#REF!)-20),1),)))</f>
        <v/>
      </c>
      <c r="I240" s="34" t="str">
        <f t="array" aca="1" ref="I240" ca="1">IF(ISERROR(OFFSET(#REF!,SMALL(IF(#REF!=RM시즌체크판!C240,ROW(#REF!)-20),2),)),"",(OFFSET(#REF!,SMALL(IF(#REF!=RM시즌체크판!C240,ROW(#REF!)-20),2),)))</f>
        <v/>
      </c>
      <c r="J240" s="34" t="str">
        <f t="array" aca="1" ref="J240" ca="1">IF(ISERROR(OFFSET(#REF!,SMALL(IF(#REF!=RM시즌체크판!C240,ROW(#REF!)-20),3),)),"",(OFFSET(#REF!,SMALL(IF(#REF!=RM시즌체크판!C240,ROW(#REF!)-20),3),)))</f>
        <v/>
      </c>
      <c r="K240" s="34" t="str">
        <f t="array" aca="1" ref="K240" ca="1">IF(ISERROR(OFFSET(#REF!,SMALL(IF(#REF!=RM시즌체크판!C240,ROW(#REF!)-20),4),)),"",(OFFSET(#REF!,SMALL(IF(#REF!=RM시즌체크판!C240,ROW(#REF!)-20),4),)))</f>
        <v/>
      </c>
      <c r="L240" s="34" t="str">
        <f t="array" aca="1" ref="L240" ca="1">IF(ISERROR(OFFSET(#REF!,SMALL(IF(#REF!=RM시즌체크판!C240,ROW(#REF!)-20),5),)),"",(OFFSET(#REF!,SMALL(IF(#REF!=RM시즌체크판!C240,ROW(#REF!)-20),5),)))</f>
        <v/>
      </c>
      <c r="M240" s="35" t="str">
        <f t="array" aca="1" ref="M240" ca="1">IF(ISERROR(OFFSET(#REF!,SMALL(IF(#REF!=RM시즌체크판!C240,ROW(#REF!)-20),6),)),"",(OFFSET(#REF!,SMALL(IF(#REF!=RM시즌체크판!C240,ROW(#REF!)-20),6),)))</f>
        <v/>
      </c>
      <c r="N240" s="27" t="str">
        <f>IF(ISERROR(VLOOKUP(C240,모델촬영리스트!$C:$E,3,)),"",(VLOOKUP(C240,모델촬영리스트!$C:$E,3,)))</f>
        <v/>
      </c>
      <c r="O240" s="23" t="str">
        <f>IF(ISERROR(VLOOKUP(C240,배너촬영리스트!$C:$E,3,)),"",(VLOOKUP(C240,배너촬영리스트!$C:$E,3,)))</f>
        <v/>
      </c>
      <c r="P240" s="36" t="str">
        <f>IF(ISERROR(VLOOKUP(C240,배너촬영리스트!$C:$E,2,)),"",(VLOOKUP(C240,배너촬영리스트!$C:$E,2,)))</f>
        <v/>
      </c>
    </row>
    <row r="241" spans="2:16">
      <c r="B241" s="20" t="str">
        <f t="shared" si="3"/>
        <v>RM</v>
      </c>
      <c r="C241" s="11" t="s">
        <v>215</v>
      </c>
      <c r="D241" s="12" t="e">
        <f>VLOOKUP(C241,#REF!,2,0)</f>
        <v>#REF!</v>
      </c>
      <c r="E241" s="10" t="e">
        <f>VLOOKUP(C241,#REF!,4,0)</f>
        <v>#REF!</v>
      </c>
      <c r="F241" s="37" t="e">
        <f>VLOOKUP(C241,#REF!,8,0)</f>
        <v>#REF!</v>
      </c>
      <c r="G241" s="22" t="str">
        <f>IF(ISERROR(IF(VLOOKUP(C241,#REF!,2,0)&gt;0,"등록","")),"",(IF(VLOOKUP(C241,#REF!,2,0)&gt;0,"등록","")))</f>
        <v/>
      </c>
      <c r="H241" s="33" t="str">
        <f t="array" aca="1" ref="H241" ca="1">IF(ISERROR(OFFSET(#REF!,SMALL(IF(#REF!=RM시즌체크판!C241,ROW(#REF!)-20),1),)),"",(OFFSET(#REF!,SMALL(IF(#REF!=RM시즌체크판!C241,ROW(#REF!)-20),1),)))</f>
        <v/>
      </c>
      <c r="I241" s="34" t="str">
        <f t="array" aca="1" ref="I241" ca="1">IF(ISERROR(OFFSET(#REF!,SMALL(IF(#REF!=RM시즌체크판!C241,ROW(#REF!)-20),2),)),"",(OFFSET(#REF!,SMALL(IF(#REF!=RM시즌체크판!C241,ROW(#REF!)-20),2),)))</f>
        <v/>
      </c>
      <c r="J241" s="34" t="str">
        <f t="array" aca="1" ref="J241" ca="1">IF(ISERROR(OFFSET(#REF!,SMALL(IF(#REF!=RM시즌체크판!C241,ROW(#REF!)-20),3),)),"",(OFFSET(#REF!,SMALL(IF(#REF!=RM시즌체크판!C241,ROW(#REF!)-20),3),)))</f>
        <v/>
      </c>
      <c r="K241" s="34" t="str">
        <f t="array" aca="1" ref="K241" ca="1">IF(ISERROR(OFFSET(#REF!,SMALL(IF(#REF!=RM시즌체크판!C241,ROW(#REF!)-20),4),)),"",(OFFSET(#REF!,SMALL(IF(#REF!=RM시즌체크판!C241,ROW(#REF!)-20),4),)))</f>
        <v/>
      </c>
      <c r="L241" s="34" t="str">
        <f t="array" aca="1" ref="L241" ca="1">IF(ISERROR(OFFSET(#REF!,SMALL(IF(#REF!=RM시즌체크판!C241,ROW(#REF!)-20),5),)),"",(OFFSET(#REF!,SMALL(IF(#REF!=RM시즌체크판!C241,ROW(#REF!)-20),5),)))</f>
        <v/>
      </c>
      <c r="M241" s="35" t="str">
        <f t="array" aca="1" ref="M241" ca="1">IF(ISERROR(OFFSET(#REF!,SMALL(IF(#REF!=RM시즌체크판!C241,ROW(#REF!)-20),6),)),"",(OFFSET(#REF!,SMALL(IF(#REF!=RM시즌체크판!C241,ROW(#REF!)-20),6),)))</f>
        <v/>
      </c>
      <c r="N241" s="27" t="str">
        <f>IF(ISERROR(VLOOKUP(C241,모델촬영리스트!$C:$E,3,)),"",(VLOOKUP(C241,모델촬영리스트!$C:$E,3,)))</f>
        <v/>
      </c>
      <c r="O241" s="23" t="str">
        <f>IF(ISERROR(VLOOKUP(C241,배너촬영리스트!$C:$E,3,)),"",(VLOOKUP(C241,배너촬영리스트!$C:$E,3,)))</f>
        <v/>
      </c>
      <c r="P241" s="36" t="str">
        <f>IF(ISERROR(VLOOKUP(C241,배너촬영리스트!$C:$E,2,)),"",(VLOOKUP(C241,배너촬영리스트!$C:$E,2,)))</f>
        <v/>
      </c>
    </row>
    <row r="242" spans="2:16">
      <c r="B242" s="20" t="str">
        <f t="shared" ref="B242:B305" si="4">MID(C242,1,2)</f>
        <v>RM</v>
      </c>
      <c r="C242" s="11" t="s">
        <v>216</v>
      </c>
      <c r="D242" s="12" t="e">
        <f>VLOOKUP(C242,#REF!,2,0)</f>
        <v>#REF!</v>
      </c>
      <c r="E242" s="10" t="e">
        <f>VLOOKUP(C242,#REF!,4,0)</f>
        <v>#REF!</v>
      </c>
      <c r="F242" s="37" t="e">
        <f>VLOOKUP(C242,#REF!,8,0)</f>
        <v>#REF!</v>
      </c>
      <c r="G242" s="22" t="str">
        <f>IF(ISERROR(IF(VLOOKUP(C242,#REF!,2,0)&gt;0,"등록","")),"",(IF(VLOOKUP(C242,#REF!,2,0)&gt;0,"등록","")))</f>
        <v/>
      </c>
      <c r="H242" s="33" t="str">
        <f t="array" aca="1" ref="H242" ca="1">IF(ISERROR(OFFSET(#REF!,SMALL(IF(#REF!=RM시즌체크판!C242,ROW(#REF!)-20),1),)),"",(OFFSET(#REF!,SMALL(IF(#REF!=RM시즌체크판!C242,ROW(#REF!)-20),1),)))</f>
        <v/>
      </c>
      <c r="I242" s="34" t="str">
        <f t="array" aca="1" ref="I242" ca="1">IF(ISERROR(OFFSET(#REF!,SMALL(IF(#REF!=RM시즌체크판!C242,ROW(#REF!)-20),2),)),"",(OFFSET(#REF!,SMALL(IF(#REF!=RM시즌체크판!C242,ROW(#REF!)-20),2),)))</f>
        <v/>
      </c>
      <c r="J242" s="34" t="str">
        <f t="array" aca="1" ref="J242" ca="1">IF(ISERROR(OFFSET(#REF!,SMALL(IF(#REF!=RM시즌체크판!C242,ROW(#REF!)-20),3),)),"",(OFFSET(#REF!,SMALL(IF(#REF!=RM시즌체크판!C242,ROW(#REF!)-20),3),)))</f>
        <v/>
      </c>
      <c r="K242" s="34" t="str">
        <f t="array" aca="1" ref="K242" ca="1">IF(ISERROR(OFFSET(#REF!,SMALL(IF(#REF!=RM시즌체크판!C242,ROW(#REF!)-20),4),)),"",(OFFSET(#REF!,SMALL(IF(#REF!=RM시즌체크판!C242,ROW(#REF!)-20),4),)))</f>
        <v/>
      </c>
      <c r="L242" s="34" t="str">
        <f t="array" aca="1" ref="L242" ca="1">IF(ISERROR(OFFSET(#REF!,SMALL(IF(#REF!=RM시즌체크판!C242,ROW(#REF!)-20),5),)),"",(OFFSET(#REF!,SMALL(IF(#REF!=RM시즌체크판!C242,ROW(#REF!)-20),5),)))</f>
        <v/>
      </c>
      <c r="M242" s="35" t="str">
        <f t="array" aca="1" ref="M242" ca="1">IF(ISERROR(OFFSET(#REF!,SMALL(IF(#REF!=RM시즌체크판!C242,ROW(#REF!)-20),6),)),"",(OFFSET(#REF!,SMALL(IF(#REF!=RM시즌체크판!C242,ROW(#REF!)-20),6),)))</f>
        <v/>
      </c>
      <c r="N242" s="27" t="str">
        <f>IF(ISERROR(VLOOKUP(C242,모델촬영리스트!$C:$E,3,)),"",(VLOOKUP(C242,모델촬영리스트!$C:$E,3,)))</f>
        <v/>
      </c>
      <c r="O242" s="23" t="str">
        <f>IF(ISERROR(VLOOKUP(C242,배너촬영리스트!$C:$E,3,)),"",(VLOOKUP(C242,배너촬영리스트!$C:$E,3,)))</f>
        <v/>
      </c>
      <c r="P242" s="36" t="str">
        <f>IF(ISERROR(VLOOKUP(C242,배너촬영리스트!$C:$E,2,)),"",(VLOOKUP(C242,배너촬영리스트!$C:$E,2,)))</f>
        <v/>
      </c>
    </row>
    <row r="243" spans="2:16">
      <c r="B243" s="20" t="str">
        <f t="shared" si="4"/>
        <v>RM</v>
      </c>
      <c r="C243" s="11" t="s">
        <v>217</v>
      </c>
      <c r="D243" s="12" t="e">
        <f>VLOOKUP(C243,#REF!,2,0)</f>
        <v>#REF!</v>
      </c>
      <c r="E243" s="10" t="e">
        <f>VLOOKUP(C243,#REF!,4,0)</f>
        <v>#REF!</v>
      </c>
      <c r="F243" s="37" t="e">
        <f>VLOOKUP(C243,#REF!,8,0)</f>
        <v>#REF!</v>
      </c>
      <c r="G243" s="22" t="str">
        <f>IF(ISERROR(IF(VLOOKUP(C243,#REF!,2,0)&gt;0,"등록","")),"",(IF(VLOOKUP(C243,#REF!,2,0)&gt;0,"등록","")))</f>
        <v/>
      </c>
      <c r="H243" s="33" t="str">
        <f t="array" aca="1" ref="H243" ca="1">IF(ISERROR(OFFSET(#REF!,SMALL(IF(#REF!=RM시즌체크판!C243,ROW(#REF!)-20),1),)),"",(OFFSET(#REF!,SMALL(IF(#REF!=RM시즌체크판!C243,ROW(#REF!)-20),1),)))</f>
        <v/>
      </c>
      <c r="I243" s="34" t="str">
        <f t="array" aca="1" ref="I243" ca="1">IF(ISERROR(OFFSET(#REF!,SMALL(IF(#REF!=RM시즌체크판!C243,ROW(#REF!)-20),2),)),"",(OFFSET(#REF!,SMALL(IF(#REF!=RM시즌체크판!C243,ROW(#REF!)-20),2),)))</f>
        <v/>
      </c>
      <c r="J243" s="34" t="str">
        <f t="array" aca="1" ref="J243" ca="1">IF(ISERROR(OFFSET(#REF!,SMALL(IF(#REF!=RM시즌체크판!C243,ROW(#REF!)-20),3),)),"",(OFFSET(#REF!,SMALL(IF(#REF!=RM시즌체크판!C243,ROW(#REF!)-20),3),)))</f>
        <v/>
      </c>
      <c r="K243" s="34" t="str">
        <f t="array" aca="1" ref="K243" ca="1">IF(ISERROR(OFFSET(#REF!,SMALL(IF(#REF!=RM시즌체크판!C243,ROW(#REF!)-20),4),)),"",(OFFSET(#REF!,SMALL(IF(#REF!=RM시즌체크판!C243,ROW(#REF!)-20),4),)))</f>
        <v/>
      </c>
      <c r="L243" s="34" t="str">
        <f t="array" aca="1" ref="L243" ca="1">IF(ISERROR(OFFSET(#REF!,SMALL(IF(#REF!=RM시즌체크판!C243,ROW(#REF!)-20),5),)),"",(OFFSET(#REF!,SMALL(IF(#REF!=RM시즌체크판!C243,ROW(#REF!)-20),5),)))</f>
        <v/>
      </c>
      <c r="M243" s="35" t="str">
        <f t="array" aca="1" ref="M243" ca="1">IF(ISERROR(OFFSET(#REF!,SMALL(IF(#REF!=RM시즌체크판!C243,ROW(#REF!)-20),6),)),"",(OFFSET(#REF!,SMALL(IF(#REF!=RM시즌체크판!C243,ROW(#REF!)-20),6),)))</f>
        <v/>
      </c>
      <c r="N243" s="27" t="str">
        <f>IF(ISERROR(VLOOKUP(C243,모델촬영리스트!$C:$E,3,)),"",(VLOOKUP(C243,모델촬영리스트!$C:$E,3,)))</f>
        <v/>
      </c>
      <c r="O243" s="23" t="str">
        <f>IF(ISERROR(VLOOKUP(C243,배너촬영리스트!$C:$E,3,)),"",(VLOOKUP(C243,배너촬영리스트!$C:$E,3,)))</f>
        <v/>
      </c>
      <c r="P243" s="36" t="str">
        <f>IF(ISERROR(VLOOKUP(C243,배너촬영리스트!$C:$E,2,)),"",(VLOOKUP(C243,배너촬영리스트!$C:$E,2,)))</f>
        <v/>
      </c>
    </row>
    <row r="244" spans="2:16">
      <c r="B244" s="20" t="str">
        <f t="shared" si="4"/>
        <v>RM</v>
      </c>
      <c r="C244" s="11" t="s">
        <v>218</v>
      </c>
      <c r="D244" s="12" t="e">
        <f>VLOOKUP(C244,#REF!,2,0)</f>
        <v>#REF!</v>
      </c>
      <c r="E244" s="10" t="e">
        <f>VLOOKUP(C244,#REF!,4,0)</f>
        <v>#REF!</v>
      </c>
      <c r="F244" s="37" t="e">
        <f>VLOOKUP(C244,#REF!,8,0)</f>
        <v>#REF!</v>
      </c>
      <c r="G244" s="22" t="str">
        <f>IF(ISERROR(IF(VLOOKUP(C244,#REF!,2,0)&gt;0,"등록","")),"",(IF(VLOOKUP(C244,#REF!,2,0)&gt;0,"등록","")))</f>
        <v/>
      </c>
      <c r="H244" s="33" t="str">
        <f t="array" aca="1" ref="H244" ca="1">IF(ISERROR(OFFSET(#REF!,SMALL(IF(#REF!=RM시즌체크판!C244,ROW(#REF!)-20),1),)),"",(OFFSET(#REF!,SMALL(IF(#REF!=RM시즌체크판!C244,ROW(#REF!)-20),1),)))</f>
        <v/>
      </c>
      <c r="I244" s="34" t="str">
        <f t="array" aca="1" ref="I244" ca="1">IF(ISERROR(OFFSET(#REF!,SMALL(IF(#REF!=RM시즌체크판!C244,ROW(#REF!)-20),2),)),"",(OFFSET(#REF!,SMALL(IF(#REF!=RM시즌체크판!C244,ROW(#REF!)-20),2),)))</f>
        <v/>
      </c>
      <c r="J244" s="34" t="str">
        <f t="array" aca="1" ref="J244" ca="1">IF(ISERROR(OFFSET(#REF!,SMALL(IF(#REF!=RM시즌체크판!C244,ROW(#REF!)-20),3),)),"",(OFFSET(#REF!,SMALL(IF(#REF!=RM시즌체크판!C244,ROW(#REF!)-20),3),)))</f>
        <v/>
      </c>
      <c r="K244" s="34" t="str">
        <f t="array" aca="1" ref="K244" ca="1">IF(ISERROR(OFFSET(#REF!,SMALL(IF(#REF!=RM시즌체크판!C244,ROW(#REF!)-20),4),)),"",(OFFSET(#REF!,SMALL(IF(#REF!=RM시즌체크판!C244,ROW(#REF!)-20),4),)))</f>
        <v/>
      </c>
      <c r="L244" s="34" t="str">
        <f t="array" aca="1" ref="L244" ca="1">IF(ISERROR(OFFSET(#REF!,SMALL(IF(#REF!=RM시즌체크판!C244,ROW(#REF!)-20),5),)),"",(OFFSET(#REF!,SMALL(IF(#REF!=RM시즌체크판!C244,ROW(#REF!)-20),5),)))</f>
        <v/>
      </c>
      <c r="M244" s="35" t="str">
        <f t="array" aca="1" ref="M244" ca="1">IF(ISERROR(OFFSET(#REF!,SMALL(IF(#REF!=RM시즌체크판!C244,ROW(#REF!)-20),6),)),"",(OFFSET(#REF!,SMALL(IF(#REF!=RM시즌체크판!C244,ROW(#REF!)-20),6),)))</f>
        <v/>
      </c>
      <c r="N244" s="27" t="str">
        <f>IF(ISERROR(VLOOKUP(C244,모델촬영리스트!$C:$E,3,)),"",(VLOOKUP(C244,모델촬영리스트!$C:$E,3,)))</f>
        <v/>
      </c>
      <c r="O244" s="23" t="str">
        <f>IF(ISERROR(VLOOKUP(C244,배너촬영리스트!$C:$E,3,)),"",(VLOOKUP(C244,배너촬영리스트!$C:$E,3,)))</f>
        <v/>
      </c>
      <c r="P244" s="36" t="str">
        <f>IF(ISERROR(VLOOKUP(C244,배너촬영리스트!$C:$E,2,)),"",(VLOOKUP(C244,배너촬영리스트!$C:$E,2,)))</f>
        <v/>
      </c>
    </row>
    <row r="245" spans="2:16">
      <c r="B245" s="20" t="str">
        <f t="shared" si="4"/>
        <v>RM</v>
      </c>
      <c r="C245" s="11" t="s">
        <v>219</v>
      </c>
      <c r="D245" s="12" t="e">
        <f>VLOOKUP(C245,#REF!,2,0)</f>
        <v>#REF!</v>
      </c>
      <c r="E245" s="10" t="e">
        <f>VLOOKUP(C245,#REF!,4,0)</f>
        <v>#REF!</v>
      </c>
      <c r="F245" s="37" t="e">
        <f>VLOOKUP(C245,#REF!,8,0)</f>
        <v>#REF!</v>
      </c>
      <c r="G245" s="22" t="str">
        <f>IF(ISERROR(IF(VLOOKUP(C245,#REF!,2,0)&gt;0,"등록","")),"",(IF(VLOOKUP(C245,#REF!,2,0)&gt;0,"등록","")))</f>
        <v/>
      </c>
      <c r="H245" s="33" t="str">
        <f t="array" aca="1" ref="H245" ca="1">IF(ISERROR(OFFSET(#REF!,SMALL(IF(#REF!=RM시즌체크판!C245,ROW(#REF!)-20),1),)),"",(OFFSET(#REF!,SMALL(IF(#REF!=RM시즌체크판!C245,ROW(#REF!)-20),1),)))</f>
        <v/>
      </c>
      <c r="I245" s="34" t="str">
        <f t="array" aca="1" ref="I245" ca="1">IF(ISERROR(OFFSET(#REF!,SMALL(IF(#REF!=RM시즌체크판!C245,ROW(#REF!)-20),2),)),"",(OFFSET(#REF!,SMALL(IF(#REF!=RM시즌체크판!C245,ROW(#REF!)-20),2),)))</f>
        <v/>
      </c>
      <c r="J245" s="34" t="str">
        <f t="array" aca="1" ref="J245" ca="1">IF(ISERROR(OFFSET(#REF!,SMALL(IF(#REF!=RM시즌체크판!C245,ROW(#REF!)-20),3),)),"",(OFFSET(#REF!,SMALL(IF(#REF!=RM시즌체크판!C245,ROW(#REF!)-20),3),)))</f>
        <v/>
      </c>
      <c r="K245" s="34" t="str">
        <f t="array" aca="1" ref="K245" ca="1">IF(ISERROR(OFFSET(#REF!,SMALL(IF(#REF!=RM시즌체크판!C245,ROW(#REF!)-20),4),)),"",(OFFSET(#REF!,SMALL(IF(#REF!=RM시즌체크판!C245,ROW(#REF!)-20),4),)))</f>
        <v/>
      </c>
      <c r="L245" s="34" t="str">
        <f t="array" aca="1" ref="L245" ca="1">IF(ISERROR(OFFSET(#REF!,SMALL(IF(#REF!=RM시즌체크판!C245,ROW(#REF!)-20),5),)),"",(OFFSET(#REF!,SMALL(IF(#REF!=RM시즌체크판!C245,ROW(#REF!)-20),5),)))</f>
        <v/>
      </c>
      <c r="M245" s="35" t="str">
        <f t="array" aca="1" ref="M245" ca="1">IF(ISERROR(OFFSET(#REF!,SMALL(IF(#REF!=RM시즌체크판!C245,ROW(#REF!)-20),6),)),"",(OFFSET(#REF!,SMALL(IF(#REF!=RM시즌체크판!C245,ROW(#REF!)-20),6),)))</f>
        <v/>
      </c>
      <c r="N245" s="27" t="str">
        <f>IF(ISERROR(VLOOKUP(C245,모델촬영리스트!$C:$E,3,)),"",(VLOOKUP(C245,모델촬영리스트!$C:$E,3,)))</f>
        <v/>
      </c>
      <c r="O245" s="23" t="str">
        <f>IF(ISERROR(VLOOKUP(C245,배너촬영리스트!$C:$E,3,)),"",(VLOOKUP(C245,배너촬영리스트!$C:$E,3,)))</f>
        <v/>
      </c>
      <c r="P245" s="36" t="str">
        <f>IF(ISERROR(VLOOKUP(C245,배너촬영리스트!$C:$E,2,)),"",(VLOOKUP(C245,배너촬영리스트!$C:$E,2,)))</f>
        <v/>
      </c>
    </row>
    <row r="246" spans="2:16">
      <c r="B246" s="20" t="str">
        <f t="shared" si="4"/>
        <v>RM</v>
      </c>
      <c r="C246" s="11" t="s">
        <v>220</v>
      </c>
      <c r="D246" s="12" t="e">
        <f>VLOOKUP(C246,#REF!,2,0)</f>
        <v>#REF!</v>
      </c>
      <c r="E246" s="10" t="e">
        <f>VLOOKUP(C246,#REF!,4,0)</f>
        <v>#REF!</v>
      </c>
      <c r="F246" s="37" t="e">
        <f>VLOOKUP(C246,#REF!,8,0)</f>
        <v>#REF!</v>
      </c>
      <c r="G246" s="22" t="str">
        <f>IF(ISERROR(IF(VLOOKUP(C246,#REF!,2,0)&gt;0,"등록","")),"",(IF(VLOOKUP(C246,#REF!,2,0)&gt;0,"등록","")))</f>
        <v/>
      </c>
      <c r="H246" s="33" t="str">
        <f t="array" aca="1" ref="H246" ca="1">IF(ISERROR(OFFSET(#REF!,SMALL(IF(#REF!=RM시즌체크판!C246,ROW(#REF!)-20),1),)),"",(OFFSET(#REF!,SMALL(IF(#REF!=RM시즌체크판!C246,ROW(#REF!)-20),1),)))</f>
        <v/>
      </c>
      <c r="I246" s="34" t="str">
        <f t="array" aca="1" ref="I246" ca="1">IF(ISERROR(OFFSET(#REF!,SMALL(IF(#REF!=RM시즌체크판!C246,ROW(#REF!)-20),2),)),"",(OFFSET(#REF!,SMALL(IF(#REF!=RM시즌체크판!C246,ROW(#REF!)-20),2),)))</f>
        <v/>
      </c>
      <c r="J246" s="34" t="str">
        <f t="array" aca="1" ref="J246" ca="1">IF(ISERROR(OFFSET(#REF!,SMALL(IF(#REF!=RM시즌체크판!C246,ROW(#REF!)-20),3),)),"",(OFFSET(#REF!,SMALL(IF(#REF!=RM시즌체크판!C246,ROW(#REF!)-20),3),)))</f>
        <v/>
      </c>
      <c r="K246" s="34" t="str">
        <f t="array" aca="1" ref="K246" ca="1">IF(ISERROR(OFFSET(#REF!,SMALL(IF(#REF!=RM시즌체크판!C246,ROW(#REF!)-20),4),)),"",(OFFSET(#REF!,SMALL(IF(#REF!=RM시즌체크판!C246,ROW(#REF!)-20),4),)))</f>
        <v/>
      </c>
      <c r="L246" s="34" t="str">
        <f t="array" aca="1" ref="L246" ca="1">IF(ISERROR(OFFSET(#REF!,SMALL(IF(#REF!=RM시즌체크판!C246,ROW(#REF!)-20),5),)),"",(OFFSET(#REF!,SMALL(IF(#REF!=RM시즌체크판!C246,ROW(#REF!)-20),5),)))</f>
        <v/>
      </c>
      <c r="M246" s="35" t="str">
        <f t="array" aca="1" ref="M246" ca="1">IF(ISERROR(OFFSET(#REF!,SMALL(IF(#REF!=RM시즌체크판!C246,ROW(#REF!)-20),6),)),"",(OFFSET(#REF!,SMALL(IF(#REF!=RM시즌체크판!C246,ROW(#REF!)-20),6),)))</f>
        <v/>
      </c>
      <c r="N246" s="27" t="str">
        <f>IF(ISERROR(VLOOKUP(C246,모델촬영리스트!$C:$E,3,)),"",(VLOOKUP(C246,모델촬영리스트!$C:$E,3,)))</f>
        <v/>
      </c>
      <c r="O246" s="23" t="str">
        <f>IF(ISERROR(VLOOKUP(C246,배너촬영리스트!$C:$E,3,)),"",(VLOOKUP(C246,배너촬영리스트!$C:$E,3,)))</f>
        <v/>
      </c>
      <c r="P246" s="36" t="str">
        <f>IF(ISERROR(VLOOKUP(C246,배너촬영리스트!$C:$E,2,)),"",(VLOOKUP(C246,배너촬영리스트!$C:$E,2,)))</f>
        <v/>
      </c>
    </row>
    <row r="247" spans="2:16">
      <c r="B247" s="20" t="str">
        <f t="shared" si="4"/>
        <v>RM</v>
      </c>
      <c r="C247" s="11" t="s">
        <v>221</v>
      </c>
      <c r="D247" s="12" t="e">
        <f>VLOOKUP(C247,#REF!,2,0)</f>
        <v>#REF!</v>
      </c>
      <c r="E247" s="10" t="e">
        <f>VLOOKUP(C247,#REF!,4,0)</f>
        <v>#REF!</v>
      </c>
      <c r="F247" s="37" t="e">
        <f>VLOOKUP(C247,#REF!,8,0)</f>
        <v>#REF!</v>
      </c>
      <c r="G247" s="22" t="str">
        <f>IF(ISERROR(IF(VLOOKUP(C247,#REF!,2,0)&gt;0,"등록","")),"",(IF(VLOOKUP(C247,#REF!,2,0)&gt;0,"등록","")))</f>
        <v/>
      </c>
      <c r="H247" s="33" t="str">
        <f t="array" aca="1" ref="H247" ca="1">IF(ISERROR(OFFSET(#REF!,SMALL(IF(#REF!=RM시즌체크판!C247,ROW(#REF!)-20),1),)),"",(OFFSET(#REF!,SMALL(IF(#REF!=RM시즌체크판!C247,ROW(#REF!)-20),1),)))</f>
        <v/>
      </c>
      <c r="I247" s="34" t="str">
        <f t="array" aca="1" ref="I247" ca="1">IF(ISERROR(OFFSET(#REF!,SMALL(IF(#REF!=RM시즌체크판!C247,ROW(#REF!)-20),2),)),"",(OFFSET(#REF!,SMALL(IF(#REF!=RM시즌체크판!C247,ROW(#REF!)-20),2),)))</f>
        <v/>
      </c>
      <c r="J247" s="34" t="str">
        <f t="array" aca="1" ref="J247" ca="1">IF(ISERROR(OFFSET(#REF!,SMALL(IF(#REF!=RM시즌체크판!C247,ROW(#REF!)-20),3),)),"",(OFFSET(#REF!,SMALL(IF(#REF!=RM시즌체크판!C247,ROW(#REF!)-20),3),)))</f>
        <v/>
      </c>
      <c r="K247" s="34" t="str">
        <f t="array" aca="1" ref="K247" ca="1">IF(ISERROR(OFFSET(#REF!,SMALL(IF(#REF!=RM시즌체크판!C247,ROW(#REF!)-20),4),)),"",(OFFSET(#REF!,SMALL(IF(#REF!=RM시즌체크판!C247,ROW(#REF!)-20),4),)))</f>
        <v/>
      </c>
      <c r="L247" s="34" t="str">
        <f t="array" aca="1" ref="L247" ca="1">IF(ISERROR(OFFSET(#REF!,SMALL(IF(#REF!=RM시즌체크판!C247,ROW(#REF!)-20),5),)),"",(OFFSET(#REF!,SMALL(IF(#REF!=RM시즌체크판!C247,ROW(#REF!)-20),5),)))</f>
        <v/>
      </c>
      <c r="M247" s="35" t="str">
        <f t="array" aca="1" ref="M247" ca="1">IF(ISERROR(OFFSET(#REF!,SMALL(IF(#REF!=RM시즌체크판!C247,ROW(#REF!)-20),6),)),"",(OFFSET(#REF!,SMALL(IF(#REF!=RM시즌체크판!C247,ROW(#REF!)-20),6),)))</f>
        <v/>
      </c>
      <c r="N247" s="27" t="str">
        <f>IF(ISERROR(VLOOKUP(C247,모델촬영리스트!$C:$E,3,)),"",(VLOOKUP(C247,모델촬영리스트!$C:$E,3,)))</f>
        <v/>
      </c>
      <c r="O247" s="23" t="str">
        <f>IF(ISERROR(VLOOKUP(C247,배너촬영리스트!$C:$E,3,)),"",(VLOOKUP(C247,배너촬영리스트!$C:$E,3,)))</f>
        <v/>
      </c>
      <c r="P247" s="36" t="str">
        <f>IF(ISERROR(VLOOKUP(C247,배너촬영리스트!$C:$E,2,)),"",(VLOOKUP(C247,배너촬영리스트!$C:$E,2,)))</f>
        <v/>
      </c>
    </row>
    <row r="248" spans="2:16">
      <c r="B248" s="20" t="str">
        <f t="shared" si="4"/>
        <v>RM</v>
      </c>
      <c r="C248" s="11" t="s">
        <v>222</v>
      </c>
      <c r="D248" s="12" t="e">
        <f>VLOOKUP(C248,#REF!,2,0)</f>
        <v>#REF!</v>
      </c>
      <c r="E248" s="10" t="e">
        <f>VLOOKUP(C248,#REF!,4,0)</f>
        <v>#REF!</v>
      </c>
      <c r="F248" s="37" t="e">
        <f>VLOOKUP(C248,#REF!,8,0)</f>
        <v>#REF!</v>
      </c>
      <c r="G248" s="22" t="str">
        <f>IF(ISERROR(IF(VLOOKUP(C248,#REF!,2,0)&gt;0,"등록","")),"",(IF(VLOOKUP(C248,#REF!,2,0)&gt;0,"등록","")))</f>
        <v/>
      </c>
      <c r="H248" s="33" t="str">
        <f t="array" aca="1" ref="H248" ca="1">IF(ISERROR(OFFSET(#REF!,SMALL(IF(#REF!=RM시즌체크판!C248,ROW(#REF!)-20),1),)),"",(OFFSET(#REF!,SMALL(IF(#REF!=RM시즌체크판!C248,ROW(#REF!)-20),1),)))</f>
        <v/>
      </c>
      <c r="I248" s="34" t="str">
        <f t="array" aca="1" ref="I248" ca="1">IF(ISERROR(OFFSET(#REF!,SMALL(IF(#REF!=RM시즌체크판!C248,ROW(#REF!)-20),2),)),"",(OFFSET(#REF!,SMALL(IF(#REF!=RM시즌체크판!C248,ROW(#REF!)-20),2),)))</f>
        <v/>
      </c>
      <c r="J248" s="34" t="str">
        <f t="array" aca="1" ref="J248" ca="1">IF(ISERROR(OFFSET(#REF!,SMALL(IF(#REF!=RM시즌체크판!C248,ROW(#REF!)-20),3),)),"",(OFFSET(#REF!,SMALL(IF(#REF!=RM시즌체크판!C248,ROW(#REF!)-20),3),)))</f>
        <v/>
      </c>
      <c r="K248" s="34" t="str">
        <f t="array" aca="1" ref="K248" ca="1">IF(ISERROR(OFFSET(#REF!,SMALL(IF(#REF!=RM시즌체크판!C248,ROW(#REF!)-20),4),)),"",(OFFSET(#REF!,SMALL(IF(#REF!=RM시즌체크판!C248,ROW(#REF!)-20),4),)))</f>
        <v/>
      </c>
      <c r="L248" s="34" t="str">
        <f t="array" aca="1" ref="L248" ca="1">IF(ISERROR(OFFSET(#REF!,SMALL(IF(#REF!=RM시즌체크판!C248,ROW(#REF!)-20),5),)),"",(OFFSET(#REF!,SMALL(IF(#REF!=RM시즌체크판!C248,ROW(#REF!)-20),5),)))</f>
        <v/>
      </c>
      <c r="M248" s="35" t="str">
        <f t="array" aca="1" ref="M248" ca="1">IF(ISERROR(OFFSET(#REF!,SMALL(IF(#REF!=RM시즌체크판!C248,ROW(#REF!)-20),6),)),"",(OFFSET(#REF!,SMALL(IF(#REF!=RM시즌체크판!C248,ROW(#REF!)-20),6),)))</f>
        <v/>
      </c>
      <c r="N248" s="27" t="str">
        <f>IF(ISERROR(VLOOKUP(C248,모델촬영리스트!$C:$E,3,)),"",(VLOOKUP(C248,모델촬영리스트!$C:$E,3,)))</f>
        <v/>
      </c>
      <c r="O248" s="23" t="str">
        <f>IF(ISERROR(VLOOKUP(C248,배너촬영리스트!$C:$E,3,)),"",(VLOOKUP(C248,배너촬영리스트!$C:$E,3,)))</f>
        <v/>
      </c>
      <c r="P248" s="36" t="str">
        <f>IF(ISERROR(VLOOKUP(C248,배너촬영리스트!$C:$E,2,)),"",(VLOOKUP(C248,배너촬영리스트!$C:$E,2,)))</f>
        <v/>
      </c>
    </row>
    <row r="249" spans="2:16">
      <c r="B249" s="20" t="str">
        <f t="shared" si="4"/>
        <v>RM</v>
      </c>
      <c r="C249" s="11" t="s">
        <v>223</v>
      </c>
      <c r="D249" s="12" t="e">
        <f>VLOOKUP(C249,#REF!,2,0)</f>
        <v>#REF!</v>
      </c>
      <c r="E249" s="10" t="e">
        <f>VLOOKUP(C249,#REF!,4,0)</f>
        <v>#REF!</v>
      </c>
      <c r="F249" s="37" t="e">
        <f>VLOOKUP(C249,#REF!,8,0)</f>
        <v>#REF!</v>
      </c>
      <c r="G249" s="22" t="str">
        <f>IF(ISERROR(IF(VLOOKUP(C249,#REF!,2,0)&gt;0,"등록","")),"",(IF(VLOOKUP(C249,#REF!,2,0)&gt;0,"등록","")))</f>
        <v/>
      </c>
      <c r="H249" s="33" t="str">
        <f t="array" aca="1" ref="H249" ca="1">IF(ISERROR(OFFSET(#REF!,SMALL(IF(#REF!=RM시즌체크판!C249,ROW(#REF!)-20),1),)),"",(OFFSET(#REF!,SMALL(IF(#REF!=RM시즌체크판!C249,ROW(#REF!)-20),1),)))</f>
        <v/>
      </c>
      <c r="I249" s="34" t="str">
        <f t="array" aca="1" ref="I249" ca="1">IF(ISERROR(OFFSET(#REF!,SMALL(IF(#REF!=RM시즌체크판!C249,ROW(#REF!)-20),2),)),"",(OFFSET(#REF!,SMALL(IF(#REF!=RM시즌체크판!C249,ROW(#REF!)-20),2),)))</f>
        <v/>
      </c>
      <c r="J249" s="34" t="str">
        <f t="array" aca="1" ref="J249" ca="1">IF(ISERROR(OFFSET(#REF!,SMALL(IF(#REF!=RM시즌체크판!C249,ROW(#REF!)-20),3),)),"",(OFFSET(#REF!,SMALL(IF(#REF!=RM시즌체크판!C249,ROW(#REF!)-20),3),)))</f>
        <v/>
      </c>
      <c r="K249" s="34" t="str">
        <f t="array" aca="1" ref="K249" ca="1">IF(ISERROR(OFFSET(#REF!,SMALL(IF(#REF!=RM시즌체크판!C249,ROW(#REF!)-20),4),)),"",(OFFSET(#REF!,SMALL(IF(#REF!=RM시즌체크판!C249,ROW(#REF!)-20),4),)))</f>
        <v/>
      </c>
      <c r="L249" s="34" t="str">
        <f t="array" aca="1" ref="L249" ca="1">IF(ISERROR(OFFSET(#REF!,SMALL(IF(#REF!=RM시즌체크판!C249,ROW(#REF!)-20),5),)),"",(OFFSET(#REF!,SMALL(IF(#REF!=RM시즌체크판!C249,ROW(#REF!)-20),5),)))</f>
        <v/>
      </c>
      <c r="M249" s="35" t="str">
        <f t="array" aca="1" ref="M249" ca="1">IF(ISERROR(OFFSET(#REF!,SMALL(IF(#REF!=RM시즌체크판!C249,ROW(#REF!)-20),6),)),"",(OFFSET(#REF!,SMALL(IF(#REF!=RM시즌체크판!C249,ROW(#REF!)-20),6),)))</f>
        <v/>
      </c>
      <c r="N249" s="27" t="str">
        <f>IF(ISERROR(VLOOKUP(C249,모델촬영리스트!$C:$E,3,)),"",(VLOOKUP(C249,모델촬영리스트!$C:$E,3,)))</f>
        <v/>
      </c>
      <c r="O249" s="23" t="str">
        <f>IF(ISERROR(VLOOKUP(C249,배너촬영리스트!$C:$E,3,)),"",(VLOOKUP(C249,배너촬영리스트!$C:$E,3,)))</f>
        <v/>
      </c>
      <c r="P249" s="36" t="str">
        <f>IF(ISERROR(VLOOKUP(C249,배너촬영리스트!$C:$E,2,)),"",(VLOOKUP(C249,배너촬영리스트!$C:$E,2,)))</f>
        <v/>
      </c>
    </row>
    <row r="250" spans="2:16">
      <c r="B250" s="20" t="str">
        <f t="shared" si="4"/>
        <v>RM</v>
      </c>
      <c r="C250" s="11" t="s">
        <v>224</v>
      </c>
      <c r="D250" s="12" t="e">
        <f>VLOOKUP(C250,#REF!,2,0)</f>
        <v>#REF!</v>
      </c>
      <c r="E250" s="10" t="e">
        <f>VLOOKUP(C250,#REF!,4,0)</f>
        <v>#REF!</v>
      </c>
      <c r="F250" s="37" t="e">
        <f>VLOOKUP(C250,#REF!,8,0)</f>
        <v>#REF!</v>
      </c>
      <c r="G250" s="22" t="str">
        <f>IF(ISERROR(IF(VLOOKUP(C250,#REF!,2,0)&gt;0,"등록","")),"",(IF(VLOOKUP(C250,#REF!,2,0)&gt;0,"등록","")))</f>
        <v/>
      </c>
      <c r="H250" s="33" t="str">
        <f t="array" aca="1" ref="H250" ca="1">IF(ISERROR(OFFSET(#REF!,SMALL(IF(#REF!=RM시즌체크판!C250,ROW(#REF!)-20),1),)),"",(OFFSET(#REF!,SMALL(IF(#REF!=RM시즌체크판!C250,ROW(#REF!)-20),1),)))</f>
        <v/>
      </c>
      <c r="I250" s="34" t="str">
        <f t="array" aca="1" ref="I250" ca="1">IF(ISERROR(OFFSET(#REF!,SMALL(IF(#REF!=RM시즌체크판!C250,ROW(#REF!)-20),2),)),"",(OFFSET(#REF!,SMALL(IF(#REF!=RM시즌체크판!C250,ROW(#REF!)-20),2),)))</f>
        <v/>
      </c>
      <c r="J250" s="34" t="str">
        <f t="array" aca="1" ref="J250" ca="1">IF(ISERROR(OFFSET(#REF!,SMALL(IF(#REF!=RM시즌체크판!C250,ROW(#REF!)-20),3),)),"",(OFFSET(#REF!,SMALL(IF(#REF!=RM시즌체크판!C250,ROW(#REF!)-20),3),)))</f>
        <v/>
      </c>
      <c r="K250" s="34" t="str">
        <f t="array" aca="1" ref="K250" ca="1">IF(ISERROR(OFFSET(#REF!,SMALL(IF(#REF!=RM시즌체크판!C250,ROW(#REF!)-20),4),)),"",(OFFSET(#REF!,SMALL(IF(#REF!=RM시즌체크판!C250,ROW(#REF!)-20),4),)))</f>
        <v/>
      </c>
      <c r="L250" s="34" t="str">
        <f t="array" aca="1" ref="L250" ca="1">IF(ISERROR(OFFSET(#REF!,SMALL(IF(#REF!=RM시즌체크판!C250,ROW(#REF!)-20),5),)),"",(OFFSET(#REF!,SMALL(IF(#REF!=RM시즌체크판!C250,ROW(#REF!)-20),5),)))</f>
        <v/>
      </c>
      <c r="M250" s="35" t="str">
        <f t="array" aca="1" ref="M250" ca="1">IF(ISERROR(OFFSET(#REF!,SMALL(IF(#REF!=RM시즌체크판!C250,ROW(#REF!)-20),6),)),"",(OFFSET(#REF!,SMALL(IF(#REF!=RM시즌체크판!C250,ROW(#REF!)-20),6),)))</f>
        <v/>
      </c>
      <c r="N250" s="27" t="str">
        <f>IF(ISERROR(VLOOKUP(C250,모델촬영리스트!$C:$E,3,)),"",(VLOOKUP(C250,모델촬영리스트!$C:$E,3,)))</f>
        <v/>
      </c>
      <c r="O250" s="23" t="str">
        <f>IF(ISERROR(VLOOKUP(C250,배너촬영리스트!$C:$E,3,)),"",(VLOOKUP(C250,배너촬영리스트!$C:$E,3,)))</f>
        <v/>
      </c>
      <c r="P250" s="36" t="str">
        <f>IF(ISERROR(VLOOKUP(C250,배너촬영리스트!$C:$E,2,)),"",(VLOOKUP(C250,배너촬영리스트!$C:$E,2,)))</f>
        <v/>
      </c>
    </row>
    <row r="251" spans="2:16">
      <c r="B251" s="20" t="str">
        <f t="shared" si="4"/>
        <v>RM</v>
      </c>
      <c r="C251" s="11" t="s">
        <v>225</v>
      </c>
      <c r="D251" s="12" t="e">
        <f>VLOOKUP(C251,#REF!,2,0)</f>
        <v>#REF!</v>
      </c>
      <c r="E251" s="10" t="e">
        <f>VLOOKUP(C251,#REF!,4,0)</f>
        <v>#REF!</v>
      </c>
      <c r="F251" s="37" t="e">
        <f>VLOOKUP(C251,#REF!,8,0)</f>
        <v>#REF!</v>
      </c>
      <c r="G251" s="22" t="str">
        <f>IF(ISERROR(IF(VLOOKUP(C251,#REF!,2,0)&gt;0,"등록","")),"",(IF(VLOOKUP(C251,#REF!,2,0)&gt;0,"등록","")))</f>
        <v/>
      </c>
      <c r="H251" s="33" t="str">
        <f t="array" aca="1" ref="H251" ca="1">IF(ISERROR(OFFSET(#REF!,SMALL(IF(#REF!=RM시즌체크판!C251,ROW(#REF!)-20),1),)),"",(OFFSET(#REF!,SMALL(IF(#REF!=RM시즌체크판!C251,ROW(#REF!)-20),1),)))</f>
        <v/>
      </c>
      <c r="I251" s="34" t="str">
        <f t="array" aca="1" ref="I251" ca="1">IF(ISERROR(OFFSET(#REF!,SMALL(IF(#REF!=RM시즌체크판!C251,ROW(#REF!)-20),2),)),"",(OFFSET(#REF!,SMALL(IF(#REF!=RM시즌체크판!C251,ROW(#REF!)-20),2),)))</f>
        <v/>
      </c>
      <c r="J251" s="34" t="str">
        <f t="array" aca="1" ref="J251" ca="1">IF(ISERROR(OFFSET(#REF!,SMALL(IF(#REF!=RM시즌체크판!C251,ROW(#REF!)-20),3),)),"",(OFFSET(#REF!,SMALL(IF(#REF!=RM시즌체크판!C251,ROW(#REF!)-20),3),)))</f>
        <v/>
      </c>
      <c r="K251" s="34" t="str">
        <f t="array" aca="1" ref="K251" ca="1">IF(ISERROR(OFFSET(#REF!,SMALL(IF(#REF!=RM시즌체크판!C251,ROW(#REF!)-20),4),)),"",(OFFSET(#REF!,SMALL(IF(#REF!=RM시즌체크판!C251,ROW(#REF!)-20),4),)))</f>
        <v/>
      </c>
      <c r="L251" s="34" t="str">
        <f t="array" aca="1" ref="L251" ca="1">IF(ISERROR(OFFSET(#REF!,SMALL(IF(#REF!=RM시즌체크판!C251,ROW(#REF!)-20),5),)),"",(OFFSET(#REF!,SMALL(IF(#REF!=RM시즌체크판!C251,ROW(#REF!)-20),5),)))</f>
        <v/>
      </c>
      <c r="M251" s="35" t="str">
        <f t="array" aca="1" ref="M251" ca="1">IF(ISERROR(OFFSET(#REF!,SMALL(IF(#REF!=RM시즌체크판!C251,ROW(#REF!)-20),6),)),"",(OFFSET(#REF!,SMALL(IF(#REF!=RM시즌체크판!C251,ROW(#REF!)-20),6),)))</f>
        <v/>
      </c>
      <c r="N251" s="27" t="str">
        <f>IF(ISERROR(VLOOKUP(C251,모델촬영리스트!$C:$E,3,)),"",(VLOOKUP(C251,모델촬영리스트!$C:$E,3,)))</f>
        <v/>
      </c>
      <c r="O251" s="23" t="str">
        <f>IF(ISERROR(VLOOKUP(C251,배너촬영리스트!$C:$E,3,)),"",(VLOOKUP(C251,배너촬영리스트!$C:$E,3,)))</f>
        <v/>
      </c>
      <c r="P251" s="36" t="str">
        <f>IF(ISERROR(VLOOKUP(C251,배너촬영리스트!$C:$E,2,)),"",(VLOOKUP(C251,배너촬영리스트!$C:$E,2,)))</f>
        <v/>
      </c>
    </row>
    <row r="252" spans="2:16">
      <c r="B252" s="20" t="str">
        <f t="shared" si="4"/>
        <v>RM</v>
      </c>
      <c r="C252" s="11" t="s">
        <v>226</v>
      </c>
      <c r="D252" s="12" t="e">
        <f>VLOOKUP(C252,#REF!,2,0)</f>
        <v>#REF!</v>
      </c>
      <c r="E252" s="10" t="e">
        <f>VLOOKUP(C252,#REF!,4,0)</f>
        <v>#REF!</v>
      </c>
      <c r="F252" s="37" t="e">
        <f>VLOOKUP(C252,#REF!,8,0)</f>
        <v>#REF!</v>
      </c>
      <c r="G252" s="22" t="str">
        <f>IF(ISERROR(IF(VLOOKUP(C252,#REF!,2,0)&gt;0,"등록","")),"",(IF(VLOOKUP(C252,#REF!,2,0)&gt;0,"등록","")))</f>
        <v/>
      </c>
      <c r="H252" s="33" t="str">
        <f t="array" aca="1" ref="H252" ca="1">IF(ISERROR(OFFSET(#REF!,SMALL(IF(#REF!=RM시즌체크판!C252,ROW(#REF!)-20),1),)),"",(OFFSET(#REF!,SMALL(IF(#REF!=RM시즌체크판!C252,ROW(#REF!)-20),1),)))</f>
        <v/>
      </c>
      <c r="I252" s="34" t="str">
        <f t="array" aca="1" ref="I252" ca="1">IF(ISERROR(OFFSET(#REF!,SMALL(IF(#REF!=RM시즌체크판!C252,ROW(#REF!)-20),2),)),"",(OFFSET(#REF!,SMALL(IF(#REF!=RM시즌체크판!C252,ROW(#REF!)-20),2),)))</f>
        <v/>
      </c>
      <c r="J252" s="34" t="str">
        <f t="array" aca="1" ref="J252" ca="1">IF(ISERROR(OFFSET(#REF!,SMALL(IF(#REF!=RM시즌체크판!C252,ROW(#REF!)-20),3),)),"",(OFFSET(#REF!,SMALL(IF(#REF!=RM시즌체크판!C252,ROW(#REF!)-20),3),)))</f>
        <v/>
      </c>
      <c r="K252" s="34" t="str">
        <f t="array" aca="1" ref="K252" ca="1">IF(ISERROR(OFFSET(#REF!,SMALL(IF(#REF!=RM시즌체크판!C252,ROW(#REF!)-20),4),)),"",(OFFSET(#REF!,SMALL(IF(#REF!=RM시즌체크판!C252,ROW(#REF!)-20),4),)))</f>
        <v/>
      </c>
      <c r="L252" s="34" t="str">
        <f t="array" aca="1" ref="L252" ca="1">IF(ISERROR(OFFSET(#REF!,SMALL(IF(#REF!=RM시즌체크판!C252,ROW(#REF!)-20),5),)),"",(OFFSET(#REF!,SMALL(IF(#REF!=RM시즌체크판!C252,ROW(#REF!)-20),5),)))</f>
        <v/>
      </c>
      <c r="M252" s="35" t="str">
        <f t="array" aca="1" ref="M252" ca="1">IF(ISERROR(OFFSET(#REF!,SMALL(IF(#REF!=RM시즌체크판!C252,ROW(#REF!)-20),6),)),"",(OFFSET(#REF!,SMALL(IF(#REF!=RM시즌체크판!C252,ROW(#REF!)-20),6),)))</f>
        <v/>
      </c>
      <c r="N252" s="27" t="str">
        <f>IF(ISERROR(VLOOKUP(C252,모델촬영리스트!$C:$E,3,)),"",(VLOOKUP(C252,모델촬영리스트!$C:$E,3,)))</f>
        <v/>
      </c>
      <c r="O252" s="23" t="str">
        <f>IF(ISERROR(VLOOKUP(C252,배너촬영리스트!$C:$E,3,)),"",(VLOOKUP(C252,배너촬영리스트!$C:$E,3,)))</f>
        <v/>
      </c>
      <c r="P252" s="36" t="str">
        <f>IF(ISERROR(VLOOKUP(C252,배너촬영리스트!$C:$E,2,)),"",(VLOOKUP(C252,배너촬영리스트!$C:$E,2,)))</f>
        <v/>
      </c>
    </row>
    <row r="253" spans="2:16">
      <c r="B253" s="20" t="str">
        <f t="shared" si="4"/>
        <v>RM</v>
      </c>
      <c r="C253" s="11" t="s">
        <v>242</v>
      </c>
      <c r="D253" s="12" t="e">
        <f>VLOOKUP(C253,#REF!,2,0)</f>
        <v>#REF!</v>
      </c>
      <c r="E253" s="10" t="e">
        <f>VLOOKUP(C253,#REF!,4,0)</f>
        <v>#REF!</v>
      </c>
      <c r="F253" s="37" t="e">
        <f>VLOOKUP(C253,#REF!,8,0)</f>
        <v>#REF!</v>
      </c>
      <c r="G253" s="22" t="str">
        <f>IF(ISERROR(IF(VLOOKUP(C253,#REF!,2,0)&gt;0,"등록","")),"",(IF(VLOOKUP(C253,#REF!,2,0)&gt;0,"등록","")))</f>
        <v/>
      </c>
      <c r="H253" s="33" t="str">
        <f t="array" aca="1" ref="H253" ca="1">IF(ISERROR(OFFSET(#REF!,SMALL(IF(#REF!=RM시즌체크판!C253,ROW(#REF!)-20),1),)),"",(OFFSET(#REF!,SMALL(IF(#REF!=RM시즌체크판!C253,ROW(#REF!)-20),1),)))</f>
        <v/>
      </c>
      <c r="I253" s="34" t="str">
        <f t="array" aca="1" ref="I253" ca="1">IF(ISERROR(OFFSET(#REF!,SMALL(IF(#REF!=RM시즌체크판!C253,ROW(#REF!)-20),2),)),"",(OFFSET(#REF!,SMALL(IF(#REF!=RM시즌체크판!C253,ROW(#REF!)-20),2),)))</f>
        <v/>
      </c>
      <c r="J253" s="34" t="str">
        <f t="array" aca="1" ref="J253" ca="1">IF(ISERROR(OFFSET(#REF!,SMALL(IF(#REF!=RM시즌체크판!C253,ROW(#REF!)-20),3),)),"",(OFFSET(#REF!,SMALL(IF(#REF!=RM시즌체크판!C253,ROW(#REF!)-20),3),)))</f>
        <v/>
      </c>
      <c r="K253" s="34" t="str">
        <f t="array" aca="1" ref="K253" ca="1">IF(ISERROR(OFFSET(#REF!,SMALL(IF(#REF!=RM시즌체크판!C253,ROW(#REF!)-20),4),)),"",(OFFSET(#REF!,SMALL(IF(#REF!=RM시즌체크판!C253,ROW(#REF!)-20),4),)))</f>
        <v/>
      </c>
      <c r="L253" s="34" t="str">
        <f t="array" aca="1" ref="L253" ca="1">IF(ISERROR(OFFSET(#REF!,SMALL(IF(#REF!=RM시즌체크판!C253,ROW(#REF!)-20),5),)),"",(OFFSET(#REF!,SMALL(IF(#REF!=RM시즌체크판!C253,ROW(#REF!)-20),5),)))</f>
        <v/>
      </c>
      <c r="M253" s="35" t="str">
        <f t="array" aca="1" ref="M253" ca="1">IF(ISERROR(OFFSET(#REF!,SMALL(IF(#REF!=RM시즌체크판!C253,ROW(#REF!)-20),6),)),"",(OFFSET(#REF!,SMALL(IF(#REF!=RM시즌체크판!C253,ROW(#REF!)-20),6),)))</f>
        <v/>
      </c>
      <c r="N253" s="27" t="str">
        <f>IF(ISERROR(VLOOKUP(C253,모델촬영리스트!$C:$E,3,)),"",(VLOOKUP(C253,모델촬영리스트!$C:$E,3,)))</f>
        <v/>
      </c>
      <c r="O253" s="23" t="str">
        <f>IF(ISERROR(VLOOKUP(C253,배너촬영리스트!$C:$E,3,)),"",(VLOOKUP(C253,배너촬영리스트!$C:$E,3,)))</f>
        <v/>
      </c>
      <c r="P253" s="36" t="str">
        <f>IF(ISERROR(VLOOKUP(C253,배너촬영리스트!$C:$E,2,)),"",(VLOOKUP(C253,배너촬영리스트!$C:$E,2,)))</f>
        <v/>
      </c>
    </row>
    <row r="254" spans="2:16">
      <c r="B254" s="20" t="str">
        <f t="shared" si="4"/>
        <v>RM</v>
      </c>
      <c r="C254" s="11" t="s">
        <v>243</v>
      </c>
      <c r="D254" s="12" t="e">
        <f>VLOOKUP(C254,#REF!,2,0)</f>
        <v>#REF!</v>
      </c>
      <c r="E254" s="10" t="e">
        <f>VLOOKUP(C254,#REF!,4,0)</f>
        <v>#REF!</v>
      </c>
      <c r="F254" s="37" t="e">
        <f>VLOOKUP(C254,#REF!,8,0)</f>
        <v>#REF!</v>
      </c>
      <c r="G254" s="22" t="str">
        <f>IF(ISERROR(IF(VLOOKUP(C254,#REF!,2,0)&gt;0,"등록","")),"",(IF(VLOOKUP(C254,#REF!,2,0)&gt;0,"등록","")))</f>
        <v/>
      </c>
      <c r="H254" s="33" t="str">
        <f t="array" aca="1" ref="H254" ca="1">IF(ISERROR(OFFSET(#REF!,SMALL(IF(#REF!=RM시즌체크판!C254,ROW(#REF!)-20),1),)),"",(OFFSET(#REF!,SMALL(IF(#REF!=RM시즌체크판!C254,ROW(#REF!)-20),1),)))</f>
        <v/>
      </c>
      <c r="I254" s="34" t="str">
        <f t="array" aca="1" ref="I254" ca="1">IF(ISERROR(OFFSET(#REF!,SMALL(IF(#REF!=RM시즌체크판!C254,ROW(#REF!)-20),2),)),"",(OFFSET(#REF!,SMALL(IF(#REF!=RM시즌체크판!C254,ROW(#REF!)-20),2),)))</f>
        <v/>
      </c>
      <c r="J254" s="34" t="str">
        <f t="array" aca="1" ref="J254" ca="1">IF(ISERROR(OFFSET(#REF!,SMALL(IF(#REF!=RM시즌체크판!C254,ROW(#REF!)-20),3),)),"",(OFFSET(#REF!,SMALL(IF(#REF!=RM시즌체크판!C254,ROW(#REF!)-20),3),)))</f>
        <v/>
      </c>
      <c r="K254" s="34" t="str">
        <f t="array" aca="1" ref="K254" ca="1">IF(ISERROR(OFFSET(#REF!,SMALL(IF(#REF!=RM시즌체크판!C254,ROW(#REF!)-20),4),)),"",(OFFSET(#REF!,SMALL(IF(#REF!=RM시즌체크판!C254,ROW(#REF!)-20),4),)))</f>
        <v/>
      </c>
      <c r="L254" s="34" t="str">
        <f t="array" aca="1" ref="L254" ca="1">IF(ISERROR(OFFSET(#REF!,SMALL(IF(#REF!=RM시즌체크판!C254,ROW(#REF!)-20),5),)),"",(OFFSET(#REF!,SMALL(IF(#REF!=RM시즌체크판!C254,ROW(#REF!)-20),5),)))</f>
        <v/>
      </c>
      <c r="M254" s="35" t="str">
        <f t="array" aca="1" ref="M254" ca="1">IF(ISERROR(OFFSET(#REF!,SMALL(IF(#REF!=RM시즌체크판!C254,ROW(#REF!)-20),6),)),"",(OFFSET(#REF!,SMALL(IF(#REF!=RM시즌체크판!C254,ROW(#REF!)-20),6),)))</f>
        <v/>
      </c>
      <c r="N254" s="27" t="str">
        <f>IF(ISERROR(VLOOKUP(C254,모델촬영리스트!$C:$E,3,)),"",(VLOOKUP(C254,모델촬영리스트!$C:$E,3,)))</f>
        <v/>
      </c>
      <c r="O254" s="23" t="str">
        <f>IF(ISERROR(VLOOKUP(C254,배너촬영리스트!$C:$E,3,)),"",(VLOOKUP(C254,배너촬영리스트!$C:$E,3,)))</f>
        <v/>
      </c>
      <c r="P254" s="36" t="str">
        <f>IF(ISERROR(VLOOKUP(C254,배너촬영리스트!$C:$E,2,)),"",(VLOOKUP(C254,배너촬영리스트!$C:$E,2,)))</f>
        <v/>
      </c>
    </row>
    <row r="255" spans="2:16">
      <c r="B255" s="20" t="str">
        <f t="shared" si="4"/>
        <v>RM</v>
      </c>
      <c r="C255" s="11" t="s">
        <v>244</v>
      </c>
      <c r="D255" s="12" t="e">
        <f>VLOOKUP(C255,#REF!,2,0)</f>
        <v>#REF!</v>
      </c>
      <c r="E255" s="10" t="e">
        <f>VLOOKUP(C255,#REF!,4,0)</f>
        <v>#REF!</v>
      </c>
      <c r="F255" s="37" t="e">
        <f>VLOOKUP(C255,#REF!,8,0)</f>
        <v>#REF!</v>
      </c>
      <c r="G255" s="22" t="str">
        <f>IF(ISERROR(IF(VLOOKUP(C255,#REF!,2,0)&gt;0,"등록","")),"",(IF(VLOOKUP(C255,#REF!,2,0)&gt;0,"등록","")))</f>
        <v/>
      </c>
      <c r="H255" s="33" t="str">
        <f t="array" aca="1" ref="H255" ca="1">IF(ISERROR(OFFSET(#REF!,SMALL(IF(#REF!=RM시즌체크판!C255,ROW(#REF!)-20),1),)),"",(OFFSET(#REF!,SMALL(IF(#REF!=RM시즌체크판!C255,ROW(#REF!)-20),1),)))</f>
        <v/>
      </c>
      <c r="I255" s="34" t="str">
        <f t="array" aca="1" ref="I255" ca="1">IF(ISERROR(OFFSET(#REF!,SMALL(IF(#REF!=RM시즌체크판!C255,ROW(#REF!)-20),2),)),"",(OFFSET(#REF!,SMALL(IF(#REF!=RM시즌체크판!C255,ROW(#REF!)-20),2),)))</f>
        <v/>
      </c>
      <c r="J255" s="34" t="str">
        <f t="array" aca="1" ref="J255" ca="1">IF(ISERROR(OFFSET(#REF!,SMALL(IF(#REF!=RM시즌체크판!C255,ROW(#REF!)-20),3),)),"",(OFFSET(#REF!,SMALL(IF(#REF!=RM시즌체크판!C255,ROW(#REF!)-20),3),)))</f>
        <v/>
      </c>
      <c r="K255" s="34" t="str">
        <f t="array" aca="1" ref="K255" ca="1">IF(ISERROR(OFFSET(#REF!,SMALL(IF(#REF!=RM시즌체크판!C255,ROW(#REF!)-20),4),)),"",(OFFSET(#REF!,SMALL(IF(#REF!=RM시즌체크판!C255,ROW(#REF!)-20),4),)))</f>
        <v/>
      </c>
      <c r="L255" s="34" t="str">
        <f t="array" aca="1" ref="L255" ca="1">IF(ISERROR(OFFSET(#REF!,SMALL(IF(#REF!=RM시즌체크판!C255,ROW(#REF!)-20),5),)),"",(OFFSET(#REF!,SMALL(IF(#REF!=RM시즌체크판!C255,ROW(#REF!)-20),5),)))</f>
        <v/>
      </c>
      <c r="M255" s="35" t="str">
        <f t="array" aca="1" ref="M255" ca="1">IF(ISERROR(OFFSET(#REF!,SMALL(IF(#REF!=RM시즌체크판!C255,ROW(#REF!)-20),6),)),"",(OFFSET(#REF!,SMALL(IF(#REF!=RM시즌체크판!C255,ROW(#REF!)-20),6),)))</f>
        <v/>
      </c>
      <c r="N255" s="27" t="str">
        <f>IF(ISERROR(VLOOKUP(C255,모델촬영리스트!$C:$E,3,)),"",(VLOOKUP(C255,모델촬영리스트!$C:$E,3,)))</f>
        <v/>
      </c>
      <c r="O255" s="23" t="str">
        <f>IF(ISERROR(VLOOKUP(C255,배너촬영리스트!$C:$E,3,)),"",(VLOOKUP(C255,배너촬영리스트!$C:$E,3,)))</f>
        <v/>
      </c>
      <c r="P255" s="36" t="str">
        <f>IF(ISERROR(VLOOKUP(C255,배너촬영리스트!$C:$E,2,)),"",(VLOOKUP(C255,배너촬영리스트!$C:$E,2,)))</f>
        <v/>
      </c>
    </row>
    <row r="256" spans="2:16">
      <c r="B256" s="20" t="str">
        <f t="shared" si="4"/>
        <v>RM</v>
      </c>
      <c r="C256" s="11" t="s">
        <v>245</v>
      </c>
      <c r="D256" s="12" t="e">
        <f>VLOOKUP(C256,#REF!,2,0)</f>
        <v>#REF!</v>
      </c>
      <c r="E256" s="10" t="e">
        <f>VLOOKUP(C256,#REF!,4,0)</f>
        <v>#REF!</v>
      </c>
      <c r="F256" s="37" t="e">
        <f>VLOOKUP(C256,#REF!,8,0)</f>
        <v>#REF!</v>
      </c>
      <c r="G256" s="22" t="str">
        <f>IF(ISERROR(IF(VLOOKUP(C256,#REF!,2,0)&gt;0,"등록","")),"",(IF(VLOOKUP(C256,#REF!,2,0)&gt;0,"등록","")))</f>
        <v/>
      </c>
      <c r="H256" s="33" t="str">
        <f t="array" aca="1" ref="H256" ca="1">IF(ISERROR(OFFSET(#REF!,SMALL(IF(#REF!=RM시즌체크판!C256,ROW(#REF!)-20),1),)),"",(OFFSET(#REF!,SMALL(IF(#REF!=RM시즌체크판!C256,ROW(#REF!)-20),1),)))</f>
        <v/>
      </c>
      <c r="I256" s="34" t="str">
        <f t="array" aca="1" ref="I256" ca="1">IF(ISERROR(OFFSET(#REF!,SMALL(IF(#REF!=RM시즌체크판!C256,ROW(#REF!)-20),2),)),"",(OFFSET(#REF!,SMALL(IF(#REF!=RM시즌체크판!C256,ROW(#REF!)-20),2),)))</f>
        <v/>
      </c>
      <c r="J256" s="34" t="str">
        <f t="array" aca="1" ref="J256" ca="1">IF(ISERROR(OFFSET(#REF!,SMALL(IF(#REF!=RM시즌체크판!C256,ROW(#REF!)-20),3),)),"",(OFFSET(#REF!,SMALL(IF(#REF!=RM시즌체크판!C256,ROW(#REF!)-20),3),)))</f>
        <v/>
      </c>
      <c r="K256" s="34" t="str">
        <f t="array" aca="1" ref="K256" ca="1">IF(ISERROR(OFFSET(#REF!,SMALL(IF(#REF!=RM시즌체크판!C256,ROW(#REF!)-20),4),)),"",(OFFSET(#REF!,SMALL(IF(#REF!=RM시즌체크판!C256,ROW(#REF!)-20),4),)))</f>
        <v/>
      </c>
      <c r="L256" s="34" t="str">
        <f t="array" aca="1" ref="L256" ca="1">IF(ISERROR(OFFSET(#REF!,SMALL(IF(#REF!=RM시즌체크판!C256,ROW(#REF!)-20),5),)),"",(OFFSET(#REF!,SMALL(IF(#REF!=RM시즌체크판!C256,ROW(#REF!)-20),5),)))</f>
        <v/>
      </c>
      <c r="M256" s="35" t="str">
        <f t="array" aca="1" ref="M256" ca="1">IF(ISERROR(OFFSET(#REF!,SMALL(IF(#REF!=RM시즌체크판!C256,ROW(#REF!)-20),6),)),"",(OFFSET(#REF!,SMALL(IF(#REF!=RM시즌체크판!C256,ROW(#REF!)-20),6),)))</f>
        <v/>
      </c>
      <c r="N256" s="27" t="str">
        <f>IF(ISERROR(VLOOKUP(C256,모델촬영리스트!$C:$E,3,)),"",(VLOOKUP(C256,모델촬영리스트!$C:$E,3,)))</f>
        <v/>
      </c>
      <c r="O256" s="23" t="str">
        <f>IF(ISERROR(VLOOKUP(C256,배너촬영리스트!$C:$E,3,)),"",(VLOOKUP(C256,배너촬영리스트!$C:$E,3,)))</f>
        <v/>
      </c>
      <c r="P256" s="36" t="str">
        <f>IF(ISERROR(VLOOKUP(C256,배너촬영리스트!$C:$E,2,)),"",(VLOOKUP(C256,배너촬영리스트!$C:$E,2,)))</f>
        <v/>
      </c>
    </row>
    <row r="257" spans="2:16">
      <c r="B257" s="20" t="str">
        <f t="shared" si="4"/>
        <v>RM</v>
      </c>
      <c r="C257" s="11" t="s">
        <v>246</v>
      </c>
      <c r="D257" s="12" t="e">
        <f>VLOOKUP(C257,#REF!,2,0)</f>
        <v>#REF!</v>
      </c>
      <c r="E257" s="10" t="e">
        <f>VLOOKUP(C257,#REF!,4,0)</f>
        <v>#REF!</v>
      </c>
      <c r="F257" s="37" t="e">
        <f>VLOOKUP(C257,#REF!,8,0)</f>
        <v>#REF!</v>
      </c>
      <c r="G257" s="22" t="str">
        <f>IF(ISERROR(IF(VLOOKUP(C257,#REF!,2,0)&gt;0,"등록","")),"",(IF(VLOOKUP(C257,#REF!,2,0)&gt;0,"등록","")))</f>
        <v/>
      </c>
      <c r="H257" s="33" t="str">
        <f t="array" aca="1" ref="H257" ca="1">IF(ISERROR(OFFSET(#REF!,SMALL(IF(#REF!=RM시즌체크판!C257,ROW(#REF!)-20),1),)),"",(OFFSET(#REF!,SMALL(IF(#REF!=RM시즌체크판!C257,ROW(#REF!)-20),1),)))</f>
        <v/>
      </c>
      <c r="I257" s="34" t="str">
        <f t="array" aca="1" ref="I257" ca="1">IF(ISERROR(OFFSET(#REF!,SMALL(IF(#REF!=RM시즌체크판!C257,ROW(#REF!)-20),2),)),"",(OFFSET(#REF!,SMALL(IF(#REF!=RM시즌체크판!C257,ROW(#REF!)-20),2),)))</f>
        <v/>
      </c>
      <c r="J257" s="34" t="str">
        <f t="array" aca="1" ref="J257" ca="1">IF(ISERROR(OFFSET(#REF!,SMALL(IF(#REF!=RM시즌체크판!C257,ROW(#REF!)-20),3),)),"",(OFFSET(#REF!,SMALL(IF(#REF!=RM시즌체크판!C257,ROW(#REF!)-20),3),)))</f>
        <v/>
      </c>
      <c r="K257" s="34" t="str">
        <f t="array" aca="1" ref="K257" ca="1">IF(ISERROR(OFFSET(#REF!,SMALL(IF(#REF!=RM시즌체크판!C257,ROW(#REF!)-20),4),)),"",(OFFSET(#REF!,SMALL(IF(#REF!=RM시즌체크판!C257,ROW(#REF!)-20),4),)))</f>
        <v/>
      </c>
      <c r="L257" s="34" t="str">
        <f t="array" aca="1" ref="L257" ca="1">IF(ISERROR(OFFSET(#REF!,SMALL(IF(#REF!=RM시즌체크판!C257,ROW(#REF!)-20),5),)),"",(OFFSET(#REF!,SMALL(IF(#REF!=RM시즌체크판!C257,ROW(#REF!)-20),5),)))</f>
        <v/>
      </c>
      <c r="M257" s="35" t="str">
        <f t="array" aca="1" ref="M257" ca="1">IF(ISERROR(OFFSET(#REF!,SMALL(IF(#REF!=RM시즌체크판!C257,ROW(#REF!)-20),6),)),"",(OFFSET(#REF!,SMALL(IF(#REF!=RM시즌체크판!C257,ROW(#REF!)-20),6),)))</f>
        <v/>
      </c>
      <c r="N257" s="27" t="str">
        <f>IF(ISERROR(VLOOKUP(C257,모델촬영리스트!$C:$E,3,)),"",(VLOOKUP(C257,모델촬영리스트!$C:$E,3,)))</f>
        <v/>
      </c>
      <c r="O257" s="23" t="str">
        <f>IF(ISERROR(VLOOKUP(C257,배너촬영리스트!$C:$E,3,)),"",(VLOOKUP(C257,배너촬영리스트!$C:$E,3,)))</f>
        <v/>
      </c>
      <c r="P257" s="36" t="str">
        <f>IF(ISERROR(VLOOKUP(C257,배너촬영리스트!$C:$E,2,)),"",(VLOOKUP(C257,배너촬영리스트!$C:$E,2,)))</f>
        <v/>
      </c>
    </row>
    <row r="258" spans="2:16">
      <c r="B258" s="20" t="str">
        <f t="shared" si="4"/>
        <v>RM</v>
      </c>
      <c r="C258" s="11" t="s">
        <v>247</v>
      </c>
      <c r="D258" s="12" t="e">
        <f>VLOOKUP(C258,#REF!,2,0)</f>
        <v>#REF!</v>
      </c>
      <c r="E258" s="10" t="e">
        <f>VLOOKUP(C258,#REF!,4,0)</f>
        <v>#REF!</v>
      </c>
      <c r="F258" s="37" t="e">
        <f>VLOOKUP(C258,#REF!,8,0)</f>
        <v>#REF!</v>
      </c>
      <c r="G258" s="22" t="str">
        <f>IF(ISERROR(IF(VLOOKUP(C258,#REF!,2,0)&gt;0,"등록","")),"",(IF(VLOOKUP(C258,#REF!,2,0)&gt;0,"등록","")))</f>
        <v/>
      </c>
      <c r="H258" s="33" t="str">
        <f t="array" aca="1" ref="H258" ca="1">IF(ISERROR(OFFSET(#REF!,SMALL(IF(#REF!=RM시즌체크판!C258,ROW(#REF!)-20),1),)),"",(OFFSET(#REF!,SMALL(IF(#REF!=RM시즌체크판!C258,ROW(#REF!)-20),1),)))</f>
        <v/>
      </c>
      <c r="I258" s="34" t="str">
        <f t="array" aca="1" ref="I258" ca="1">IF(ISERROR(OFFSET(#REF!,SMALL(IF(#REF!=RM시즌체크판!C258,ROW(#REF!)-20),2),)),"",(OFFSET(#REF!,SMALL(IF(#REF!=RM시즌체크판!C258,ROW(#REF!)-20),2),)))</f>
        <v/>
      </c>
      <c r="J258" s="34" t="str">
        <f t="array" aca="1" ref="J258" ca="1">IF(ISERROR(OFFSET(#REF!,SMALL(IF(#REF!=RM시즌체크판!C258,ROW(#REF!)-20),3),)),"",(OFFSET(#REF!,SMALL(IF(#REF!=RM시즌체크판!C258,ROW(#REF!)-20),3),)))</f>
        <v/>
      </c>
      <c r="K258" s="34" t="str">
        <f t="array" aca="1" ref="K258" ca="1">IF(ISERROR(OFFSET(#REF!,SMALL(IF(#REF!=RM시즌체크판!C258,ROW(#REF!)-20),4),)),"",(OFFSET(#REF!,SMALL(IF(#REF!=RM시즌체크판!C258,ROW(#REF!)-20),4),)))</f>
        <v/>
      </c>
      <c r="L258" s="34" t="str">
        <f t="array" aca="1" ref="L258" ca="1">IF(ISERROR(OFFSET(#REF!,SMALL(IF(#REF!=RM시즌체크판!C258,ROW(#REF!)-20),5),)),"",(OFFSET(#REF!,SMALL(IF(#REF!=RM시즌체크판!C258,ROW(#REF!)-20),5),)))</f>
        <v/>
      </c>
      <c r="M258" s="35" t="str">
        <f t="array" aca="1" ref="M258" ca="1">IF(ISERROR(OFFSET(#REF!,SMALL(IF(#REF!=RM시즌체크판!C258,ROW(#REF!)-20),6),)),"",(OFFSET(#REF!,SMALL(IF(#REF!=RM시즌체크판!C258,ROW(#REF!)-20),6),)))</f>
        <v/>
      </c>
      <c r="N258" s="27" t="str">
        <f>IF(ISERROR(VLOOKUP(C258,모델촬영리스트!$C:$E,3,)),"",(VLOOKUP(C258,모델촬영리스트!$C:$E,3,)))</f>
        <v/>
      </c>
      <c r="O258" s="23" t="str">
        <f>IF(ISERROR(VLOOKUP(C258,배너촬영리스트!$C:$E,3,)),"",(VLOOKUP(C258,배너촬영리스트!$C:$E,3,)))</f>
        <v/>
      </c>
      <c r="P258" s="36" t="str">
        <f>IF(ISERROR(VLOOKUP(C258,배너촬영리스트!$C:$E,2,)),"",(VLOOKUP(C258,배너촬영리스트!$C:$E,2,)))</f>
        <v/>
      </c>
    </row>
    <row r="259" spans="2:16">
      <c r="B259" s="20" t="str">
        <f t="shared" si="4"/>
        <v>RM</v>
      </c>
      <c r="C259" s="11" t="s">
        <v>248</v>
      </c>
      <c r="D259" s="12" t="e">
        <f>VLOOKUP(C259,#REF!,2,0)</f>
        <v>#REF!</v>
      </c>
      <c r="E259" s="10" t="e">
        <f>VLOOKUP(C259,#REF!,4,0)</f>
        <v>#REF!</v>
      </c>
      <c r="F259" s="37" t="e">
        <f>VLOOKUP(C259,#REF!,8,0)</f>
        <v>#REF!</v>
      </c>
      <c r="G259" s="22" t="str">
        <f>IF(ISERROR(IF(VLOOKUP(C259,#REF!,2,0)&gt;0,"등록","")),"",(IF(VLOOKUP(C259,#REF!,2,0)&gt;0,"등록","")))</f>
        <v/>
      </c>
      <c r="H259" s="33" t="str">
        <f t="array" aca="1" ref="H259" ca="1">IF(ISERROR(OFFSET(#REF!,SMALL(IF(#REF!=RM시즌체크판!C259,ROW(#REF!)-20),1),)),"",(OFFSET(#REF!,SMALL(IF(#REF!=RM시즌체크판!C259,ROW(#REF!)-20),1),)))</f>
        <v/>
      </c>
      <c r="I259" s="34" t="str">
        <f t="array" aca="1" ref="I259" ca="1">IF(ISERROR(OFFSET(#REF!,SMALL(IF(#REF!=RM시즌체크판!C259,ROW(#REF!)-20),2),)),"",(OFFSET(#REF!,SMALL(IF(#REF!=RM시즌체크판!C259,ROW(#REF!)-20),2),)))</f>
        <v/>
      </c>
      <c r="J259" s="34" t="str">
        <f t="array" aca="1" ref="J259" ca="1">IF(ISERROR(OFFSET(#REF!,SMALL(IF(#REF!=RM시즌체크판!C259,ROW(#REF!)-20),3),)),"",(OFFSET(#REF!,SMALL(IF(#REF!=RM시즌체크판!C259,ROW(#REF!)-20),3),)))</f>
        <v/>
      </c>
      <c r="K259" s="34" t="str">
        <f t="array" aca="1" ref="K259" ca="1">IF(ISERROR(OFFSET(#REF!,SMALL(IF(#REF!=RM시즌체크판!C259,ROW(#REF!)-20),4),)),"",(OFFSET(#REF!,SMALL(IF(#REF!=RM시즌체크판!C259,ROW(#REF!)-20),4),)))</f>
        <v/>
      </c>
      <c r="L259" s="34" t="str">
        <f t="array" aca="1" ref="L259" ca="1">IF(ISERROR(OFFSET(#REF!,SMALL(IF(#REF!=RM시즌체크판!C259,ROW(#REF!)-20),5),)),"",(OFFSET(#REF!,SMALL(IF(#REF!=RM시즌체크판!C259,ROW(#REF!)-20),5),)))</f>
        <v/>
      </c>
      <c r="M259" s="35" t="str">
        <f t="array" aca="1" ref="M259" ca="1">IF(ISERROR(OFFSET(#REF!,SMALL(IF(#REF!=RM시즌체크판!C259,ROW(#REF!)-20),6),)),"",(OFFSET(#REF!,SMALL(IF(#REF!=RM시즌체크판!C259,ROW(#REF!)-20),6),)))</f>
        <v/>
      </c>
      <c r="N259" s="27" t="str">
        <f>IF(ISERROR(VLOOKUP(C259,모델촬영리스트!$C:$E,3,)),"",(VLOOKUP(C259,모델촬영리스트!$C:$E,3,)))</f>
        <v/>
      </c>
      <c r="O259" s="23" t="str">
        <f>IF(ISERROR(VLOOKUP(C259,배너촬영리스트!$C:$E,3,)),"",(VLOOKUP(C259,배너촬영리스트!$C:$E,3,)))</f>
        <v/>
      </c>
      <c r="P259" s="36" t="str">
        <f>IF(ISERROR(VLOOKUP(C259,배너촬영리스트!$C:$E,2,)),"",(VLOOKUP(C259,배너촬영리스트!$C:$E,2,)))</f>
        <v/>
      </c>
    </row>
    <row r="260" spans="2:16">
      <c r="B260" s="20" t="str">
        <f t="shared" si="4"/>
        <v>RM</v>
      </c>
      <c r="C260" s="11" t="s">
        <v>250</v>
      </c>
      <c r="D260" s="12" t="e">
        <f>VLOOKUP(C260,#REF!,2,0)</f>
        <v>#REF!</v>
      </c>
      <c r="E260" s="10" t="e">
        <f>VLOOKUP(C260,#REF!,4,0)</f>
        <v>#REF!</v>
      </c>
      <c r="F260" s="37" t="e">
        <f>VLOOKUP(C260,#REF!,8,0)</f>
        <v>#REF!</v>
      </c>
      <c r="G260" s="22" t="str">
        <f>IF(ISERROR(IF(VLOOKUP(C260,#REF!,2,0)&gt;0,"등록","")),"",(IF(VLOOKUP(C260,#REF!,2,0)&gt;0,"등록","")))</f>
        <v/>
      </c>
      <c r="H260" s="33" t="str">
        <f t="array" aca="1" ref="H260" ca="1">IF(ISERROR(OFFSET(#REF!,SMALL(IF(#REF!=RM시즌체크판!C260,ROW(#REF!)-20),1),)),"",(OFFSET(#REF!,SMALL(IF(#REF!=RM시즌체크판!C260,ROW(#REF!)-20),1),)))</f>
        <v/>
      </c>
      <c r="I260" s="34" t="str">
        <f t="array" aca="1" ref="I260" ca="1">IF(ISERROR(OFFSET(#REF!,SMALL(IF(#REF!=RM시즌체크판!C260,ROW(#REF!)-20),2),)),"",(OFFSET(#REF!,SMALL(IF(#REF!=RM시즌체크판!C260,ROW(#REF!)-20),2),)))</f>
        <v/>
      </c>
      <c r="J260" s="34" t="str">
        <f t="array" aca="1" ref="J260" ca="1">IF(ISERROR(OFFSET(#REF!,SMALL(IF(#REF!=RM시즌체크판!C260,ROW(#REF!)-20),3),)),"",(OFFSET(#REF!,SMALL(IF(#REF!=RM시즌체크판!C260,ROW(#REF!)-20),3),)))</f>
        <v/>
      </c>
      <c r="K260" s="34" t="str">
        <f t="array" aca="1" ref="K260" ca="1">IF(ISERROR(OFFSET(#REF!,SMALL(IF(#REF!=RM시즌체크판!C260,ROW(#REF!)-20),4),)),"",(OFFSET(#REF!,SMALL(IF(#REF!=RM시즌체크판!C260,ROW(#REF!)-20),4),)))</f>
        <v/>
      </c>
      <c r="L260" s="34" t="str">
        <f t="array" aca="1" ref="L260" ca="1">IF(ISERROR(OFFSET(#REF!,SMALL(IF(#REF!=RM시즌체크판!C260,ROW(#REF!)-20),5),)),"",(OFFSET(#REF!,SMALL(IF(#REF!=RM시즌체크판!C260,ROW(#REF!)-20),5),)))</f>
        <v/>
      </c>
      <c r="M260" s="35" t="str">
        <f t="array" aca="1" ref="M260" ca="1">IF(ISERROR(OFFSET(#REF!,SMALL(IF(#REF!=RM시즌체크판!C260,ROW(#REF!)-20),6),)),"",(OFFSET(#REF!,SMALL(IF(#REF!=RM시즌체크판!C260,ROW(#REF!)-20),6),)))</f>
        <v/>
      </c>
      <c r="N260" s="27" t="str">
        <f>IF(ISERROR(VLOOKUP(C260,모델촬영리스트!$C:$E,3,)),"",(VLOOKUP(C260,모델촬영리스트!$C:$E,3,)))</f>
        <v/>
      </c>
      <c r="O260" s="23" t="str">
        <f>IF(ISERROR(VLOOKUP(C260,배너촬영리스트!$C:$E,3,)),"",(VLOOKUP(C260,배너촬영리스트!$C:$E,3,)))</f>
        <v/>
      </c>
      <c r="P260" s="36" t="str">
        <f>IF(ISERROR(VLOOKUP(C260,배너촬영리스트!$C:$E,2,)),"",(VLOOKUP(C260,배너촬영리스트!$C:$E,2,)))</f>
        <v/>
      </c>
    </row>
    <row r="261" spans="2:16">
      <c r="B261" s="20" t="str">
        <f t="shared" si="4"/>
        <v>RM</v>
      </c>
      <c r="C261" s="11" t="s">
        <v>268</v>
      </c>
      <c r="D261" s="12" t="e">
        <f>VLOOKUP(C261,#REF!,2,0)</f>
        <v>#REF!</v>
      </c>
      <c r="E261" s="10" t="e">
        <f>VLOOKUP(C261,#REF!,4,0)</f>
        <v>#REF!</v>
      </c>
      <c r="F261" s="37" t="e">
        <f>VLOOKUP(C261,#REF!,8,0)</f>
        <v>#REF!</v>
      </c>
      <c r="G261" s="22" t="str">
        <f>IF(ISERROR(IF(VLOOKUP(C261,#REF!,2,0)&gt;0,"등록","")),"",(IF(VLOOKUP(C261,#REF!,2,0)&gt;0,"등록","")))</f>
        <v/>
      </c>
      <c r="H261" s="33" t="str">
        <f t="array" aca="1" ref="H261" ca="1">IF(ISERROR(OFFSET(#REF!,SMALL(IF(#REF!=RM시즌체크판!C261,ROW(#REF!)-20),1),)),"",(OFFSET(#REF!,SMALL(IF(#REF!=RM시즌체크판!C261,ROW(#REF!)-20),1),)))</f>
        <v/>
      </c>
      <c r="I261" s="34" t="str">
        <f t="array" aca="1" ref="I261" ca="1">IF(ISERROR(OFFSET(#REF!,SMALL(IF(#REF!=RM시즌체크판!C261,ROW(#REF!)-20),2),)),"",(OFFSET(#REF!,SMALL(IF(#REF!=RM시즌체크판!C261,ROW(#REF!)-20),2),)))</f>
        <v/>
      </c>
      <c r="J261" s="34" t="str">
        <f t="array" aca="1" ref="J261" ca="1">IF(ISERROR(OFFSET(#REF!,SMALL(IF(#REF!=RM시즌체크판!C261,ROW(#REF!)-20),3),)),"",(OFFSET(#REF!,SMALL(IF(#REF!=RM시즌체크판!C261,ROW(#REF!)-20),3),)))</f>
        <v/>
      </c>
      <c r="K261" s="34" t="str">
        <f t="array" aca="1" ref="K261" ca="1">IF(ISERROR(OFFSET(#REF!,SMALL(IF(#REF!=RM시즌체크판!C261,ROW(#REF!)-20),4),)),"",(OFFSET(#REF!,SMALL(IF(#REF!=RM시즌체크판!C261,ROW(#REF!)-20),4),)))</f>
        <v/>
      </c>
      <c r="L261" s="34" t="str">
        <f t="array" aca="1" ref="L261" ca="1">IF(ISERROR(OFFSET(#REF!,SMALL(IF(#REF!=RM시즌체크판!C261,ROW(#REF!)-20),5),)),"",(OFFSET(#REF!,SMALL(IF(#REF!=RM시즌체크판!C261,ROW(#REF!)-20),5),)))</f>
        <v/>
      </c>
      <c r="M261" s="35" t="str">
        <f t="array" aca="1" ref="M261" ca="1">IF(ISERROR(OFFSET(#REF!,SMALL(IF(#REF!=RM시즌체크판!C261,ROW(#REF!)-20),6),)),"",(OFFSET(#REF!,SMALL(IF(#REF!=RM시즌체크판!C261,ROW(#REF!)-20),6),)))</f>
        <v/>
      </c>
      <c r="N261" s="27" t="str">
        <f>IF(ISERROR(VLOOKUP(C261,모델촬영리스트!$C:$E,3,)),"",(VLOOKUP(C261,모델촬영리스트!$C:$E,3,)))</f>
        <v/>
      </c>
      <c r="O261" s="23" t="str">
        <f>IF(ISERROR(VLOOKUP(C261,배너촬영리스트!$C:$E,3,)),"",(VLOOKUP(C261,배너촬영리스트!$C:$E,3,)))</f>
        <v/>
      </c>
      <c r="P261" s="36" t="str">
        <f>IF(ISERROR(VLOOKUP(C261,배너촬영리스트!$C:$E,2,)),"",(VLOOKUP(C261,배너촬영리스트!$C:$E,2,)))</f>
        <v/>
      </c>
    </row>
    <row r="262" spans="2:16">
      <c r="B262" s="20" t="str">
        <f t="shared" si="4"/>
        <v>RM</v>
      </c>
      <c r="C262" s="11" t="s">
        <v>269</v>
      </c>
      <c r="D262" s="12" t="e">
        <f>VLOOKUP(C262,#REF!,2,0)</f>
        <v>#REF!</v>
      </c>
      <c r="E262" s="10" t="e">
        <f>VLOOKUP(C262,#REF!,4,0)</f>
        <v>#REF!</v>
      </c>
      <c r="F262" s="37" t="e">
        <f>VLOOKUP(C262,#REF!,8,0)</f>
        <v>#REF!</v>
      </c>
      <c r="G262" s="22" t="str">
        <f>IF(ISERROR(IF(VLOOKUP(C262,#REF!,2,0)&gt;0,"등록","")),"",(IF(VLOOKUP(C262,#REF!,2,0)&gt;0,"등록","")))</f>
        <v/>
      </c>
      <c r="H262" s="33" t="str">
        <f t="array" aca="1" ref="H262" ca="1">IF(ISERROR(OFFSET(#REF!,SMALL(IF(#REF!=RM시즌체크판!C262,ROW(#REF!)-20),1),)),"",(OFFSET(#REF!,SMALL(IF(#REF!=RM시즌체크판!C262,ROW(#REF!)-20),1),)))</f>
        <v/>
      </c>
      <c r="I262" s="34" t="str">
        <f t="array" aca="1" ref="I262" ca="1">IF(ISERROR(OFFSET(#REF!,SMALL(IF(#REF!=RM시즌체크판!C262,ROW(#REF!)-20),2),)),"",(OFFSET(#REF!,SMALL(IF(#REF!=RM시즌체크판!C262,ROW(#REF!)-20),2),)))</f>
        <v/>
      </c>
      <c r="J262" s="34" t="str">
        <f t="array" aca="1" ref="J262" ca="1">IF(ISERROR(OFFSET(#REF!,SMALL(IF(#REF!=RM시즌체크판!C262,ROW(#REF!)-20),3),)),"",(OFFSET(#REF!,SMALL(IF(#REF!=RM시즌체크판!C262,ROW(#REF!)-20),3),)))</f>
        <v/>
      </c>
      <c r="K262" s="34" t="str">
        <f t="array" aca="1" ref="K262" ca="1">IF(ISERROR(OFFSET(#REF!,SMALL(IF(#REF!=RM시즌체크판!C262,ROW(#REF!)-20),4),)),"",(OFFSET(#REF!,SMALL(IF(#REF!=RM시즌체크판!C262,ROW(#REF!)-20),4),)))</f>
        <v/>
      </c>
      <c r="L262" s="34" t="str">
        <f t="array" aca="1" ref="L262" ca="1">IF(ISERROR(OFFSET(#REF!,SMALL(IF(#REF!=RM시즌체크판!C262,ROW(#REF!)-20),5),)),"",(OFFSET(#REF!,SMALL(IF(#REF!=RM시즌체크판!C262,ROW(#REF!)-20),5),)))</f>
        <v/>
      </c>
      <c r="M262" s="35" t="str">
        <f t="array" aca="1" ref="M262" ca="1">IF(ISERROR(OFFSET(#REF!,SMALL(IF(#REF!=RM시즌체크판!C262,ROW(#REF!)-20),6),)),"",(OFFSET(#REF!,SMALL(IF(#REF!=RM시즌체크판!C262,ROW(#REF!)-20),6),)))</f>
        <v/>
      </c>
      <c r="N262" s="27" t="str">
        <f>IF(ISERROR(VLOOKUP(C262,모델촬영리스트!$C:$E,3,)),"",(VLOOKUP(C262,모델촬영리스트!$C:$E,3,)))</f>
        <v/>
      </c>
      <c r="O262" s="23" t="str">
        <f>IF(ISERROR(VLOOKUP(C262,배너촬영리스트!$C:$E,3,)),"",(VLOOKUP(C262,배너촬영리스트!$C:$E,3,)))</f>
        <v/>
      </c>
      <c r="P262" s="36" t="str">
        <f>IF(ISERROR(VLOOKUP(C262,배너촬영리스트!$C:$E,2,)),"",(VLOOKUP(C262,배너촬영리스트!$C:$E,2,)))</f>
        <v/>
      </c>
    </row>
    <row r="263" spans="2:16">
      <c r="B263" s="20" t="str">
        <f t="shared" si="4"/>
        <v>RM</v>
      </c>
      <c r="C263" s="11" t="s">
        <v>270</v>
      </c>
      <c r="D263" s="12" t="e">
        <f>VLOOKUP(C263,#REF!,2,0)</f>
        <v>#REF!</v>
      </c>
      <c r="E263" s="10" t="e">
        <f>VLOOKUP(C263,#REF!,4,0)</f>
        <v>#REF!</v>
      </c>
      <c r="F263" s="37" t="e">
        <f>VLOOKUP(C263,#REF!,8,0)</f>
        <v>#REF!</v>
      </c>
      <c r="G263" s="22" t="str">
        <f>IF(ISERROR(IF(VLOOKUP(C263,#REF!,2,0)&gt;0,"등록","")),"",(IF(VLOOKUP(C263,#REF!,2,0)&gt;0,"등록","")))</f>
        <v/>
      </c>
      <c r="H263" s="33" t="str">
        <f t="array" aca="1" ref="H263" ca="1">IF(ISERROR(OFFSET(#REF!,SMALL(IF(#REF!=RM시즌체크판!C263,ROW(#REF!)-20),1),)),"",(OFFSET(#REF!,SMALL(IF(#REF!=RM시즌체크판!C263,ROW(#REF!)-20),1),)))</f>
        <v/>
      </c>
      <c r="I263" s="34" t="str">
        <f t="array" aca="1" ref="I263" ca="1">IF(ISERROR(OFFSET(#REF!,SMALL(IF(#REF!=RM시즌체크판!C263,ROW(#REF!)-20),2),)),"",(OFFSET(#REF!,SMALL(IF(#REF!=RM시즌체크판!C263,ROW(#REF!)-20),2),)))</f>
        <v/>
      </c>
      <c r="J263" s="34" t="str">
        <f t="array" aca="1" ref="J263" ca="1">IF(ISERROR(OFFSET(#REF!,SMALL(IF(#REF!=RM시즌체크판!C263,ROW(#REF!)-20),3),)),"",(OFFSET(#REF!,SMALL(IF(#REF!=RM시즌체크판!C263,ROW(#REF!)-20),3),)))</f>
        <v/>
      </c>
      <c r="K263" s="34" t="str">
        <f t="array" aca="1" ref="K263" ca="1">IF(ISERROR(OFFSET(#REF!,SMALL(IF(#REF!=RM시즌체크판!C263,ROW(#REF!)-20),4),)),"",(OFFSET(#REF!,SMALL(IF(#REF!=RM시즌체크판!C263,ROW(#REF!)-20),4),)))</f>
        <v/>
      </c>
      <c r="L263" s="34" t="str">
        <f t="array" aca="1" ref="L263" ca="1">IF(ISERROR(OFFSET(#REF!,SMALL(IF(#REF!=RM시즌체크판!C263,ROW(#REF!)-20),5),)),"",(OFFSET(#REF!,SMALL(IF(#REF!=RM시즌체크판!C263,ROW(#REF!)-20),5),)))</f>
        <v/>
      </c>
      <c r="M263" s="35" t="str">
        <f t="array" aca="1" ref="M263" ca="1">IF(ISERROR(OFFSET(#REF!,SMALL(IF(#REF!=RM시즌체크판!C263,ROW(#REF!)-20),6),)),"",(OFFSET(#REF!,SMALL(IF(#REF!=RM시즌체크판!C263,ROW(#REF!)-20),6),)))</f>
        <v/>
      </c>
      <c r="N263" s="27" t="str">
        <f>IF(ISERROR(VLOOKUP(C263,모델촬영리스트!$C:$E,3,)),"",(VLOOKUP(C263,모델촬영리스트!$C:$E,3,)))</f>
        <v/>
      </c>
      <c r="O263" s="23" t="str">
        <f>IF(ISERROR(VLOOKUP(C263,배너촬영리스트!$C:$E,3,)),"",(VLOOKUP(C263,배너촬영리스트!$C:$E,3,)))</f>
        <v/>
      </c>
      <c r="P263" s="36" t="str">
        <f>IF(ISERROR(VLOOKUP(C263,배너촬영리스트!$C:$E,2,)),"",(VLOOKUP(C263,배너촬영리스트!$C:$E,2,)))</f>
        <v/>
      </c>
    </row>
    <row r="264" spans="2:16">
      <c r="B264" s="20" t="str">
        <f t="shared" si="4"/>
        <v>RM</v>
      </c>
      <c r="C264" s="11" t="s">
        <v>271</v>
      </c>
      <c r="D264" s="12" t="e">
        <f>VLOOKUP(C264,#REF!,2,0)</f>
        <v>#REF!</v>
      </c>
      <c r="E264" s="10" t="e">
        <f>VLOOKUP(C264,#REF!,4,0)</f>
        <v>#REF!</v>
      </c>
      <c r="F264" s="37" t="e">
        <f>VLOOKUP(C264,#REF!,8,0)</f>
        <v>#REF!</v>
      </c>
      <c r="G264" s="22" t="str">
        <f>IF(ISERROR(IF(VLOOKUP(C264,#REF!,2,0)&gt;0,"등록","")),"",(IF(VLOOKUP(C264,#REF!,2,0)&gt;0,"등록","")))</f>
        <v/>
      </c>
      <c r="H264" s="33" t="str">
        <f t="array" aca="1" ref="H264" ca="1">IF(ISERROR(OFFSET(#REF!,SMALL(IF(#REF!=RM시즌체크판!C264,ROW(#REF!)-20),1),)),"",(OFFSET(#REF!,SMALL(IF(#REF!=RM시즌체크판!C264,ROW(#REF!)-20),1),)))</f>
        <v/>
      </c>
      <c r="I264" s="34" t="str">
        <f t="array" aca="1" ref="I264" ca="1">IF(ISERROR(OFFSET(#REF!,SMALL(IF(#REF!=RM시즌체크판!C264,ROW(#REF!)-20),2),)),"",(OFFSET(#REF!,SMALL(IF(#REF!=RM시즌체크판!C264,ROW(#REF!)-20),2),)))</f>
        <v/>
      </c>
      <c r="J264" s="34" t="str">
        <f t="array" aca="1" ref="J264" ca="1">IF(ISERROR(OFFSET(#REF!,SMALL(IF(#REF!=RM시즌체크판!C264,ROW(#REF!)-20),3),)),"",(OFFSET(#REF!,SMALL(IF(#REF!=RM시즌체크판!C264,ROW(#REF!)-20),3),)))</f>
        <v/>
      </c>
      <c r="K264" s="34" t="str">
        <f t="array" aca="1" ref="K264" ca="1">IF(ISERROR(OFFSET(#REF!,SMALL(IF(#REF!=RM시즌체크판!C264,ROW(#REF!)-20),4),)),"",(OFFSET(#REF!,SMALL(IF(#REF!=RM시즌체크판!C264,ROW(#REF!)-20),4),)))</f>
        <v/>
      </c>
      <c r="L264" s="34" t="str">
        <f t="array" aca="1" ref="L264" ca="1">IF(ISERROR(OFFSET(#REF!,SMALL(IF(#REF!=RM시즌체크판!C264,ROW(#REF!)-20),5),)),"",(OFFSET(#REF!,SMALL(IF(#REF!=RM시즌체크판!C264,ROW(#REF!)-20),5),)))</f>
        <v/>
      </c>
      <c r="M264" s="35" t="str">
        <f t="array" aca="1" ref="M264" ca="1">IF(ISERROR(OFFSET(#REF!,SMALL(IF(#REF!=RM시즌체크판!C264,ROW(#REF!)-20),6),)),"",(OFFSET(#REF!,SMALL(IF(#REF!=RM시즌체크판!C264,ROW(#REF!)-20),6),)))</f>
        <v/>
      </c>
      <c r="N264" s="27" t="str">
        <f>IF(ISERROR(VLOOKUP(C264,모델촬영리스트!$C:$E,3,)),"",(VLOOKUP(C264,모델촬영리스트!$C:$E,3,)))</f>
        <v/>
      </c>
      <c r="O264" s="23" t="str">
        <f>IF(ISERROR(VLOOKUP(C264,배너촬영리스트!$C:$E,3,)),"",(VLOOKUP(C264,배너촬영리스트!$C:$E,3,)))</f>
        <v/>
      </c>
      <c r="P264" s="36" t="str">
        <f>IF(ISERROR(VLOOKUP(C264,배너촬영리스트!$C:$E,2,)),"",(VLOOKUP(C264,배너촬영리스트!$C:$E,2,)))</f>
        <v/>
      </c>
    </row>
    <row r="265" spans="2:16">
      <c r="B265" s="20" t="str">
        <f t="shared" si="4"/>
        <v>RM</v>
      </c>
      <c r="C265" s="11" t="s">
        <v>272</v>
      </c>
      <c r="D265" s="12" t="e">
        <f>VLOOKUP(C265,#REF!,2,0)</f>
        <v>#REF!</v>
      </c>
      <c r="E265" s="10" t="e">
        <f>VLOOKUP(C265,#REF!,4,0)</f>
        <v>#REF!</v>
      </c>
      <c r="F265" s="37" t="e">
        <f>VLOOKUP(C265,#REF!,8,0)</f>
        <v>#REF!</v>
      </c>
      <c r="G265" s="22" t="str">
        <f>IF(ISERROR(IF(VLOOKUP(C265,#REF!,2,0)&gt;0,"등록","")),"",(IF(VLOOKUP(C265,#REF!,2,0)&gt;0,"등록","")))</f>
        <v/>
      </c>
      <c r="H265" s="33" t="str">
        <f t="array" aca="1" ref="H265" ca="1">IF(ISERROR(OFFSET(#REF!,SMALL(IF(#REF!=RM시즌체크판!C265,ROW(#REF!)-20),1),)),"",(OFFSET(#REF!,SMALL(IF(#REF!=RM시즌체크판!C265,ROW(#REF!)-20),1),)))</f>
        <v/>
      </c>
      <c r="I265" s="34" t="str">
        <f t="array" aca="1" ref="I265" ca="1">IF(ISERROR(OFFSET(#REF!,SMALL(IF(#REF!=RM시즌체크판!C265,ROW(#REF!)-20),2),)),"",(OFFSET(#REF!,SMALL(IF(#REF!=RM시즌체크판!C265,ROW(#REF!)-20),2),)))</f>
        <v/>
      </c>
      <c r="J265" s="34" t="str">
        <f t="array" aca="1" ref="J265" ca="1">IF(ISERROR(OFFSET(#REF!,SMALL(IF(#REF!=RM시즌체크판!C265,ROW(#REF!)-20),3),)),"",(OFFSET(#REF!,SMALL(IF(#REF!=RM시즌체크판!C265,ROW(#REF!)-20),3),)))</f>
        <v/>
      </c>
      <c r="K265" s="34" t="str">
        <f t="array" aca="1" ref="K265" ca="1">IF(ISERROR(OFFSET(#REF!,SMALL(IF(#REF!=RM시즌체크판!C265,ROW(#REF!)-20),4),)),"",(OFFSET(#REF!,SMALL(IF(#REF!=RM시즌체크판!C265,ROW(#REF!)-20),4),)))</f>
        <v/>
      </c>
      <c r="L265" s="34" t="str">
        <f t="array" aca="1" ref="L265" ca="1">IF(ISERROR(OFFSET(#REF!,SMALL(IF(#REF!=RM시즌체크판!C265,ROW(#REF!)-20),5),)),"",(OFFSET(#REF!,SMALL(IF(#REF!=RM시즌체크판!C265,ROW(#REF!)-20),5),)))</f>
        <v/>
      </c>
      <c r="M265" s="35" t="str">
        <f t="array" aca="1" ref="M265" ca="1">IF(ISERROR(OFFSET(#REF!,SMALL(IF(#REF!=RM시즌체크판!C265,ROW(#REF!)-20),6),)),"",(OFFSET(#REF!,SMALL(IF(#REF!=RM시즌체크판!C265,ROW(#REF!)-20),6),)))</f>
        <v/>
      </c>
      <c r="N265" s="27" t="str">
        <f>IF(ISERROR(VLOOKUP(C265,모델촬영리스트!$C:$E,3,)),"",(VLOOKUP(C265,모델촬영리스트!$C:$E,3,)))</f>
        <v/>
      </c>
      <c r="O265" s="23" t="str">
        <f>IF(ISERROR(VLOOKUP(C265,배너촬영리스트!$C:$E,3,)),"",(VLOOKUP(C265,배너촬영리스트!$C:$E,3,)))</f>
        <v/>
      </c>
      <c r="P265" s="36" t="str">
        <f>IF(ISERROR(VLOOKUP(C265,배너촬영리스트!$C:$E,2,)),"",(VLOOKUP(C265,배너촬영리스트!$C:$E,2,)))</f>
        <v/>
      </c>
    </row>
    <row r="266" spans="2:16">
      <c r="B266" s="20" t="str">
        <f t="shared" si="4"/>
        <v>RM</v>
      </c>
      <c r="C266" s="11" t="s">
        <v>273</v>
      </c>
      <c r="D266" s="12" t="e">
        <f>VLOOKUP(C266,#REF!,2,0)</f>
        <v>#REF!</v>
      </c>
      <c r="E266" s="10" t="e">
        <f>VLOOKUP(C266,#REF!,4,0)</f>
        <v>#REF!</v>
      </c>
      <c r="F266" s="37" t="e">
        <f>VLOOKUP(C266,#REF!,8,0)</f>
        <v>#REF!</v>
      </c>
      <c r="G266" s="22" t="str">
        <f>IF(ISERROR(IF(VLOOKUP(C266,#REF!,2,0)&gt;0,"등록","")),"",(IF(VLOOKUP(C266,#REF!,2,0)&gt;0,"등록","")))</f>
        <v/>
      </c>
      <c r="H266" s="33" t="str">
        <f t="array" aca="1" ref="H266" ca="1">IF(ISERROR(OFFSET(#REF!,SMALL(IF(#REF!=RM시즌체크판!C266,ROW(#REF!)-20),1),)),"",(OFFSET(#REF!,SMALL(IF(#REF!=RM시즌체크판!C266,ROW(#REF!)-20),1),)))</f>
        <v/>
      </c>
      <c r="I266" s="34" t="str">
        <f t="array" aca="1" ref="I266" ca="1">IF(ISERROR(OFFSET(#REF!,SMALL(IF(#REF!=RM시즌체크판!C266,ROW(#REF!)-20),2),)),"",(OFFSET(#REF!,SMALL(IF(#REF!=RM시즌체크판!C266,ROW(#REF!)-20),2),)))</f>
        <v/>
      </c>
      <c r="J266" s="34" t="str">
        <f t="array" aca="1" ref="J266" ca="1">IF(ISERROR(OFFSET(#REF!,SMALL(IF(#REF!=RM시즌체크판!C266,ROW(#REF!)-20),3),)),"",(OFFSET(#REF!,SMALL(IF(#REF!=RM시즌체크판!C266,ROW(#REF!)-20),3),)))</f>
        <v/>
      </c>
      <c r="K266" s="34" t="str">
        <f t="array" aca="1" ref="K266" ca="1">IF(ISERROR(OFFSET(#REF!,SMALL(IF(#REF!=RM시즌체크판!C266,ROW(#REF!)-20),4),)),"",(OFFSET(#REF!,SMALL(IF(#REF!=RM시즌체크판!C266,ROW(#REF!)-20),4),)))</f>
        <v/>
      </c>
      <c r="L266" s="34" t="str">
        <f t="array" aca="1" ref="L266" ca="1">IF(ISERROR(OFFSET(#REF!,SMALL(IF(#REF!=RM시즌체크판!C266,ROW(#REF!)-20),5),)),"",(OFFSET(#REF!,SMALL(IF(#REF!=RM시즌체크판!C266,ROW(#REF!)-20),5),)))</f>
        <v/>
      </c>
      <c r="M266" s="35" t="str">
        <f t="array" aca="1" ref="M266" ca="1">IF(ISERROR(OFFSET(#REF!,SMALL(IF(#REF!=RM시즌체크판!C266,ROW(#REF!)-20),6),)),"",(OFFSET(#REF!,SMALL(IF(#REF!=RM시즌체크판!C266,ROW(#REF!)-20),6),)))</f>
        <v/>
      </c>
      <c r="N266" s="27" t="str">
        <f>IF(ISERROR(VLOOKUP(C266,모델촬영리스트!$C:$E,3,)),"",(VLOOKUP(C266,모델촬영리스트!$C:$E,3,)))</f>
        <v/>
      </c>
      <c r="O266" s="23" t="str">
        <f>IF(ISERROR(VLOOKUP(C266,배너촬영리스트!$C:$E,3,)),"",(VLOOKUP(C266,배너촬영리스트!$C:$E,3,)))</f>
        <v/>
      </c>
      <c r="P266" s="36" t="str">
        <f>IF(ISERROR(VLOOKUP(C266,배너촬영리스트!$C:$E,2,)),"",(VLOOKUP(C266,배너촬영리스트!$C:$E,2,)))</f>
        <v/>
      </c>
    </row>
    <row r="267" spans="2:16">
      <c r="B267" s="20" t="str">
        <f t="shared" si="4"/>
        <v>RM</v>
      </c>
      <c r="C267" s="11" t="s">
        <v>274</v>
      </c>
      <c r="D267" s="12" t="e">
        <f>VLOOKUP(C267,#REF!,2,0)</f>
        <v>#REF!</v>
      </c>
      <c r="E267" s="10" t="e">
        <f>VLOOKUP(C267,#REF!,4,0)</f>
        <v>#REF!</v>
      </c>
      <c r="F267" s="37" t="e">
        <f>VLOOKUP(C267,#REF!,8,0)</f>
        <v>#REF!</v>
      </c>
      <c r="G267" s="22" t="str">
        <f>IF(ISERROR(IF(VLOOKUP(C267,#REF!,2,0)&gt;0,"등록","")),"",(IF(VLOOKUP(C267,#REF!,2,0)&gt;0,"등록","")))</f>
        <v/>
      </c>
      <c r="H267" s="33" t="str">
        <f t="array" aca="1" ref="H267" ca="1">IF(ISERROR(OFFSET(#REF!,SMALL(IF(#REF!=RM시즌체크판!C267,ROW(#REF!)-20),1),)),"",(OFFSET(#REF!,SMALL(IF(#REF!=RM시즌체크판!C267,ROW(#REF!)-20),1),)))</f>
        <v/>
      </c>
      <c r="I267" s="34" t="str">
        <f t="array" aca="1" ref="I267" ca="1">IF(ISERROR(OFFSET(#REF!,SMALL(IF(#REF!=RM시즌체크판!C267,ROW(#REF!)-20),2),)),"",(OFFSET(#REF!,SMALL(IF(#REF!=RM시즌체크판!C267,ROW(#REF!)-20),2),)))</f>
        <v/>
      </c>
      <c r="J267" s="34" t="str">
        <f t="array" aca="1" ref="J267" ca="1">IF(ISERROR(OFFSET(#REF!,SMALL(IF(#REF!=RM시즌체크판!C267,ROW(#REF!)-20),3),)),"",(OFFSET(#REF!,SMALL(IF(#REF!=RM시즌체크판!C267,ROW(#REF!)-20),3),)))</f>
        <v/>
      </c>
      <c r="K267" s="34" t="str">
        <f t="array" aca="1" ref="K267" ca="1">IF(ISERROR(OFFSET(#REF!,SMALL(IF(#REF!=RM시즌체크판!C267,ROW(#REF!)-20),4),)),"",(OFFSET(#REF!,SMALL(IF(#REF!=RM시즌체크판!C267,ROW(#REF!)-20),4),)))</f>
        <v/>
      </c>
      <c r="L267" s="34" t="str">
        <f t="array" aca="1" ref="L267" ca="1">IF(ISERROR(OFFSET(#REF!,SMALL(IF(#REF!=RM시즌체크판!C267,ROW(#REF!)-20),5),)),"",(OFFSET(#REF!,SMALL(IF(#REF!=RM시즌체크판!C267,ROW(#REF!)-20),5),)))</f>
        <v/>
      </c>
      <c r="M267" s="35" t="str">
        <f t="array" aca="1" ref="M267" ca="1">IF(ISERROR(OFFSET(#REF!,SMALL(IF(#REF!=RM시즌체크판!C267,ROW(#REF!)-20),6),)),"",(OFFSET(#REF!,SMALL(IF(#REF!=RM시즌체크판!C267,ROW(#REF!)-20),6),)))</f>
        <v/>
      </c>
      <c r="N267" s="27" t="str">
        <f>IF(ISERROR(VLOOKUP(C267,모델촬영리스트!$C:$E,3,)),"",(VLOOKUP(C267,모델촬영리스트!$C:$E,3,)))</f>
        <v/>
      </c>
      <c r="O267" s="23" t="str">
        <f>IF(ISERROR(VLOOKUP(C267,배너촬영리스트!$C:$E,3,)),"",(VLOOKUP(C267,배너촬영리스트!$C:$E,3,)))</f>
        <v/>
      </c>
      <c r="P267" s="36" t="str">
        <f>IF(ISERROR(VLOOKUP(C267,배너촬영리스트!$C:$E,2,)),"",(VLOOKUP(C267,배너촬영리스트!$C:$E,2,)))</f>
        <v/>
      </c>
    </row>
    <row r="268" spans="2:16">
      <c r="B268" s="20" t="str">
        <f t="shared" si="4"/>
        <v>RM</v>
      </c>
      <c r="C268" s="11" t="s">
        <v>275</v>
      </c>
      <c r="D268" s="12" t="e">
        <f>VLOOKUP(C268,#REF!,2,0)</f>
        <v>#REF!</v>
      </c>
      <c r="E268" s="10" t="e">
        <f>VLOOKUP(C268,#REF!,4,0)</f>
        <v>#REF!</v>
      </c>
      <c r="F268" s="37" t="e">
        <f>VLOOKUP(C268,#REF!,8,0)</f>
        <v>#REF!</v>
      </c>
      <c r="G268" s="22" t="str">
        <f>IF(ISERROR(IF(VLOOKUP(C268,#REF!,2,0)&gt;0,"등록","")),"",(IF(VLOOKUP(C268,#REF!,2,0)&gt;0,"등록","")))</f>
        <v/>
      </c>
      <c r="H268" s="33" t="str">
        <f t="array" aca="1" ref="H268" ca="1">IF(ISERROR(OFFSET(#REF!,SMALL(IF(#REF!=RM시즌체크판!C268,ROW(#REF!)-20),1),)),"",(OFFSET(#REF!,SMALL(IF(#REF!=RM시즌체크판!C268,ROW(#REF!)-20),1),)))</f>
        <v/>
      </c>
      <c r="I268" s="34" t="str">
        <f t="array" aca="1" ref="I268" ca="1">IF(ISERROR(OFFSET(#REF!,SMALL(IF(#REF!=RM시즌체크판!C268,ROW(#REF!)-20),2),)),"",(OFFSET(#REF!,SMALL(IF(#REF!=RM시즌체크판!C268,ROW(#REF!)-20),2),)))</f>
        <v/>
      </c>
      <c r="J268" s="34" t="str">
        <f t="array" aca="1" ref="J268" ca="1">IF(ISERROR(OFFSET(#REF!,SMALL(IF(#REF!=RM시즌체크판!C268,ROW(#REF!)-20),3),)),"",(OFFSET(#REF!,SMALL(IF(#REF!=RM시즌체크판!C268,ROW(#REF!)-20),3),)))</f>
        <v/>
      </c>
      <c r="K268" s="34" t="str">
        <f t="array" aca="1" ref="K268" ca="1">IF(ISERROR(OFFSET(#REF!,SMALL(IF(#REF!=RM시즌체크판!C268,ROW(#REF!)-20),4),)),"",(OFFSET(#REF!,SMALL(IF(#REF!=RM시즌체크판!C268,ROW(#REF!)-20),4),)))</f>
        <v/>
      </c>
      <c r="L268" s="34" t="str">
        <f t="array" aca="1" ref="L268" ca="1">IF(ISERROR(OFFSET(#REF!,SMALL(IF(#REF!=RM시즌체크판!C268,ROW(#REF!)-20),5),)),"",(OFFSET(#REF!,SMALL(IF(#REF!=RM시즌체크판!C268,ROW(#REF!)-20),5),)))</f>
        <v/>
      </c>
      <c r="M268" s="35" t="str">
        <f t="array" aca="1" ref="M268" ca="1">IF(ISERROR(OFFSET(#REF!,SMALL(IF(#REF!=RM시즌체크판!C268,ROW(#REF!)-20),6),)),"",(OFFSET(#REF!,SMALL(IF(#REF!=RM시즌체크판!C268,ROW(#REF!)-20),6),)))</f>
        <v/>
      </c>
      <c r="N268" s="27" t="str">
        <f>IF(ISERROR(VLOOKUP(C268,모델촬영리스트!$C:$E,3,)),"",(VLOOKUP(C268,모델촬영리스트!$C:$E,3,)))</f>
        <v/>
      </c>
      <c r="O268" s="23" t="str">
        <f>IF(ISERROR(VLOOKUP(C268,배너촬영리스트!$C:$E,3,)),"",(VLOOKUP(C268,배너촬영리스트!$C:$E,3,)))</f>
        <v/>
      </c>
      <c r="P268" s="36" t="str">
        <f>IF(ISERROR(VLOOKUP(C268,배너촬영리스트!$C:$E,2,)),"",(VLOOKUP(C268,배너촬영리스트!$C:$E,2,)))</f>
        <v/>
      </c>
    </row>
    <row r="269" spans="2:16">
      <c r="B269" s="20" t="str">
        <f t="shared" si="4"/>
        <v>RM</v>
      </c>
      <c r="C269" s="11" t="s">
        <v>276</v>
      </c>
      <c r="D269" s="12" t="e">
        <f>VLOOKUP(C269,#REF!,2,0)</f>
        <v>#REF!</v>
      </c>
      <c r="E269" s="10" t="e">
        <f>VLOOKUP(C269,#REF!,4,0)</f>
        <v>#REF!</v>
      </c>
      <c r="F269" s="37" t="e">
        <f>VLOOKUP(C269,#REF!,8,0)</f>
        <v>#REF!</v>
      </c>
      <c r="G269" s="22" t="str">
        <f>IF(ISERROR(IF(VLOOKUP(C269,#REF!,2,0)&gt;0,"등록","")),"",(IF(VLOOKUP(C269,#REF!,2,0)&gt;0,"등록","")))</f>
        <v/>
      </c>
      <c r="H269" s="33" t="str">
        <f t="array" aca="1" ref="H269" ca="1">IF(ISERROR(OFFSET(#REF!,SMALL(IF(#REF!=RM시즌체크판!C269,ROW(#REF!)-20),1),)),"",(OFFSET(#REF!,SMALL(IF(#REF!=RM시즌체크판!C269,ROW(#REF!)-20),1),)))</f>
        <v/>
      </c>
      <c r="I269" s="34" t="str">
        <f t="array" aca="1" ref="I269" ca="1">IF(ISERROR(OFFSET(#REF!,SMALL(IF(#REF!=RM시즌체크판!C269,ROW(#REF!)-20),2),)),"",(OFFSET(#REF!,SMALL(IF(#REF!=RM시즌체크판!C269,ROW(#REF!)-20),2),)))</f>
        <v/>
      </c>
      <c r="J269" s="34" t="str">
        <f t="array" aca="1" ref="J269" ca="1">IF(ISERROR(OFFSET(#REF!,SMALL(IF(#REF!=RM시즌체크판!C269,ROW(#REF!)-20),3),)),"",(OFFSET(#REF!,SMALL(IF(#REF!=RM시즌체크판!C269,ROW(#REF!)-20),3),)))</f>
        <v/>
      </c>
      <c r="K269" s="34" t="str">
        <f t="array" aca="1" ref="K269" ca="1">IF(ISERROR(OFFSET(#REF!,SMALL(IF(#REF!=RM시즌체크판!C269,ROW(#REF!)-20),4),)),"",(OFFSET(#REF!,SMALL(IF(#REF!=RM시즌체크판!C269,ROW(#REF!)-20),4),)))</f>
        <v/>
      </c>
      <c r="L269" s="34" t="str">
        <f t="array" aca="1" ref="L269" ca="1">IF(ISERROR(OFFSET(#REF!,SMALL(IF(#REF!=RM시즌체크판!C269,ROW(#REF!)-20),5),)),"",(OFFSET(#REF!,SMALL(IF(#REF!=RM시즌체크판!C269,ROW(#REF!)-20),5),)))</f>
        <v/>
      </c>
      <c r="M269" s="35" t="str">
        <f t="array" aca="1" ref="M269" ca="1">IF(ISERROR(OFFSET(#REF!,SMALL(IF(#REF!=RM시즌체크판!C269,ROW(#REF!)-20),6),)),"",(OFFSET(#REF!,SMALL(IF(#REF!=RM시즌체크판!C269,ROW(#REF!)-20),6),)))</f>
        <v/>
      </c>
      <c r="N269" s="27" t="str">
        <f>IF(ISERROR(VLOOKUP(C269,모델촬영리스트!$C:$E,3,)),"",(VLOOKUP(C269,모델촬영리스트!$C:$E,3,)))</f>
        <v/>
      </c>
      <c r="O269" s="23" t="str">
        <f>IF(ISERROR(VLOOKUP(C269,배너촬영리스트!$C:$E,3,)),"",(VLOOKUP(C269,배너촬영리스트!$C:$E,3,)))</f>
        <v/>
      </c>
      <c r="P269" s="36" t="str">
        <f>IF(ISERROR(VLOOKUP(C269,배너촬영리스트!$C:$E,2,)),"",(VLOOKUP(C269,배너촬영리스트!$C:$E,2,)))</f>
        <v/>
      </c>
    </row>
    <row r="270" spans="2:16">
      <c r="B270" s="20" t="str">
        <f t="shared" si="4"/>
        <v>RM</v>
      </c>
      <c r="C270" s="11" t="s">
        <v>277</v>
      </c>
      <c r="D270" s="12" t="e">
        <f>VLOOKUP(C270,#REF!,2,0)</f>
        <v>#REF!</v>
      </c>
      <c r="E270" s="10" t="e">
        <f>VLOOKUP(C270,#REF!,4,0)</f>
        <v>#REF!</v>
      </c>
      <c r="F270" s="37" t="e">
        <f>VLOOKUP(C270,#REF!,8,0)</f>
        <v>#REF!</v>
      </c>
      <c r="G270" s="22" t="str">
        <f>IF(ISERROR(IF(VLOOKUP(C270,#REF!,2,0)&gt;0,"등록","")),"",(IF(VLOOKUP(C270,#REF!,2,0)&gt;0,"등록","")))</f>
        <v/>
      </c>
      <c r="H270" s="33" t="str">
        <f t="array" aca="1" ref="H270" ca="1">IF(ISERROR(OFFSET(#REF!,SMALL(IF(#REF!=RM시즌체크판!C270,ROW(#REF!)-20),1),)),"",(OFFSET(#REF!,SMALL(IF(#REF!=RM시즌체크판!C270,ROW(#REF!)-20),1),)))</f>
        <v/>
      </c>
      <c r="I270" s="34" t="str">
        <f t="array" aca="1" ref="I270" ca="1">IF(ISERROR(OFFSET(#REF!,SMALL(IF(#REF!=RM시즌체크판!C270,ROW(#REF!)-20),2),)),"",(OFFSET(#REF!,SMALL(IF(#REF!=RM시즌체크판!C270,ROW(#REF!)-20),2),)))</f>
        <v/>
      </c>
      <c r="J270" s="34" t="str">
        <f t="array" aca="1" ref="J270" ca="1">IF(ISERROR(OFFSET(#REF!,SMALL(IF(#REF!=RM시즌체크판!C270,ROW(#REF!)-20),3),)),"",(OFFSET(#REF!,SMALL(IF(#REF!=RM시즌체크판!C270,ROW(#REF!)-20),3),)))</f>
        <v/>
      </c>
      <c r="K270" s="34" t="str">
        <f t="array" aca="1" ref="K270" ca="1">IF(ISERROR(OFFSET(#REF!,SMALL(IF(#REF!=RM시즌체크판!C270,ROW(#REF!)-20),4),)),"",(OFFSET(#REF!,SMALL(IF(#REF!=RM시즌체크판!C270,ROW(#REF!)-20),4),)))</f>
        <v/>
      </c>
      <c r="L270" s="34" t="str">
        <f t="array" aca="1" ref="L270" ca="1">IF(ISERROR(OFFSET(#REF!,SMALL(IF(#REF!=RM시즌체크판!C270,ROW(#REF!)-20),5),)),"",(OFFSET(#REF!,SMALL(IF(#REF!=RM시즌체크판!C270,ROW(#REF!)-20),5),)))</f>
        <v/>
      </c>
      <c r="M270" s="35" t="str">
        <f t="array" aca="1" ref="M270" ca="1">IF(ISERROR(OFFSET(#REF!,SMALL(IF(#REF!=RM시즌체크판!C270,ROW(#REF!)-20),6),)),"",(OFFSET(#REF!,SMALL(IF(#REF!=RM시즌체크판!C270,ROW(#REF!)-20),6),)))</f>
        <v/>
      </c>
      <c r="N270" s="27" t="str">
        <f>IF(ISERROR(VLOOKUP(C270,모델촬영리스트!$C:$E,3,)),"",(VLOOKUP(C270,모델촬영리스트!$C:$E,3,)))</f>
        <v/>
      </c>
      <c r="O270" s="23" t="str">
        <f>IF(ISERROR(VLOOKUP(C270,배너촬영리스트!$C:$E,3,)),"",(VLOOKUP(C270,배너촬영리스트!$C:$E,3,)))</f>
        <v/>
      </c>
      <c r="P270" s="36" t="str">
        <f>IF(ISERROR(VLOOKUP(C270,배너촬영리스트!$C:$E,2,)),"",(VLOOKUP(C270,배너촬영리스트!$C:$E,2,)))</f>
        <v/>
      </c>
    </row>
    <row r="271" spans="2:16">
      <c r="B271" s="20" t="str">
        <f t="shared" si="4"/>
        <v>RM</v>
      </c>
      <c r="C271" s="11" t="s">
        <v>278</v>
      </c>
      <c r="D271" s="12" t="e">
        <f>VLOOKUP(C271,#REF!,2,0)</f>
        <v>#REF!</v>
      </c>
      <c r="E271" s="10" t="e">
        <f>VLOOKUP(C271,#REF!,4,0)</f>
        <v>#REF!</v>
      </c>
      <c r="F271" s="37" t="e">
        <f>VLOOKUP(C271,#REF!,8,0)</f>
        <v>#REF!</v>
      </c>
      <c r="G271" s="22" t="str">
        <f>IF(ISERROR(IF(VLOOKUP(C271,#REF!,2,0)&gt;0,"등록","")),"",(IF(VLOOKUP(C271,#REF!,2,0)&gt;0,"등록","")))</f>
        <v/>
      </c>
      <c r="H271" s="33" t="str">
        <f t="array" aca="1" ref="H271" ca="1">IF(ISERROR(OFFSET(#REF!,SMALL(IF(#REF!=RM시즌체크판!C271,ROW(#REF!)-20),1),)),"",(OFFSET(#REF!,SMALL(IF(#REF!=RM시즌체크판!C271,ROW(#REF!)-20),1),)))</f>
        <v/>
      </c>
      <c r="I271" s="34" t="str">
        <f t="array" aca="1" ref="I271" ca="1">IF(ISERROR(OFFSET(#REF!,SMALL(IF(#REF!=RM시즌체크판!C271,ROW(#REF!)-20),2),)),"",(OFFSET(#REF!,SMALL(IF(#REF!=RM시즌체크판!C271,ROW(#REF!)-20),2),)))</f>
        <v/>
      </c>
      <c r="J271" s="34" t="str">
        <f t="array" aca="1" ref="J271" ca="1">IF(ISERROR(OFFSET(#REF!,SMALL(IF(#REF!=RM시즌체크판!C271,ROW(#REF!)-20),3),)),"",(OFFSET(#REF!,SMALL(IF(#REF!=RM시즌체크판!C271,ROW(#REF!)-20),3),)))</f>
        <v/>
      </c>
      <c r="K271" s="34" t="str">
        <f t="array" aca="1" ref="K271" ca="1">IF(ISERROR(OFFSET(#REF!,SMALL(IF(#REF!=RM시즌체크판!C271,ROW(#REF!)-20),4),)),"",(OFFSET(#REF!,SMALL(IF(#REF!=RM시즌체크판!C271,ROW(#REF!)-20),4),)))</f>
        <v/>
      </c>
      <c r="L271" s="34" t="str">
        <f t="array" aca="1" ref="L271" ca="1">IF(ISERROR(OFFSET(#REF!,SMALL(IF(#REF!=RM시즌체크판!C271,ROW(#REF!)-20),5),)),"",(OFFSET(#REF!,SMALL(IF(#REF!=RM시즌체크판!C271,ROW(#REF!)-20),5),)))</f>
        <v/>
      </c>
      <c r="M271" s="35" t="str">
        <f t="array" aca="1" ref="M271" ca="1">IF(ISERROR(OFFSET(#REF!,SMALL(IF(#REF!=RM시즌체크판!C271,ROW(#REF!)-20),6),)),"",(OFFSET(#REF!,SMALL(IF(#REF!=RM시즌체크판!C271,ROW(#REF!)-20),6),)))</f>
        <v/>
      </c>
      <c r="N271" s="27" t="str">
        <f>IF(ISERROR(VLOOKUP(C271,모델촬영리스트!$C:$E,3,)),"",(VLOOKUP(C271,모델촬영리스트!$C:$E,3,)))</f>
        <v/>
      </c>
      <c r="O271" s="23" t="str">
        <f>IF(ISERROR(VLOOKUP(C271,배너촬영리스트!$C:$E,3,)),"",(VLOOKUP(C271,배너촬영리스트!$C:$E,3,)))</f>
        <v/>
      </c>
      <c r="P271" s="36" t="str">
        <f>IF(ISERROR(VLOOKUP(C271,배너촬영리스트!$C:$E,2,)),"",(VLOOKUP(C271,배너촬영리스트!$C:$E,2,)))</f>
        <v/>
      </c>
    </row>
    <row r="272" spans="2:16">
      <c r="B272" s="20" t="str">
        <f t="shared" si="4"/>
        <v>RM</v>
      </c>
      <c r="C272" s="11" t="s">
        <v>279</v>
      </c>
      <c r="D272" s="12" t="e">
        <f>VLOOKUP(C272,#REF!,2,0)</f>
        <v>#REF!</v>
      </c>
      <c r="E272" s="10" t="e">
        <f>VLOOKUP(C272,#REF!,4,0)</f>
        <v>#REF!</v>
      </c>
      <c r="F272" s="37" t="e">
        <f>VLOOKUP(C272,#REF!,8,0)</f>
        <v>#REF!</v>
      </c>
      <c r="G272" s="22" t="str">
        <f>IF(ISERROR(IF(VLOOKUP(C272,#REF!,2,0)&gt;0,"등록","")),"",(IF(VLOOKUP(C272,#REF!,2,0)&gt;0,"등록","")))</f>
        <v/>
      </c>
      <c r="H272" s="33" t="str">
        <f t="array" aca="1" ref="H272" ca="1">IF(ISERROR(OFFSET(#REF!,SMALL(IF(#REF!=RM시즌체크판!C272,ROW(#REF!)-20),1),)),"",(OFFSET(#REF!,SMALL(IF(#REF!=RM시즌체크판!C272,ROW(#REF!)-20),1),)))</f>
        <v/>
      </c>
      <c r="I272" s="34" t="str">
        <f t="array" aca="1" ref="I272" ca="1">IF(ISERROR(OFFSET(#REF!,SMALL(IF(#REF!=RM시즌체크판!C272,ROW(#REF!)-20),2),)),"",(OFFSET(#REF!,SMALL(IF(#REF!=RM시즌체크판!C272,ROW(#REF!)-20),2),)))</f>
        <v/>
      </c>
      <c r="J272" s="34" t="str">
        <f t="array" aca="1" ref="J272" ca="1">IF(ISERROR(OFFSET(#REF!,SMALL(IF(#REF!=RM시즌체크판!C272,ROW(#REF!)-20),3),)),"",(OFFSET(#REF!,SMALL(IF(#REF!=RM시즌체크판!C272,ROW(#REF!)-20),3),)))</f>
        <v/>
      </c>
      <c r="K272" s="34" t="str">
        <f t="array" aca="1" ref="K272" ca="1">IF(ISERROR(OFFSET(#REF!,SMALL(IF(#REF!=RM시즌체크판!C272,ROW(#REF!)-20),4),)),"",(OFFSET(#REF!,SMALL(IF(#REF!=RM시즌체크판!C272,ROW(#REF!)-20),4),)))</f>
        <v/>
      </c>
      <c r="L272" s="34" t="str">
        <f t="array" aca="1" ref="L272" ca="1">IF(ISERROR(OFFSET(#REF!,SMALL(IF(#REF!=RM시즌체크판!C272,ROW(#REF!)-20),5),)),"",(OFFSET(#REF!,SMALL(IF(#REF!=RM시즌체크판!C272,ROW(#REF!)-20),5),)))</f>
        <v/>
      </c>
      <c r="M272" s="35" t="str">
        <f t="array" aca="1" ref="M272" ca="1">IF(ISERROR(OFFSET(#REF!,SMALL(IF(#REF!=RM시즌체크판!C272,ROW(#REF!)-20),6),)),"",(OFFSET(#REF!,SMALL(IF(#REF!=RM시즌체크판!C272,ROW(#REF!)-20),6),)))</f>
        <v/>
      </c>
      <c r="N272" s="27" t="str">
        <f>IF(ISERROR(VLOOKUP(C272,모델촬영리스트!$C:$E,3,)),"",(VLOOKUP(C272,모델촬영리스트!$C:$E,3,)))</f>
        <v/>
      </c>
      <c r="O272" s="23" t="str">
        <f>IF(ISERROR(VLOOKUP(C272,배너촬영리스트!$C:$E,3,)),"",(VLOOKUP(C272,배너촬영리스트!$C:$E,3,)))</f>
        <v/>
      </c>
      <c r="P272" s="36" t="str">
        <f>IF(ISERROR(VLOOKUP(C272,배너촬영리스트!$C:$E,2,)),"",(VLOOKUP(C272,배너촬영리스트!$C:$E,2,)))</f>
        <v/>
      </c>
    </row>
    <row r="273" spans="2:16">
      <c r="B273" s="20" t="str">
        <f t="shared" si="4"/>
        <v>RM</v>
      </c>
      <c r="C273" s="11" t="s">
        <v>280</v>
      </c>
      <c r="D273" s="12" t="e">
        <f>VLOOKUP(C273,#REF!,2,0)</f>
        <v>#REF!</v>
      </c>
      <c r="E273" s="10" t="e">
        <f>VLOOKUP(C273,#REF!,4,0)</f>
        <v>#REF!</v>
      </c>
      <c r="F273" s="37" t="e">
        <f>VLOOKUP(C273,#REF!,8,0)</f>
        <v>#REF!</v>
      </c>
      <c r="G273" s="22" t="str">
        <f>IF(ISERROR(IF(VLOOKUP(C273,#REF!,2,0)&gt;0,"등록","")),"",(IF(VLOOKUP(C273,#REF!,2,0)&gt;0,"등록","")))</f>
        <v/>
      </c>
      <c r="H273" s="33" t="str">
        <f t="array" aca="1" ref="H273" ca="1">IF(ISERROR(OFFSET(#REF!,SMALL(IF(#REF!=RM시즌체크판!C273,ROW(#REF!)-20),1),)),"",(OFFSET(#REF!,SMALL(IF(#REF!=RM시즌체크판!C273,ROW(#REF!)-20),1),)))</f>
        <v/>
      </c>
      <c r="I273" s="34" t="str">
        <f t="array" aca="1" ref="I273" ca="1">IF(ISERROR(OFFSET(#REF!,SMALL(IF(#REF!=RM시즌체크판!C273,ROW(#REF!)-20),2),)),"",(OFFSET(#REF!,SMALL(IF(#REF!=RM시즌체크판!C273,ROW(#REF!)-20),2),)))</f>
        <v/>
      </c>
      <c r="J273" s="34" t="str">
        <f t="array" aca="1" ref="J273" ca="1">IF(ISERROR(OFFSET(#REF!,SMALL(IF(#REF!=RM시즌체크판!C273,ROW(#REF!)-20),3),)),"",(OFFSET(#REF!,SMALL(IF(#REF!=RM시즌체크판!C273,ROW(#REF!)-20),3),)))</f>
        <v/>
      </c>
      <c r="K273" s="34" t="str">
        <f t="array" aca="1" ref="K273" ca="1">IF(ISERROR(OFFSET(#REF!,SMALL(IF(#REF!=RM시즌체크판!C273,ROW(#REF!)-20),4),)),"",(OFFSET(#REF!,SMALL(IF(#REF!=RM시즌체크판!C273,ROW(#REF!)-20),4),)))</f>
        <v/>
      </c>
      <c r="L273" s="34" t="str">
        <f t="array" aca="1" ref="L273" ca="1">IF(ISERROR(OFFSET(#REF!,SMALL(IF(#REF!=RM시즌체크판!C273,ROW(#REF!)-20),5),)),"",(OFFSET(#REF!,SMALL(IF(#REF!=RM시즌체크판!C273,ROW(#REF!)-20),5),)))</f>
        <v/>
      </c>
      <c r="M273" s="35" t="str">
        <f t="array" aca="1" ref="M273" ca="1">IF(ISERROR(OFFSET(#REF!,SMALL(IF(#REF!=RM시즌체크판!C273,ROW(#REF!)-20),6),)),"",(OFFSET(#REF!,SMALL(IF(#REF!=RM시즌체크판!C273,ROW(#REF!)-20),6),)))</f>
        <v/>
      </c>
      <c r="N273" s="27" t="str">
        <f>IF(ISERROR(VLOOKUP(C273,모델촬영리스트!$C:$E,3,)),"",(VLOOKUP(C273,모델촬영리스트!$C:$E,3,)))</f>
        <v/>
      </c>
      <c r="O273" s="23" t="str">
        <f>IF(ISERROR(VLOOKUP(C273,배너촬영리스트!$C:$E,3,)),"",(VLOOKUP(C273,배너촬영리스트!$C:$E,3,)))</f>
        <v/>
      </c>
      <c r="P273" s="36" t="str">
        <f>IF(ISERROR(VLOOKUP(C273,배너촬영리스트!$C:$E,2,)),"",(VLOOKUP(C273,배너촬영리스트!$C:$E,2,)))</f>
        <v/>
      </c>
    </row>
    <row r="274" spans="2:16">
      <c r="B274" s="20" t="str">
        <f t="shared" si="4"/>
        <v>RM</v>
      </c>
      <c r="C274" s="11" t="s">
        <v>281</v>
      </c>
      <c r="D274" s="12" t="e">
        <f>VLOOKUP(C274,#REF!,2,0)</f>
        <v>#REF!</v>
      </c>
      <c r="E274" s="10" t="e">
        <f>VLOOKUP(C274,#REF!,4,0)</f>
        <v>#REF!</v>
      </c>
      <c r="F274" s="37" t="e">
        <f>VLOOKUP(C274,#REF!,8,0)</f>
        <v>#REF!</v>
      </c>
      <c r="G274" s="22" t="str">
        <f>IF(ISERROR(IF(VLOOKUP(C274,#REF!,2,0)&gt;0,"등록","")),"",(IF(VLOOKUP(C274,#REF!,2,0)&gt;0,"등록","")))</f>
        <v/>
      </c>
      <c r="H274" s="33" t="str">
        <f t="array" aca="1" ref="H274" ca="1">IF(ISERROR(OFFSET(#REF!,SMALL(IF(#REF!=RM시즌체크판!C274,ROW(#REF!)-20),1),)),"",(OFFSET(#REF!,SMALL(IF(#REF!=RM시즌체크판!C274,ROW(#REF!)-20),1),)))</f>
        <v/>
      </c>
      <c r="I274" s="34" t="str">
        <f t="array" aca="1" ref="I274" ca="1">IF(ISERROR(OFFSET(#REF!,SMALL(IF(#REF!=RM시즌체크판!C274,ROW(#REF!)-20),2),)),"",(OFFSET(#REF!,SMALL(IF(#REF!=RM시즌체크판!C274,ROW(#REF!)-20),2),)))</f>
        <v/>
      </c>
      <c r="J274" s="34" t="str">
        <f t="array" aca="1" ref="J274" ca="1">IF(ISERROR(OFFSET(#REF!,SMALL(IF(#REF!=RM시즌체크판!C274,ROW(#REF!)-20),3),)),"",(OFFSET(#REF!,SMALL(IF(#REF!=RM시즌체크판!C274,ROW(#REF!)-20),3),)))</f>
        <v/>
      </c>
      <c r="K274" s="34" t="str">
        <f t="array" aca="1" ref="K274" ca="1">IF(ISERROR(OFFSET(#REF!,SMALL(IF(#REF!=RM시즌체크판!C274,ROW(#REF!)-20),4),)),"",(OFFSET(#REF!,SMALL(IF(#REF!=RM시즌체크판!C274,ROW(#REF!)-20),4),)))</f>
        <v/>
      </c>
      <c r="L274" s="34" t="str">
        <f t="array" aca="1" ref="L274" ca="1">IF(ISERROR(OFFSET(#REF!,SMALL(IF(#REF!=RM시즌체크판!C274,ROW(#REF!)-20),5),)),"",(OFFSET(#REF!,SMALL(IF(#REF!=RM시즌체크판!C274,ROW(#REF!)-20),5),)))</f>
        <v/>
      </c>
      <c r="M274" s="35" t="str">
        <f t="array" aca="1" ref="M274" ca="1">IF(ISERROR(OFFSET(#REF!,SMALL(IF(#REF!=RM시즌체크판!C274,ROW(#REF!)-20),6),)),"",(OFFSET(#REF!,SMALL(IF(#REF!=RM시즌체크판!C274,ROW(#REF!)-20),6),)))</f>
        <v/>
      </c>
      <c r="N274" s="27" t="str">
        <f>IF(ISERROR(VLOOKUP(C274,모델촬영리스트!$C:$E,3,)),"",(VLOOKUP(C274,모델촬영리스트!$C:$E,3,)))</f>
        <v/>
      </c>
      <c r="O274" s="23" t="str">
        <f>IF(ISERROR(VLOOKUP(C274,배너촬영리스트!$C:$E,3,)),"",(VLOOKUP(C274,배너촬영리스트!$C:$E,3,)))</f>
        <v/>
      </c>
      <c r="P274" s="36" t="str">
        <f>IF(ISERROR(VLOOKUP(C274,배너촬영리스트!$C:$E,2,)),"",(VLOOKUP(C274,배너촬영리스트!$C:$E,2,)))</f>
        <v/>
      </c>
    </row>
    <row r="275" spans="2:16">
      <c r="B275" s="20" t="str">
        <f t="shared" si="4"/>
        <v>RM</v>
      </c>
      <c r="C275" s="11" t="s">
        <v>292</v>
      </c>
      <c r="D275" s="12" t="e">
        <f>VLOOKUP(C275,#REF!,2,0)</f>
        <v>#REF!</v>
      </c>
      <c r="E275" s="10" t="e">
        <f>VLOOKUP(C275,#REF!,4,0)</f>
        <v>#REF!</v>
      </c>
      <c r="F275" s="37" t="e">
        <f>VLOOKUP(C275,#REF!,8,0)</f>
        <v>#REF!</v>
      </c>
      <c r="G275" s="22" t="str">
        <f>IF(ISERROR(IF(VLOOKUP(C275,#REF!,2,0)&gt;0,"등록","")),"",(IF(VLOOKUP(C275,#REF!,2,0)&gt;0,"등록","")))</f>
        <v/>
      </c>
      <c r="H275" s="33" t="str">
        <f t="array" aca="1" ref="H275" ca="1">IF(ISERROR(OFFSET(#REF!,SMALL(IF(#REF!=RM시즌체크판!C275,ROW(#REF!)-20),1),)),"",(OFFSET(#REF!,SMALL(IF(#REF!=RM시즌체크판!C275,ROW(#REF!)-20),1),)))</f>
        <v/>
      </c>
      <c r="I275" s="34" t="str">
        <f t="array" aca="1" ref="I275" ca="1">IF(ISERROR(OFFSET(#REF!,SMALL(IF(#REF!=RM시즌체크판!C275,ROW(#REF!)-20),2),)),"",(OFFSET(#REF!,SMALL(IF(#REF!=RM시즌체크판!C275,ROW(#REF!)-20),2),)))</f>
        <v/>
      </c>
      <c r="J275" s="34" t="str">
        <f t="array" aca="1" ref="J275" ca="1">IF(ISERROR(OFFSET(#REF!,SMALL(IF(#REF!=RM시즌체크판!C275,ROW(#REF!)-20),3),)),"",(OFFSET(#REF!,SMALL(IF(#REF!=RM시즌체크판!C275,ROW(#REF!)-20),3),)))</f>
        <v/>
      </c>
      <c r="K275" s="34" t="str">
        <f t="array" aca="1" ref="K275" ca="1">IF(ISERROR(OFFSET(#REF!,SMALL(IF(#REF!=RM시즌체크판!C275,ROW(#REF!)-20),4),)),"",(OFFSET(#REF!,SMALL(IF(#REF!=RM시즌체크판!C275,ROW(#REF!)-20),4),)))</f>
        <v/>
      </c>
      <c r="L275" s="34" t="str">
        <f t="array" aca="1" ref="L275" ca="1">IF(ISERROR(OFFSET(#REF!,SMALL(IF(#REF!=RM시즌체크판!C275,ROW(#REF!)-20),5),)),"",(OFFSET(#REF!,SMALL(IF(#REF!=RM시즌체크판!C275,ROW(#REF!)-20),5),)))</f>
        <v/>
      </c>
      <c r="M275" s="35" t="str">
        <f t="array" aca="1" ref="M275" ca="1">IF(ISERROR(OFFSET(#REF!,SMALL(IF(#REF!=RM시즌체크판!C275,ROW(#REF!)-20),6),)),"",(OFFSET(#REF!,SMALL(IF(#REF!=RM시즌체크판!C275,ROW(#REF!)-20),6),)))</f>
        <v/>
      </c>
      <c r="N275" s="27" t="str">
        <f>IF(ISERROR(VLOOKUP(C275,모델촬영리스트!$C:$E,3,)),"",(VLOOKUP(C275,모델촬영리스트!$C:$E,3,)))</f>
        <v/>
      </c>
      <c r="O275" s="23" t="str">
        <f>IF(ISERROR(VLOOKUP(C275,배너촬영리스트!$C:$E,3,)),"",(VLOOKUP(C275,배너촬영리스트!$C:$E,3,)))</f>
        <v/>
      </c>
      <c r="P275" s="36" t="str">
        <f>IF(ISERROR(VLOOKUP(C275,배너촬영리스트!$C:$E,2,)),"",(VLOOKUP(C275,배너촬영리스트!$C:$E,2,)))</f>
        <v/>
      </c>
    </row>
    <row r="276" spans="2:16">
      <c r="B276" s="20" t="str">
        <f t="shared" si="4"/>
        <v>RM</v>
      </c>
      <c r="C276" s="11" t="s">
        <v>300</v>
      </c>
      <c r="D276" s="12" t="e">
        <f>VLOOKUP(C276,#REF!,2,0)</f>
        <v>#REF!</v>
      </c>
      <c r="E276" s="10" t="e">
        <f>VLOOKUP(C276,#REF!,4,0)</f>
        <v>#REF!</v>
      </c>
      <c r="F276" s="37" t="e">
        <f>VLOOKUP(C276,#REF!,8,0)</f>
        <v>#REF!</v>
      </c>
      <c r="G276" s="22" t="str">
        <f>IF(ISERROR(IF(VLOOKUP(C276,#REF!,2,0)&gt;0,"등록","")),"",(IF(VLOOKUP(C276,#REF!,2,0)&gt;0,"등록","")))</f>
        <v/>
      </c>
      <c r="H276" s="33" t="str">
        <f t="array" aca="1" ref="H276" ca="1">IF(ISERROR(OFFSET(#REF!,SMALL(IF(#REF!=RM시즌체크판!C276,ROW(#REF!)-20),1),)),"",(OFFSET(#REF!,SMALL(IF(#REF!=RM시즌체크판!C276,ROW(#REF!)-20),1),)))</f>
        <v/>
      </c>
      <c r="I276" s="34" t="str">
        <f t="array" aca="1" ref="I276" ca="1">IF(ISERROR(OFFSET(#REF!,SMALL(IF(#REF!=RM시즌체크판!C276,ROW(#REF!)-20),2),)),"",(OFFSET(#REF!,SMALL(IF(#REF!=RM시즌체크판!C276,ROW(#REF!)-20),2),)))</f>
        <v/>
      </c>
      <c r="J276" s="34" t="str">
        <f t="array" aca="1" ref="J276" ca="1">IF(ISERROR(OFFSET(#REF!,SMALL(IF(#REF!=RM시즌체크판!C276,ROW(#REF!)-20),3),)),"",(OFFSET(#REF!,SMALL(IF(#REF!=RM시즌체크판!C276,ROW(#REF!)-20),3),)))</f>
        <v/>
      </c>
      <c r="K276" s="34" t="str">
        <f t="array" aca="1" ref="K276" ca="1">IF(ISERROR(OFFSET(#REF!,SMALL(IF(#REF!=RM시즌체크판!C276,ROW(#REF!)-20),4),)),"",(OFFSET(#REF!,SMALL(IF(#REF!=RM시즌체크판!C276,ROW(#REF!)-20),4),)))</f>
        <v/>
      </c>
      <c r="L276" s="34" t="str">
        <f t="array" aca="1" ref="L276" ca="1">IF(ISERROR(OFFSET(#REF!,SMALL(IF(#REF!=RM시즌체크판!C276,ROW(#REF!)-20),5),)),"",(OFFSET(#REF!,SMALL(IF(#REF!=RM시즌체크판!C276,ROW(#REF!)-20),5),)))</f>
        <v/>
      </c>
      <c r="M276" s="35" t="str">
        <f t="array" aca="1" ref="M276" ca="1">IF(ISERROR(OFFSET(#REF!,SMALL(IF(#REF!=RM시즌체크판!C276,ROW(#REF!)-20),6),)),"",(OFFSET(#REF!,SMALL(IF(#REF!=RM시즌체크판!C276,ROW(#REF!)-20),6),)))</f>
        <v/>
      </c>
      <c r="N276" s="27" t="str">
        <f>IF(ISERROR(VLOOKUP(C276,모델촬영리스트!$C:$E,3,)),"",(VLOOKUP(C276,모델촬영리스트!$C:$E,3,)))</f>
        <v/>
      </c>
      <c r="O276" s="23" t="str">
        <f>IF(ISERROR(VLOOKUP(C276,배너촬영리스트!$C:$E,3,)),"",(VLOOKUP(C276,배너촬영리스트!$C:$E,3,)))</f>
        <v/>
      </c>
      <c r="P276" s="36" t="str">
        <f>IF(ISERROR(VLOOKUP(C276,배너촬영리스트!$C:$E,2,)),"",(VLOOKUP(C276,배너촬영리스트!$C:$E,2,)))</f>
        <v/>
      </c>
    </row>
    <row r="277" spans="2:16">
      <c r="B277" s="20" t="str">
        <f t="shared" si="4"/>
        <v>RM</v>
      </c>
      <c r="C277" s="11" t="s">
        <v>301</v>
      </c>
      <c r="D277" s="12" t="e">
        <f>VLOOKUP(C277,#REF!,2,0)</f>
        <v>#REF!</v>
      </c>
      <c r="E277" s="10" t="e">
        <f>VLOOKUP(C277,#REF!,4,0)</f>
        <v>#REF!</v>
      </c>
      <c r="F277" s="37" t="e">
        <f>VLOOKUP(C277,#REF!,8,0)</f>
        <v>#REF!</v>
      </c>
      <c r="G277" s="22" t="str">
        <f>IF(ISERROR(IF(VLOOKUP(C277,#REF!,2,0)&gt;0,"등록","")),"",(IF(VLOOKUP(C277,#REF!,2,0)&gt;0,"등록","")))</f>
        <v/>
      </c>
      <c r="H277" s="33" t="str">
        <f t="array" aca="1" ref="H277" ca="1">IF(ISERROR(OFFSET(#REF!,SMALL(IF(#REF!=RM시즌체크판!C277,ROW(#REF!)-20),1),)),"",(OFFSET(#REF!,SMALL(IF(#REF!=RM시즌체크판!C277,ROW(#REF!)-20),1),)))</f>
        <v/>
      </c>
      <c r="I277" s="34" t="str">
        <f t="array" aca="1" ref="I277" ca="1">IF(ISERROR(OFFSET(#REF!,SMALL(IF(#REF!=RM시즌체크판!C277,ROW(#REF!)-20),2),)),"",(OFFSET(#REF!,SMALL(IF(#REF!=RM시즌체크판!C277,ROW(#REF!)-20),2),)))</f>
        <v/>
      </c>
      <c r="J277" s="34" t="str">
        <f t="array" aca="1" ref="J277" ca="1">IF(ISERROR(OFFSET(#REF!,SMALL(IF(#REF!=RM시즌체크판!C277,ROW(#REF!)-20),3),)),"",(OFFSET(#REF!,SMALL(IF(#REF!=RM시즌체크판!C277,ROW(#REF!)-20),3),)))</f>
        <v/>
      </c>
      <c r="K277" s="34" t="str">
        <f t="array" aca="1" ref="K277" ca="1">IF(ISERROR(OFFSET(#REF!,SMALL(IF(#REF!=RM시즌체크판!C277,ROW(#REF!)-20),4),)),"",(OFFSET(#REF!,SMALL(IF(#REF!=RM시즌체크판!C277,ROW(#REF!)-20),4),)))</f>
        <v/>
      </c>
      <c r="L277" s="34" t="str">
        <f t="array" aca="1" ref="L277" ca="1">IF(ISERROR(OFFSET(#REF!,SMALL(IF(#REF!=RM시즌체크판!C277,ROW(#REF!)-20),5),)),"",(OFFSET(#REF!,SMALL(IF(#REF!=RM시즌체크판!C277,ROW(#REF!)-20),5),)))</f>
        <v/>
      </c>
      <c r="M277" s="35" t="str">
        <f t="array" aca="1" ref="M277" ca="1">IF(ISERROR(OFFSET(#REF!,SMALL(IF(#REF!=RM시즌체크판!C277,ROW(#REF!)-20),6),)),"",(OFFSET(#REF!,SMALL(IF(#REF!=RM시즌체크판!C277,ROW(#REF!)-20),6),)))</f>
        <v/>
      </c>
      <c r="N277" s="27" t="str">
        <f>IF(ISERROR(VLOOKUP(C277,모델촬영리스트!$C:$E,3,)),"",(VLOOKUP(C277,모델촬영리스트!$C:$E,3,)))</f>
        <v/>
      </c>
      <c r="O277" s="23" t="str">
        <f>IF(ISERROR(VLOOKUP(C277,배너촬영리스트!$C:$E,3,)),"",(VLOOKUP(C277,배너촬영리스트!$C:$E,3,)))</f>
        <v/>
      </c>
      <c r="P277" s="36" t="str">
        <f>IF(ISERROR(VLOOKUP(C277,배너촬영리스트!$C:$E,2,)),"",(VLOOKUP(C277,배너촬영리스트!$C:$E,2,)))</f>
        <v/>
      </c>
    </row>
    <row r="278" spans="2:16">
      <c r="B278" s="20" t="str">
        <f t="shared" si="4"/>
        <v>RM</v>
      </c>
      <c r="C278" s="11" t="s">
        <v>302</v>
      </c>
      <c r="D278" s="12" t="e">
        <f>VLOOKUP(C278,#REF!,2,0)</f>
        <v>#REF!</v>
      </c>
      <c r="E278" s="10" t="e">
        <f>VLOOKUP(C278,#REF!,4,0)</f>
        <v>#REF!</v>
      </c>
      <c r="F278" s="37" t="e">
        <f>VLOOKUP(C278,#REF!,8,0)</f>
        <v>#REF!</v>
      </c>
      <c r="G278" s="22" t="str">
        <f>IF(ISERROR(IF(VLOOKUP(C278,#REF!,2,0)&gt;0,"등록","")),"",(IF(VLOOKUP(C278,#REF!,2,0)&gt;0,"등록","")))</f>
        <v/>
      </c>
      <c r="H278" s="33" t="str">
        <f t="array" aca="1" ref="H278" ca="1">IF(ISERROR(OFFSET(#REF!,SMALL(IF(#REF!=RM시즌체크판!C278,ROW(#REF!)-20),1),)),"",(OFFSET(#REF!,SMALL(IF(#REF!=RM시즌체크판!C278,ROW(#REF!)-20),1),)))</f>
        <v/>
      </c>
      <c r="I278" s="34" t="str">
        <f t="array" aca="1" ref="I278" ca="1">IF(ISERROR(OFFSET(#REF!,SMALL(IF(#REF!=RM시즌체크판!C278,ROW(#REF!)-20),2),)),"",(OFFSET(#REF!,SMALL(IF(#REF!=RM시즌체크판!C278,ROW(#REF!)-20),2),)))</f>
        <v/>
      </c>
      <c r="J278" s="34" t="str">
        <f t="array" aca="1" ref="J278" ca="1">IF(ISERROR(OFFSET(#REF!,SMALL(IF(#REF!=RM시즌체크판!C278,ROW(#REF!)-20),3),)),"",(OFFSET(#REF!,SMALL(IF(#REF!=RM시즌체크판!C278,ROW(#REF!)-20),3),)))</f>
        <v/>
      </c>
      <c r="K278" s="34" t="str">
        <f t="array" aca="1" ref="K278" ca="1">IF(ISERROR(OFFSET(#REF!,SMALL(IF(#REF!=RM시즌체크판!C278,ROW(#REF!)-20),4),)),"",(OFFSET(#REF!,SMALL(IF(#REF!=RM시즌체크판!C278,ROW(#REF!)-20),4),)))</f>
        <v/>
      </c>
      <c r="L278" s="34" t="str">
        <f t="array" aca="1" ref="L278" ca="1">IF(ISERROR(OFFSET(#REF!,SMALL(IF(#REF!=RM시즌체크판!C278,ROW(#REF!)-20),5),)),"",(OFFSET(#REF!,SMALL(IF(#REF!=RM시즌체크판!C278,ROW(#REF!)-20),5),)))</f>
        <v/>
      </c>
      <c r="M278" s="35" t="str">
        <f t="array" aca="1" ref="M278" ca="1">IF(ISERROR(OFFSET(#REF!,SMALL(IF(#REF!=RM시즌체크판!C278,ROW(#REF!)-20),6),)),"",(OFFSET(#REF!,SMALL(IF(#REF!=RM시즌체크판!C278,ROW(#REF!)-20),6),)))</f>
        <v/>
      </c>
      <c r="N278" s="27" t="str">
        <f>IF(ISERROR(VLOOKUP(C278,모델촬영리스트!$C:$E,3,)),"",(VLOOKUP(C278,모델촬영리스트!$C:$E,3,)))</f>
        <v/>
      </c>
      <c r="O278" s="23" t="str">
        <f>IF(ISERROR(VLOOKUP(C278,배너촬영리스트!$C:$E,3,)),"",(VLOOKUP(C278,배너촬영리스트!$C:$E,3,)))</f>
        <v/>
      </c>
      <c r="P278" s="36" t="str">
        <f>IF(ISERROR(VLOOKUP(C278,배너촬영리스트!$C:$E,2,)),"",(VLOOKUP(C278,배너촬영리스트!$C:$E,2,)))</f>
        <v/>
      </c>
    </row>
    <row r="279" spans="2:16">
      <c r="B279" s="20" t="str">
        <f t="shared" si="4"/>
        <v>RM</v>
      </c>
      <c r="C279" s="11" t="s">
        <v>303</v>
      </c>
      <c r="D279" s="12" t="e">
        <f>VLOOKUP(C279,#REF!,2,0)</f>
        <v>#REF!</v>
      </c>
      <c r="E279" s="10" t="e">
        <f>VLOOKUP(C279,#REF!,4,0)</f>
        <v>#REF!</v>
      </c>
      <c r="F279" s="37" t="e">
        <f>VLOOKUP(C279,#REF!,8,0)</f>
        <v>#REF!</v>
      </c>
      <c r="G279" s="22" t="str">
        <f>IF(ISERROR(IF(VLOOKUP(C279,#REF!,2,0)&gt;0,"등록","")),"",(IF(VLOOKUP(C279,#REF!,2,0)&gt;0,"등록","")))</f>
        <v/>
      </c>
      <c r="H279" s="33" t="str">
        <f t="array" aca="1" ref="H279" ca="1">IF(ISERROR(OFFSET(#REF!,SMALL(IF(#REF!=RM시즌체크판!C279,ROW(#REF!)-20),1),)),"",(OFFSET(#REF!,SMALL(IF(#REF!=RM시즌체크판!C279,ROW(#REF!)-20),1),)))</f>
        <v/>
      </c>
      <c r="I279" s="34" t="str">
        <f t="array" aca="1" ref="I279" ca="1">IF(ISERROR(OFFSET(#REF!,SMALL(IF(#REF!=RM시즌체크판!C279,ROW(#REF!)-20),2),)),"",(OFFSET(#REF!,SMALL(IF(#REF!=RM시즌체크판!C279,ROW(#REF!)-20),2),)))</f>
        <v/>
      </c>
      <c r="J279" s="34" t="str">
        <f t="array" aca="1" ref="J279" ca="1">IF(ISERROR(OFFSET(#REF!,SMALL(IF(#REF!=RM시즌체크판!C279,ROW(#REF!)-20),3),)),"",(OFFSET(#REF!,SMALL(IF(#REF!=RM시즌체크판!C279,ROW(#REF!)-20),3),)))</f>
        <v/>
      </c>
      <c r="K279" s="34" t="str">
        <f t="array" aca="1" ref="K279" ca="1">IF(ISERROR(OFFSET(#REF!,SMALL(IF(#REF!=RM시즌체크판!C279,ROW(#REF!)-20),4),)),"",(OFFSET(#REF!,SMALL(IF(#REF!=RM시즌체크판!C279,ROW(#REF!)-20),4),)))</f>
        <v/>
      </c>
      <c r="L279" s="34" t="str">
        <f t="array" aca="1" ref="L279" ca="1">IF(ISERROR(OFFSET(#REF!,SMALL(IF(#REF!=RM시즌체크판!C279,ROW(#REF!)-20),5),)),"",(OFFSET(#REF!,SMALL(IF(#REF!=RM시즌체크판!C279,ROW(#REF!)-20),5),)))</f>
        <v/>
      </c>
      <c r="M279" s="35" t="str">
        <f t="array" aca="1" ref="M279" ca="1">IF(ISERROR(OFFSET(#REF!,SMALL(IF(#REF!=RM시즌체크판!C279,ROW(#REF!)-20),6),)),"",(OFFSET(#REF!,SMALL(IF(#REF!=RM시즌체크판!C279,ROW(#REF!)-20),6),)))</f>
        <v/>
      </c>
      <c r="N279" s="27" t="str">
        <f>IF(ISERROR(VLOOKUP(C279,모델촬영리스트!$C:$E,3,)),"",(VLOOKUP(C279,모델촬영리스트!$C:$E,3,)))</f>
        <v/>
      </c>
      <c r="O279" s="23" t="str">
        <f>IF(ISERROR(VLOOKUP(C279,배너촬영리스트!$C:$E,3,)),"",(VLOOKUP(C279,배너촬영리스트!$C:$E,3,)))</f>
        <v/>
      </c>
      <c r="P279" s="36" t="str">
        <f>IF(ISERROR(VLOOKUP(C279,배너촬영리스트!$C:$E,2,)),"",(VLOOKUP(C279,배너촬영리스트!$C:$E,2,)))</f>
        <v/>
      </c>
    </row>
    <row r="280" spans="2:16">
      <c r="B280" s="20" t="str">
        <f t="shared" si="4"/>
        <v>RM</v>
      </c>
      <c r="C280" s="11" t="s">
        <v>304</v>
      </c>
      <c r="D280" s="12" t="e">
        <f>VLOOKUP(C280,#REF!,2,0)</f>
        <v>#REF!</v>
      </c>
      <c r="E280" s="10" t="e">
        <f>VLOOKUP(C280,#REF!,4,0)</f>
        <v>#REF!</v>
      </c>
      <c r="F280" s="37" t="e">
        <f>VLOOKUP(C280,#REF!,8,0)</f>
        <v>#REF!</v>
      </c>
      <c r="G280" s="22" t="str">
        <f>IF(ISERROR(IF(VLOOKUP(C280,#REF!,2,0)&gt;0,"등록","")),"",(IF(VLOOKUP(C280,#REF!,2,0)&gt;0,"등록","")))</f>
        <v/>
      </c>
      <c r="H280" s="33" t="str">
        <f t="array" aca="1" ref="H280" ca="1">IF(ISERROR(OFFSET(#REF!,SMALL(IF(#REF!=RM시즌체크판!C280,ROW(#REF!)-20),1),)),"",(OFFSET(#REF!,SMALL(IF(#REF!=RM시즌체크판!C280,ROW(#REF!)-20),1),)))</f>
        <v/>
      </c>
      <c r="I280" s="34" t="str">
        <f t="array" aca="1" ref="I280" ca="1">IF(ISERROR(OFFSET(#REF!,SMALL(IF(#REF!=RM시즌체크판!C280,ROW(#REF!)-20),2),)),"",(OFFSET(#REF!,SMALL(IF(#REF!=RM시즌체크판!C280,ROW(#REF!)-20),2),)))</f>
        <v/>
      </c>
      <c r="J280" s="34" t="str">
        <f t="array" aca="1" ref="J280" ca="1">IF(ISERROR(OFFSET(#REF!,SMALL(IF(#REF!=RM시즌체크판!C280,ROW(#REF!)-20),3),)),"",(OFFSET(#REF!,SMALL(IF(#REF!=RM시즌체크판!C280,ROW(#REF!)-20),3),)))</f>
        <v/>
      </c>
      <c r="K280" s="34" t="str">
        <f t="array" aca="1" ref="K280" ca="1">IF(ISERROR(OFFSET(#REF!,SMALL(IF(#REF!=RM시즌체크판!C280,ROW(#REF!)-20),4),)),"",(OFFSET(#REF!,SMALL(IF(#REF!=RM시즌체크판!C280,ROW(#REF!)-20),4),)))</f>
        <v/>
      </c>
      <c r="L280" s="34" t="str">
        <f t="array" aca="1" ref="L280" ca="1">IF(ISERROR(OFFSET(#REF!,SMALL(IF(#REF!=RM시즌체크판!C280,ROW(#REF!)-20),5),)),"",(OFFSET(#REF!,SMALL(IF(#REF!=RM시즌체크판!C280,ROW(#REF!)-20),5),)))</f>
        <v/>
      </c>
      <c r="M280" s="35" t="str">
        <f t="array" aca="1" ref="M280" ca="1">IF(ISERROR(OFFSET(#REF!,SMALL(IF(#REF!=RM시즌체크판!C280,ROW(#REF!)-20),6),)),"",(OFFSET(#REF!,SMALL(IF(#REF!=RM시즌체크판!C280,ROW(#REF!)-20),6),)))</f>
        <v/>
      </c>
      <c r="N280" s="27" t="str">
        <f>IF(ISERROR(VLOOKUP(C280,모델촬영리스트!$C:$E,3,)),"",(VLOOKUP(C280,모델촬영리스트!$C:$E,3,)))</f>
        <v/>
      </c>
      <c r="O280" s="23" t="str">
        <f>IF(ISERROR(VLOOKUP(C280,배너촬영리스트!$C:$E,3,)),"",(VLOOKUP(C280,배너촬영리스트!$C:$E,3,)))</f>
        <v/>
      </c>
      <c r="P280" s="36" t="str">
        <f>IF(ISERROR(VLOOKUP(C280,배너촬영리스트!$C:$E,2,)),"",(VLOOKUP(C280,배너촬영리스트!$C:$E,2,)))</f>
        <v/>
      </c>
    </row>
    <row r="281" spans="2:16">
      <c r="B281" s="20" t="str">
        <f t="shared" si="4"/>
        <v>RM</v>
      </c>
      <c r="C281" s="11" t="s">
        <v>305</v>
      </c>
      <c r="D281" s="12" t="e">
        <f>VLOOKUP(C281,#REF!,2,0)</f>
        <v>#REF!</v>
      </c>
      <c r="E281" s="10" t="e">
        <f>VLOOKUP(C281,#REF!,4,0)</f>
        <v>#REF!</v>
      </c>
      <c r="F281" s="37" t="e">
        <f>VLOOKUP(C281,#REF!,8,0)</f>
        <v>#REF!</v>
      </c>
      <c r="G281" s="22" t="str">
        <f>IF(ISERROR(IF(VLOOKUP(C281,#REF!,2,0)&gt;0,"등록","")),"",(IF(VLOOKUP(C281,#REF!,2,0)&gt;0,"등록","")))</f>
        <v/>
      </c>
      <c r="H281" s="33" t="str">
        <f t="array" aca="1" ref="H281" ca="1">IF(ISERROR(OFFSET(#REF!,SMALL(IF(#REF!=RM시즌체크판!C281,ROW(#REF!)-20),1),)),"",(OFFSET(#REF!,SMALL(IF(#REF!=RM시즌체크판!C281,ROW(#REF!)-20),1),)))</f>
        <v/>
      </c>
      <c r="I281" s="34" t="str">
        <f t="array" aca="1" ref="I281" ca="1">IF(ISERROR(OFFSET(#REF!,SMALL(IF(#REF!=RM시즌체크판!C281,ROW(#REF!)-20),2),)),"",(OFFSET(#REF!,SMALL(IF(#REF!=RM시즌체크판!C281,ROW(#REF!)-20),2),)))</f>
        <v/>
      </c>
      <c r="J281" s="34" t="str">
        <f t="array" aca="1" ref="J281" ca="1">IF(ISERROR(OFFSET(#REF!,SMALL(IF(#REF!=RM시즌체크판!C281,ROW(#REF!)-20),3),)),"",(OFFSET(#REF!,SMALL(IF(#REF!=RM시즌체크판!C281,ROW(#REF!)-20),3),)))</f>
        <v/>
      </c>
      <c r="K281" s="34" t="str">
        <f t="array" aca="1" ref="K281" ca="1">IF(ISERROR(OFFSET(#REF!,SMALL(IF(#REF!=RM시즌체크판!C281,ROW(#REF!)-20),4),)),"",(OFFSET(#REF!,SMALL(IF(#REF!=RM시즌체크판!C281,ROW(#REF!)-20),4),)))</f>
        <v/>
      </c>
      <c r="L281" s="34" t="str">
        <f t="array" aca="1" ref="L281" ca="1">IF(ISERROR(OFFSET(#REF!,SMALL(IF(#REF!=RM시즌체크판!C281,ROW(#REF!)-20),5),)),"",(OFFSET(#REF!,SMALL(IF(#REF!=RM시즌체크판!C281,ROW(#REF!)-20),5),)))</f>
        <v/>
      </c>
      <c r="M281" s="35" t="str">
        <f t="array" aca="1" ref="M281" ca="1">IF(ISERROR(OFFSET(#REF!,SMALL(IF(#REF!=RM시즌체크판!C281,ROW(#REF!)-20),6),)),"",(OFFSET(#REF!,SMALL(IF(#REF!=RM시즌체크판!C281,ROW(#REF!)-20),6),)))</f>
        <v/>
      </c>
      <c r="N281" s="27" t="str">
        <f>IF(ISERROR(VLOOKUP(C281,모델촬영리스트!$C:$E,3,)),"",(VLOOKUP(C281,모델촬영리스트!$C:$E,3,)))</f>
        <v/>
      </c>
      <c r="O281" s="23" t="str">
        <f>IF(ISERROR(VLOOKUP(C281,배너촬영리스트!$C:$E,3,)),"",(VLOOKUP(C281,배너촬영리스트!$C:$E,3,)))</f>
        <v/>
      </c>
      <c r="P281" s="36" t="str">
        <f>IF(ISERROR(VLOOKUP(C281,배너촬영리스트!$C:$E,2,)),"",(VLOOKUP(C281,배너촬영리스트!$C:$E,2,)))</f>
        <v/>
      </c>
    </row>
    <row r="282" spans="2:16">
      <c r="B282" s="20" t="str">
        <f t="shared" si="4"/>
        <v>RM</v>
      </c>
      <c r="C282" s="11" t="s">
        <v>311</v>
      </c>
      <c r="D282" s="12" t="e">
        <f>VLOOKUP(C282,#REF!,2,0)</f>
        <v>#REF!</v>
      </c>
      <c r="E282" s="10" t="e">
        <f>VLOOKUP(C282,#REF!,4,0)</f>
        <v>#REF!</v>
      </c>
      <c r="F282" s="37" t="e">
        <f>VLOOKUP(C282,#REF!,8,0)</f>
        <v>#REF!</v>
      </c>
      <c r="G282" s="22" t="str">
        <f>IF(ISERROR(IF(VLOOKUP(C282,#REF!,2,0)&gt;0,"등록","")),"",(IF(VLOOKUP(C282,#REF!,2,0)&gt;0,"등록","")))</f>
        <v/>
      </c>
      <c r="H282" s="33" t="str">
        <f t="array" aca="1" ref="H282" ca="1">IF(ISERROR(OFFSET(#REF!,SMALL(IF(#REF!=RM시즌체크판!C282,ROW(#REF!)-20),1),)),"",(OFFSET(#REF!,SMALL(IF(#REF!=RM시즌체크판!C282,ROW(#REF!)-20),1),)))</f>
        <v/>
      </c>
      <c r="I282" s="34" t="str">
        <f t="array" aca="1" ref="I282" ca="1">IF(ISERROR(OFFSET(#REF!,SMALL(IF(#REF!=RM시즌체크판!C282,ROW(#REF!)-20),2),)),"",(OFFSET(#REF!,SMALL(IF(#REF!=RM시즌체크판!C282,ROW(#REF!)-20),2),)))</f>
        <v/>
      </c>
      <c r="J282" s="34" t="str">
        <f t="array" aca="1" ref="J282" ca="1">IF(ISERROR(OFFSET(#REF!,SMALL(IF(#REF!=RM시즌체크판!C282,ROW(#REF!)-20),3),)),"",(OFFSET(#REF!,SMALL(IF(#REF!=RM시즌체크판!C282,ROW(#REF!)-20),3),)))</f>
        <v/>
      </c>
      <c r="K282" s="34" t="str">
        <f t="array" aca="1" ref="K282" ca="1">IF(ISERROR(OFFSET(#REF!,SMALL(IF(#REF!=RM시즌체크판!C282,ROW(#REF!)-20),4),)),"",(OFFSET(#REF!,SMALL(IF(#REF!=RM시즌체크판!C282,ROW(#REF!)-20),4),)))</f>
        <v/>
      </c>
      <c r="L282" s="34" t="str">
        <f t="array" aca="1" ref="L282" ca="1">IF(ISERROR(OFFSET(#REF!,SMALL(IF(#REF!=RM시즌체크판!C282,ROW(#REF!)-20),5),)),"",(OFFSET(#REF!,SMALL(IF(#REF!=RM시즌체크판!C282,ROW(#REF!)-20),5),)))</f>
        <v/>
      </c>
      <c r="M282" s="35" t="str">
        <f t="array" aca="1" ref="M282" ca="1">IF(ISERROR(OFFSET(#REF!,SMALL(IF(#REF!=RM시즌체크판!C282,ROW(#REF!)-20),6),)),"",(OFFSET(#REF!,SMALL(IF(#REF!=RM시즌체크판!C282,ROW(#REF!)-20),6),)))</f>
        <v/>
      </c>
      <c r="N282" s="27" t="str">
        <f>IF(ISERROR(VLOOKUP(C282,모델촬영리스트!$C:$E,3,)),"",(VLOOKUP(C282,모델촬영리스트!$C:$E,3,)))</f>
        <v/>
      </c>
      <c r="O282" s="23" t="str">
        <f>IF(ISERROR(VLOOKUP(C282,배너촬영리스트!$C:$E,3,)),"",(VLOOKUP(C282,배너촬영리스트!$C:$E,3,)))</f>
        <v/>
      </c>
      <c r="P282" s="36" t="str">
        <f>IF(ISERROR(VLOOKUP(C282,배너촬영리스트!$C:$E,2,)),"",(VLOOKUP(C282,배너촬영리스트!$C:$E,2,)))</f>
        <v/>
      </c>
    </row>
    <row r="283" spans="2:16">
      <c r="B283" s="20" t="str">
        <f t="shared" si="4"/>
        <v>RM</v>
      </c>
      <c r="C283" s="11" t="s">
        <v>312</v>
      </c>
      <c r="D283" s="12" t="e">
        <f>VLOOKUP(C283,#REF!,2,0)</f>
        <v>#REF!</v>
      </c>
      <c r="E283" s="10" t="e">
        <f>VLOOKUP(C283,#REF!,4,0)</f>
        <v>#REF!</v>
      </c>
      <c r="F283" s="37" t="e">
        <f>VLOOKUP(C283,#REF!,8,0)</f>
        <v>#REF!</v>
      </c>
      <c r="G283" s="22" t="str">
        <f>IF(ISERROR(IF(VLOOKUP(C283,#REF!,2,0)&gt;0,"등록","")),"",(IF(VLOOKUP(C283,#REF!,2,0)&gt;0,"등록","")))</f>
        <v/>
      </c>
      <c r="H283" s="33" t="str">
        <f t="array" aca="1" ref="H283" ca="1">IF(ISERROR(OFFSET(#REF!,SMALL(IF(#REF!=RM시즌체크판!C283,ROW(#REF!)-20),1),)),"",(OFFSET(#REF!,SMALL(IF(#REF!=RM시즌체크판!C283,ROW(#REF!)-20),1),)))</f>
        <v/>
      </c>
      <c r="I283" s="34" t="str">
        <f t="array" aca="1" ref="I283" ca="1">IF(ISERROR(OFFSET(#REF!,SMALL(IF(#REF!=RM시즌체크판!C283,ROW(#REF!)-20),2),)),"",(OFFSET(#REF!,SMALL(IF(#REF!=RM시즌체크판!C283,ROW(#REF!)-20),2),)))</f>
        <v/>
      </c>
      <c r="J283" s="34" t="str">
        <f t="array" aca="1" ref="J283" ca="1">IF(ISERROR(OFFSET(#REF!,SMALL(IF(#REF!=RM시즌체크판!C283,ROW(#REF!)-20),3),)),"",(OFFSET(#REF!,SMALL(IF(#REF!=RM시즌체크판!C283,ROW(#REF!)-20),3),)))</f>
        <v/>
      </c>
      <c r="K283" s="34" t="str">
        <f t="array" aca="1" ref="K283" ca="1">IF(ISERROR(OFFSET(#REF!,SMALL(IF(#REF!=RM시즌체크판!C283,ROW(#REF!)-20),4),)),"",(OFFSET(#REF!,SMALL(IF(#REF!=RM시즌체크판!C283,ROW(#REF!)-20),4),)))</f>
        <v/>
      </c>
      <c r="L283" s="34" t="str">
        <f t="array" aca="1" ref="L283" ca="1">IF(ISERROR(OFFSET(#REF!,SMALL(IF(#REF!=RM시즌체크판!C283,ROW(#REF!)-20),5),)),"",(OFFSET(#REF!,SMALL(IF(#REF!=RM시즌체크판!C283,ROW(#REF!)-20),5),)))</f>
        <v/>
      </c>
      <c r="M283" s="35" t="str">
        <f t="array" aca="1" ref="M283" ca="1">IF(ISERROR(OFFSET(#REF!,SMALL(IF(#REF!=RM시즌체크판!C283,ROW(#REF!)-20),6),)),"",(OFFSET(#REF!,SMALL(IF(#REF!=RM시즌체크판!C283,ROW(#REF!)-20),6),)))</f>
        <v/>
      </c>
      <c r="N283" s="27" t="str">
        <f>IF(ISERROR(VLOOKUP(C283,모델촬영리스트!$C:$E,3,)),"",(VLOOKUP(C283,모델촬영리스트!$C:$E,3,)))</f>
        <v/>
      </c>
      <c r="O283" s="23" t="str">
        <f>IF(ISERROR(VLOOKUP(C283,배너촬영리스트!$C:$E,3,)),"",(VLOOKUP(C283,배너촬영리스트!$C:$E,3,)))</f>
        <v/>
      </c>
      <c r="P283" s="36" t="str">
        <f>IF(ISERROR(VLOOKUP(C283,배너촬영리스트!$C:$E,2,)),"",(VLOOKUP(C283,배너촬영리스트!$C:$E,2,)))</f>
        <v/>
      </c>
    </row>
    <row r="284" spans="2:16">
      <c r="B284" s="20" t="str">
        <f t="shared" si="4"/>
        <v>RM</v>
      </c>
      <c r="C284" s="11" t="s">
        <v>314</v>
      </c>
      <c r="D284" s="12" t="e">
        <f>VLOOKUP(C284,#REF!,2,0)</f>
        <v>#REF!</v>
      </c>
      <c r="E284" s="10" t="e">
        <f>VLOOKUP(C284,#REF!,4,0)</f>
        <v>#REF!</v>
      </c>
      <c r="F284" s="37" t="e">
        <f>VLOOKUP(C284,#REF!,8,0)</f>
        <v>#REF!</v>
      </c>
      <c r="G284" s="22" t="str">
        <f>IF(ISERROR(IF(VLOOKUP(C284,#REF!,2,0)&gt;0,"등록","")),"",(IF(VLOOKUP(C284,#REF!,2,0)&gt;0,"등록","")))</f>
        <v/>
      </c>
      <c r="H284" s="33" t="str">
        <f t="array" aca="1" ref="H284" ca="1">IF(ISERROR(OFFSET(#REF!,SMALL(IF(#REF!=RM시즌체크판!C284,ROW(#REF!)-20),1),)),"",(OFFSET(#REF!,SMALL(IF(#REF!=RM시즌체크판!C284,ROW(#REF!)-20),1),)))</f>
        <v/>
      </c>
      <c r="I284" s="34" t="str">
        <f t="array" aca="1" ref="I284" ca="1">IF(ISERROR(OFFSET(#REF!,SMALL(IF(#REF!=RM시즌체크판!C284,ROW(#REF!)-20),2),)),"",(OFFSET(#REF!,SMALL(IF(#REF!=RM시즌체크판!C284,ROW(#REF!)-20),2),)))</f>
        <v/>
      </c>
      <c r="J284" s="34" t="str">
        <f t="array" aca="1" ref="J284" ca="1">IF(ISERROR(OFFSET(#REF!,SMALL(IF(#REF!=RM시즌체크판!C284,ROW(#REF!)-20),3),)),"",(OFFSET(#REF!,SMALL(IF(#REF!=RM시즌체크판!C284,ROW(#REF!)-20),3),)))</f>
        <v/>
      </c>
      <c r="K284" s="34" t="str">
        <f t="array" aca="1" ref="K284" ca="1">IF(ISERROR(OFFSET(#REF!,SMALL(IF(#REF!=RM시즌체크판!C284,ROW(#REF!)-20),4),)),"",(OFFSET(#REF!,SMALL(IF(#REF!=RM시즌체크판!C284,ROW(#REF!)-20),4),)))</f>
        <v/>
      </c>
      <c r="L284" s="34" t="str">
        <f t="array" aca="1" ref="L284" ca="1">IF(ISERROR(OFFSET(#REF!,SMALL(IF(#REF!=RM시즌체크판!C284,ROW(#REF!)-20),5),)),"",(OFFSET(#REF!,SMALL(IF(#REF!=RM시즌체크판!C284,ROW(#REF!)-20),5),)))</f>
        <v/>
      </c>
      <c r="M284" s="35" t="str">
        <f t="array" aca="1" ref="M284" ca="1">IF(ISERROR(OFFSET(#REF!,SMALL(IF(#REF!=RM시즌체크판!C284,ROW(#REF!)-20),6),)),"",(OFFSET(#REF!,SMALL(IF(#REF!=RM시즌체크판!C284,ROW(#REF!)-20),6),)))</f>
        <v/>
      </c>
      <c r="N284" s="27" t="str">
        <f>IF(ISERROR(VLOOKUP(C284,모델촬영리스트!$C:$E,3,)),"",(VLOOKUP(C284,모델촬영리스트!$C:$E,3,)))</f>
        <v/>
      </c>
      <c r="O284" s="23" t="str">
        <f>IF(ISERROR(VLOOKUP(C284,배너촬영리스트!$C:$E,3,)),"",(VLOOKUP(C284,배너촬영리스트!$C:$E,3,)))</f>
        <v/>
      </c>
      <c r="P284" s="36" t="str">
        <f>IF(ISERROR(VLOOKUP(C284,배너촬영리스트!$C:$E,2,)),"",(VLOOKUP(C284,배너촬영리스트!$C:$E,2,)))</f>
        <v/>
      </c>
    </row>
    <row r="285" spans="2:16">
      <c r="B285" s="20" t="str">
        <f t="shared" si="4"/>
        <v>RM</v>
      </c>
      <c r="C285" s="11" t="s">
        <v>315</v>
      </c>
      <c r="D285" s="12" t="e">
        <f>VLOOKUP(C285,#REF!,2,0)</f>
        <v>#REF!</v>
      </c>
      <c r="E285" s="10" t="e">
        <f>VLOOKUP(C285,#REF!,4,0)</f>
        <v>#REF!</v>
      </c>
      <c r="F285" s="37" t="e">
        <f>VLOOKUP(C285,#REF!,8,0)</f>
        <v>#REF!</v>
      </c>
      <c r="G285" s="22" t="str">
        <f>IF(ISERROR(IF(VLOOKUP(C285,#REF!,2,0)&gt;0,"등록","")),"",(IF(VLOOKUP(C285,#REF!,2,0)&gt;0,"등록","")))</f>
        <v/>
      </c>
      <c r="H285" s="33" t="str">
        <f t="array" aca="1" ref="H285" ca="1">IF(ISERROR(OFFSET(#REF!,SMALL(IF(#REF!=RM시즌체크판!C285,ROW(#REF!)-20),1),)),"",(OFFSET(#REF!,SMALL(IF(#REF!=RM시즌체크판!C285,ROW(#REF!)-20),1),)))</f>
        <v/>
      </c>
      <c r="I285" s="34" t="str">
        <f t="array" aca="1" ref="I285" ca="1">IF(ISERROR(OFFSET(#REF!,SMALL(IF(#REF!=RM시즌체크판!C285,ROW(#REF!)-20),2),)),"",(OFFSET(#REF!,SMALL(IF(#REF!=RM시즌체크판!C285,ROW(#REF!)-20),2),)))</f>
        <v/>
      </c>
      <c r="J285" s="34" t="str">
        <f t="array" aca="1" ref="J285" ca="1">IF(ISERROR(OFFSET(#REF!,SMALL(IF(#REF!=RM시즌체크판!C285,ROW(#REF!)-20),3),)),"",(OFFSET(#REF!,SMALL(IF(#REF!=RM시즌체크판!C285,ROW(#REF!)-20),3),)))</f>
        <v/>
      </c>
      <c r="K285" s="34" t="str">
        <f t="array" aca="1" ref="K285" ca="1">IF(ISERROR(OFFSET(#REF!,SMALL(IF(#REF!=RM시즌체크판!C285,ROW(#REF!)-20),4),)),"",(OFFSET(#REF!,SMALL(IF(#REF!=RM시즌체크판!C285,ROW(#REF!)-20),4),)))</f>
        <v/>
      </c>
      <c r="L285" s="34" t="str">
        <f t="array" aca="1" ref="L285" ca="1">IF(ISERROR(OFFSET(#REF!,SMALL(IF(#REF!=RM시즌체크판!C285,ROW(#REF!)-20),5),)),"",(OFFSET(#REF!,SMALL(IF(#REF!=RM시즌체크판!C285,ROW(#REF!)-20),5),)))</f>
        <v/>
      </c>
      <c r="M285" s="35" t="str">
        <f t="array" aca="1" ref="M285" ca="1">IF(ISERROR(OFFSET(#REF!,SMALL(IF(#REF!=RM시즌체크판!C285,ROW(#REF!)-20),6),)),"",(OFFSET(#REF!,SMALL(IF(#REF!=RM시즌체크판!C285,ROW(#REF!)-20),6),)))</f>
        <v/>
      </c>
      <c r="N285" s="27" t="str">
        <f>IF(ISERROR(VLOOKUP(C285,모델촬영리스트!$C:$E,3,)),"",(VLOOKUP(C285,모델촬영리스트!$C:$E,3,)))</f>
        <v/>
      </c>
      <c r="O285" s="23" t="str">
        <f>IF(ISERROR(VLOOKUP(C285,배너촬영리스트!$C:$E,3,)),"",(VLOOKUP(C285,배너촬영리스트!$C:$E,3,)))</f>
        <v/>
      </c>
      <c r="P285" s="36" t="str">
        <f>IF(ISERROR(VLOOKUP(C285,배너촬영리스트!$C:$E,2,)),"",(VLOOKUP(C285,배너촬영리스트!$C:$E,2,)))</f>
        <v/>
      </c>
    </row>
    <row r="286" spans="2:16">
      <c r="B286" s="20" t="str">
        <f t="shared" si="4"/>
        <v>RM</v>
      </c>
      <c r="C286" s="11" t="s">
        <v>328</v>
      </c>
      <c r="D286" s="12" t="e">
        <f>VLOOKUP(C286,#REF!,2,0)</f>
        <v>#REF!</v>
      </c>
      <c r="E286" s="10" t="e">
        <f>VLOOKUP(C286,#REF!,4,0)</f>
        <v>#REF!</v>
      </c>
      <c r="F286" s="37" t="e">
        <f>VLOOKUP(C286,#REF!,8,0)</f>
        <v>#REF!</v>
      </c>
      <c r="G286" s="22" t="str">
        <f>IF(ISERROR(IF(VLOOKUP(C286,#REF!,2,0)&gt;0,"등록","")),"",(IF(VLOOKUP(C286,#REF!,2,0)&gt;0,"등록","")))</f>
        <v/>
      </c>
      <c r="H286" s="33" t="str">
        <f t="array" aca="1" ref="H286" ca="1">IF(ISERROR(OFFSET(#REF!,SMALL(IF(#REF!=RM시즌체크판!C286,ROW(#REF!)-20),1),)),"",(OFFSET(#REF!,SMALL(IF(#REF!=RM시즌체크판!C286,ROW(#REF!)-20),1),)))</f>
        <v/>
      </c>
      <c r="I286" s="34" t="str">
        <f t="array" aca="1" ref="I286" ca="1">IF(ISERROR(OFFSET(#REF!,SMALL(IF(#REF!=RM시즌체크판!C286,ROW(#REF!)-20),2),)),"",(OFFSET(#REF!,SMALL(IF(#REF!=RM시즌체크판!C286,ROW(#REF!)-20),2),)))</f>
        <v/>
      </c>
      <c r="J286" s="34" t="str">
        <f t="array" aca="1" ref="J286" ca="1">IF(ISERROR(OFFSET(#REF!,SMALL(IF(#REF!=RM시즌체크판!C286,ROW(#REF!)-20),3),)),"",(OFFSET(#REF!,SMALL(IF(#REF!=RM시즌체크판!C286,ROW(#REF!)-20),3),)))</f>
        <v/>
      </c>
      <c r="K286" s="34" t="str">
        <f t="array" aca="1" ref="K286" ca="1">IF(ISERROR(OFFSET(#REF!,SMALL(IF(#REF!=RM시즌체크판!C286,ROW(#REF!)-20),4),)),"",(OFFSET(#REF!,SMALL(IF(#REF!=RM시즌체크판!C286,ROW(#REF!)-20),4),)))</f>
        <v/>
      </c>
      <c r="L286" s="34" t="str">
        <f t="array" aca="1" ref="L286" ca="1">IF(ISERROR(OFFSET(#REF!,SMALL(IF(#REF!=RM시즌체크판!C286,ROW(#REF!)-20),5),)),"",(OFFSET(#REF!,SMALL(IF(#REF!=RM시즌체크판!C286,ROW(#REF!)-20),5),)))</f>
        <v/>
      </c>
      <c r="M286" s="35" t="str">
        <f t="array" aca="1" ref="M286" ca="1">IF(ISERROR(OFFSET(#REF!,SMALL(IF(#REF!=RM시즌체크판!C286,ROW(#REF!)-20),6),)),"",(OFFSET(#REF!,SMALL(IF(#REF!=RM시즌체크판!C286,ROW(#REF!)-20),6),)))</f>
        <v/>
      </c>
      <c r="N286" s="27" t="str">
        <f>IF(ISERROR(VLOOKUP(C286,모델촬영리스트!$C:$E,3,)),"",(VLOOKUP(C286,모델촬영리스트!$C:$E,3,)))</f>
        <v/>
      </c>
      <c r="O286" s="23" t="str">
        <f>IF(ISERROR(VLOOKUP(C286,배너촬영리스트!$C:$E,3,)),"",(VLOOKUP(C286,배너촬영리스트!$C:$E,3,)))</f>
        <v/>
      </c>
      <c r="P286" s="36" t="str">
        <f>IF(ISERROR(VLOOKUP(C286,배너촬영리스트!$C:$E,2,)),"",(VLOOKUP(C286,배너촬영리스트!$C:$E,2,)))</f>
        <v/>
      </c>
    </row>
    <row r="287" spans="2:16">
      <c r="B287" s="20" t="str">
        <f t="shared" si="4"/>
        <v>RM</v>
      </c>
      <c r="C287" s="11" t="s">
        <v>329</v>
      </c>
      <c r="D287" s="12" t="e">
        <f>VLOOKUP(C287,#REF!,2,0)</f>
        <v>#REF!</v>
      </c>
      <c r="E287" s="10" t="e">
        <f>VLOOKUP(C287,#REF!,4,0)</f>
        <v>#REF!</v>
      </c>
      <c r="F287" s="37" t="e">
        <f>VLOOKUP(C287,#REF!,8,0)</f>
        <v>#REF!</v>
      </c>
      <c r="G287" s="22" t="str">
        <f>IF(ISERROR(IF(VLOOKUP(C287,#REF!,2,0)&gt;0,"등록","")),"",(IF(VLOOKUP(C287,#REF!,2,0)&gt;0,"등록","")))</f>
        <v/>
      </c>
      <c r="H287" s="33" t="str">
        <f t="array" aca="1" ref="H287" ca="1">IF(ISERROR(OFFSET(#REF!,SMALL(IF(#REF!=RM시즌체크판!C287,ROW(#REF!)-20),1),)),"",(OFFSET(#REF!,SMALL(IF(#REF!=RM시즌체크판!C287,ROW(#REF!)-20),1),)))</f>
        <v/>
      </c>
      <c r="I287" s="34" t="str">
        <f t="array" aca="1" ref="I287" ca="1">IF(ISERROR(OFFSET(#REF!,SMALL(IF(#REF!=RM시즌체크판!C287,ROW(#REF!)-20),2),)),"",(OFFSET(#REF!,SMALL(IF(#REF!=RM시즌체크판!C287,ROW(#REF!)-20),2),)))</f>
        <v/>
      </c>
      <c r="J287" s="34" t="str">
        <f t="array" aca="1" ref="J287" ca="1">IF(ISERROR(OFFSET(#REF!,SMALL(IF(#REF!=RM시즌체크판!C287,ROW(#REF!)-20),3),)),"",(OFFSET(#REF!,SMALL(IF(#REF!=RM시즌체크판!C287,ROW(#REF!)-20),3),)))</f>
        <v/>
      </c>
      <c r="K287" s="34" t="str">
        <f t="array" aca="1" ref="K287" ca="1">IF(ISERROR(OFFSET(#REF!,SMALL(IF(#REF!=RM시즌체크판!C287,ROW(#REF!)-20),4),)),"",(OFFSET(#REF!,SMALL(IF(#REF!=RM시즌체크판!C287,ROW(#REF!)-20),4),)))</f>
        <v/>
      </c>
      <c r="L287" s="34" t="str">
        <f t="array" aca="1" ref="L287" ca="1">IF(ISERROR(OFFSET(#REF!,SMALL(IF(#REF!=RM시즌체크판!C287,ROW(#REF!)-20),5),)),"",(OFFSET(#REF!,SMALL(IF(#REF!=RM시즌체크판!C287,ROW(#REF!)-20),5),)))</f>
        <v/>
      </c>
      <c r="M287" s="35" t="str">
        <f t="array" aca="1" ref="M287" ca="1">IF(ISERROR(OFFSET(#REF!,SMALL(IF(#REF!=RM시즌체크판!C287,ROW(#REF!)-20),6),)),"",(OFFSET(#REF!,SMALL(IF(#REF!=RM시즌체크판!C287,ROW(#REF!)-20),6),)))</f>
        <v/>
      </c>
      <c r="N287" s="27" t="str">
        <f>IF(ISERROR(VLOOKUP(C287,모델촬영리스트!$C:$E,3,)),"",(VLOOKUP(C287,모델촬영리스트!$C:$E,3,)))</f>
        <v/>
      </c>
      <c r="O287" s="23" t="str">
        <f>IF(ISERROR(VLOOKUP(C287,배너촬영리스트!$C:$E,3,)),"",(VLOOKUP(C287,배너촬영리스트!$C:$E,3,)))</f>
        <v/>
      </c>
      <c r="P287" s="36" t="str">
        <f>IF(ISERROR(VLOOKUP(C287,배너촬영리스트!$C:$E,2,)),"",(VLOOKUP(C287,배너촬영리스트!$C:$E,2,)))</f>
        <v/>
      </c>
    </row>
    <row r="288" spans="2:16">
      <c r="B288" s="20" t="str">
        <f t="shared" si="4"/>
        <v>RM</v>
      </c>
      <c r="C288" s="11" t="s">
        <v>330</v>
      </c>
      <c r="D288" s="12" t="e">
        <f>VLOOKUP(C288,#REF!,2,0)</f>
        <v>#REF!</v>
      </c>
      <c r="E288" s="10" t="e">
        <f>VLOOKUP(C288,#REF!,4,0)</f>
        <v>#REF!</v>
      </c>
      <c r="F288" s="37" t="e">
        <f>VLOOKUP(C288,#REF!,8,0)</f>
        <v>#REF!</v>
      </c>
      <c r="G288" s="22" t="str">
        <f>IF(ISERROR(IF(VLOOKUP(C288,#REF!,2,0)&gt;0,"등록","")),"",(IF(VLOOKUP(C288,#REF!,2,0)&gt;0,"등록","")))</f>
        <v/>
      </c>
      <c r="H288" s="33" t="str">
        <f t="array" aca="1" ref="H288" ca="1">IF(ISERROR(OFFSET(#REF!,SMALL(IF(#REF!=RM시즌체크판!C288,ROW(#REF!)-20),1),)),"",(OFFSET(#REF!,SMALL(IF(#REF!=RM시즌체크판!C288,ROW(#REF!)-20),1),)))</f>
        <v/>
      </c>
      <c r="I288" s="34" t="str">
        <f t="array" aca="1" ref="I288" ca="1">IF(ISERROR(OFFSET(#REF!,SMALL(IF(#REF!=RM시즌체크판!C288,ROW(#REF!)-20),2),)),"",(OFFSET(#REF!,SMALL(IF(#REF!=RM시즌체크판!C288,ROW(#REF!)-20),2),)))</f>
        <v/>
      </c>
      <c r="J288" s="34" t="str">
        <f t="array" aca="1" ref="J288" ca="1">IF(ISERROR(OFFSET(#REF!,SMALL(IF(#REF!=RM시즌체크판!C288,ROW(#REF!)-20),3),)),"",(OFFSET(#REF!,SMALL(IF(#REF!=RM시즌체크판!C288,ROW(#REF!)-20),3),)))</f>
        <v/>
      </c>
      <c r="K288" s="34" t="str">
        <f t="array" aca="1" ref="K288" ca="1">IF(ISERROR(OFFSET(#REF!,SMALL(IF(#REF!=RM시즌체크판!C288,ROW(#REF!)-20),4),)),"",(OFFSET(#REF!,SMALL(IF(#REF!=RM시즌체크판!C288,ROW(#REF!)-20),4),)))</f>
        <v/>
      </c>
      <c r="L288" s="34" t="str">
        <f t="array" aca="1" ref="L288" ca="1">IF(ISERROR(OFFSET(#REF!,SMALL(IF(#REF!=RM시즌체크판!C288,ROW(#REF!)-20),5),)),"",(OFFSET(#REF!,SMALL(IF(#REF!=RM시즌체크판!C288,ROW(#REF!)-20),5),)))</f>
        <v/>
      </c>
      <c r="M288" s="35" t="str">
        <f t="array" aca="1" ref="M288" ca="1">IF(ISERROR(OFFSET(#REF!,SMALL(IF(#REF!=RM시즌체크판!C288,ROW(#REF!)-20),6),)),"",(OFFSET(#REF!,SMALL(IF(#REF!=RM시즌체크판!C288,ROW(#REF!)-20),6),)))</f>
        <v/>
      </c>
      <c r="N288" s="27" t="str">
        <f>IF(ISERROR(VLOOKUP(C288,모델촬영리스트!$C:$E,3,)),"",(VLOOKUP(C288,모델촬영리스트!$C:$E,3,)))</f>
        <v/>
      </c>
      <c r="O288" s="23" t="str">
        <f>IF(ISERROR(VLOOKUP(C288,배너촬영리스트!$C:$E,3,)),"",(VLOOKUP(C288,배너촬영리스트!$C:$E,3,)))</f>
        <v/>
      </c>
      <c r="P288" s="36" t="str">
        <f>IF(ISERROR(VLOOKUP(C288,배너촬영리스트!$C:$E,2,)),"",(VLOOKUP(C288,배너촬영리스트!$C:$E,2,)))</f>
        <v/>
      </c>
    </row>
    <row r="289" spans="2:16">
      <c r="B289" s="20" t="str">
        <f t="shared" si="4"/>
        <v>RM</v>
      </c>
      <c r="C289" s="11" t="s">
        <v>331</v>
      </c>
      <c r="D289" s="12" t="e">
        <f>VLOOKUP(C289,#REF!,2,0)</f>
        <v>#REF!</v>
      </c>
      <c r="E289" s="10" t="e">
        <f>VLOOKUP(C289,#REF!,4,0)</f>
        <v>#REF!</v>
      </c>
      <c r="F289" s="37" t="e">
        <f>VLOOKUP(C289,#REF!,8,0)</f>
        <v>#REF!</v>
      </c>
      <c r="G289" s="22" t="str">
        <f>IF(ISERROR(IF(VLOOKUP(C289,#REF!,2,0)&gt;0,"등록","")),"",(IF(VLOOKUP(C289,#REF!,2,0)&gt;0,"등록","")))</f>
        <v/>
      </c>
      <c r="H289" s="33" t="str">
        <f t="array" aca="1" ref="H289" ca="1">IF(ISERROR(OFFSET(#REF!,SMALL(IF(#REF!=RM시즌체크판!C289,ROW(#REF!)-20),1),)),"",(OFFSET(#REF!,SMALL(IF(#REF!=RM시즌체크판!C289,ROW(#REF!)-20),1),)))</f>
        <v/>
      </c>
      <c r="I289" s="34" t="str">
        <f t="array" aca="1" ref="I289" ca="1">IF(ISERROR(OFFSET(#REF!,SMALL(IF(#REF!=RM시즌체크판!C289,ROW(#REF!)-20),2),)),"",(OFFSET(#REF!,SMALL(IF(#REF!=RM시즌체크판!C289,ROW(#REF!)-20),2),)))</f>
        <v/>
      </c>
      <c r="J289" s="34" t="str">
        <f t="array" aca="1" ref="J289" ca="1">IF(ISERROR(OFFSET(#REF!,SMALL(IF(#REF!=RM시즌체크판!C289,ROW(#REF!)-20),3),)),"",(OFFSET(#REF!,SMALL(IF(#REF!=RM시즌체크판!C289,ROW(#REF!)-20),3),)))</f>
        <v/>
      </c>
      <c r="K289" s="34" t="str">
        <f t="array" aca="1" ref="K289" ca="1">IF(ISERROR(OFFSET(#REF!,SMALL(IF(#REF!=RM시즌체크판!C289,ROW(#REF!)-20),4),)),"",(OFFSET(#REF!,SMALL(IF(#REF!=RM시즌체크판!C289,ROW(#REF!)-20),4),)))</f>
        <v/>
      </c>
      <c r="L289" s="34" t="str">
        <f t="array" aca="1" ref="L289" ca="1">IF(ISERROR(OFFSET(#REF!,SMALL(IF(#REF!=RM시즌체크판!C289,ROW(#REF!)-20),5),)),"",(OFFSET(#REF!,SMALL(IF(#REF!=RM시즌체크판!C289,ROW(#REF!)-20),5),)))</f>
        <v/>
      </c>
      <c r="M289" s="35" t="str">
        <f t="array" aca="1" ref="M289" ca="1">IF(ISERROR(OFFSET(#REF!,SMALL(IF(#REF!=RM시즌체크판!C289,ROW(#REF!)-20),6),)),"",(OFFSET(#REF!,SMALL(IF(#REF!=RM시즌체크판!C289,ROW(#REF!)-20),6),)))</f>
        <v/>
      </c>
      <c r="N289" s="27" t="str">
        <f>IF(ISERROR(VLOOKUP(C289,모델촬영리스트!$C:$E,3,)),"",(VLOOKUP(C289,모델촬영리스트!$C:$E,3,)))</f>
        <v/>
      </c>
      <c r="O289" s="23" t="str">
        <f>IF(ISERROR(VLOOKUP(C289,배너촬영리스트!$C:$E,3,)),"",(VLOOKUP(C289,배너촬영리스트!$C:$E,3,)))</f>
        <v/>
      </c>
      <c r="P289" s="36" t="str">
        <f>IF(ISERROR(VLOOKUP(C289,배너촬영리스트!$C:$E,2,)),"",(VLOOKUP(C289,배너촬영리스트!$C:$E,2,)))</f>
        <v/>
      </c>
    </row>
    <row r="290" spans="2:16">
      <c r="B290" s="20" t="str">
        <f t="shared" si="4"/>
        <v>RM</v>
      </c>
      <c r="C290" s="11" t="s">
        <v>332</v>
      </c>
      <c r="D290" s="12" t="e">
        <f>VLOOKUP(C290,#REF!,2,0)</f>
        <v>#REF!</v>
      </c>
      <c r="E290" s="10" t="e">
        <f>VLOOKUP(C290,#REF!,4,0)</f>
        <v>#REF!</v>
      </c>
      <c r="F290" s="37" t="e">
        <f>VLOOKUP(C290,#REF!,8,0)</f>
        <v>#REF!</v>
      </c>
      <c r="G290" s="22" t="str">
        <f>IF(ISERROR(IF(VLOOKUP(C290,#REF!,2,0)&gt;0,"등록","")),"",(IF(VLOOKUP(C290,#REF!,2,0)&gt;0,"등록","")))</f>
        <v/>
      </c>
      <c r="H290" s="33" t="str">
        <f t="array" aca="1" ref="H290" ca="1">IF(ISERROR(OFFSET(#REF!,SMALL(IF(#REF!=RM시즌체크판!C290,ROW(#REF!)-20),1),)),"",(OFFSET(#REF!,SMALL(IF(#REF!=RM시즌체크판!C290,ROW(#REF!)-20),1),)))</f>
        <v/>
      </c>
      <c r="I290" s="34" t="str">
        <f t="array" aca="1" ref="I290" ca="1">IF(ISERROR(OFFSET(#REF!,SMALL(IF(#REF!=RM시즌체크판!C290,ROW(#REF!)-20),2),)),"",(OFFSET(#REF!,SMALL(IF(#REF!=RM시즌체크판!C290,ROW(#REF!)-20),2),)))</f>
        <v/>
      </c>
      <c r="J290" s="34" t="str">
        <f t="array" aca="1" ref="J290" ca="1">IF(ISERROR(OFFSET(#REF!,SMALL(IF(#REF!=RM시즌체크판!C290,ROW(#REF!)-20),3),)),"",(OFFSET(#REF!,SMALL(IF(#REF!=RM시즌체크판!C290,ROW(#REF!)-20),3),)))</f>
        <v/>
      </c>
      <c r="K290" s="34" t="str">
        <f t="array" aca="1" ref="K290" ca="1">IF(ISERROR(OFFSET(#REF!,SMALL(IF(#REF!=RM시즌체크판!C290,ROW(#REF!)-20),4),)),"",(OFFSET(#REF!,SMALL(IF(#REF!=RM시즌체크판!C290,ROW(#REF!)-20),4),)))</f>
        <v/>
      </c>
      <c r="L290" s="34" t="str">
        <f t="array" aca="1" ref="L290" ca="1">IF(ISERROR(OFFSET(#REF!,SMALL(IF(#REF!=RM시즌체크판!C290,ROW(#REF!)-20),5),)),"",(OFFSET(#REF!,SMALL(IF(#REF!=RM시즌체크판!C290,ROW(#REF!)-20),5),)))</f>
        <v/>
      </c>
      <c r="M290" s="35" t="str">
        <f t="array" aca="1" ref="M290" ca="1">IF(ISERROR(OFFSET(#REF!,SMALL(IF(#REF!=RM시즌체크판!C290,ROW(#REF!)-20),6),)),"",(OFFSET(#REF!,SMALL(IF(#REF!=RM시즌체크판!C290,ROW(#REF!)-20),6),)))</f>
        <v/>
      </c>
      <c r="N290" s="27" t="str">
        <f>IF(ISERROR(VLOOKUP(C290,모델촬영리스트!$C:$E,3,)),"",(VLOOKUP(C290,모델촬영리스트!$C:$E,3,)))</f>
        <v/>
      </c>
      <c r="O290" s="23" t="str">
        <f>IF(ISERROR(VLOOKUP(C290,배너촬영리스트!$C:$E,3,)),"",(VLOOKUP(C290,배너촬영리스트!$C:$E,3,)))</f>
        <v/>
      </c>
      <c r="P290" s="36" t="str">
        <f>IF(ISERROR(VLOOKUP(C290,배너촬영리스트!$C:$E,2,)),"",(VLOOKUP(C290,배너촬영리스트!$C:$E,2,)))</f>
        <v/>
      </c>
    </row>
    <row r="291" spans="2:16">
      <c r="B291" s="20" t="str">
        <f t="shared" si="4"/>
        <v>RM</v>
      </c>
      <c r="C291" s="11" t="s">
        <v>333</v>
      </c>
      <c r="D291" s="12" t="e">
        <f>VLOOKUP(C291,#REF!,2,0)</f>
        <v>#REF!</v>
      </c>
      <c r="E291" s="10" t="e">
        <f>VLOOKUP(C291,#REF!,4,0)</f>
        <v>#REF!</v>
      </c>
      <c r="F291" s="37" t="e">
        <f>VLOOKUP(C291,#REF!,8,0)</f>
        <v>#REF!</v>
      </c>
      <c r="G291" s="22" t="str">
        <f>IF(ISERROR(IF(VLOOKUP(C291,#REF!,2,0)&gt;0,"등록","")),"",(IF(VLOOKUP(C291,#REF!,2,0)&gt;0,"등록","")))</f>
        <v/>
      </c>
      <c r="H291" s="33" t="str">
        <f t="array" aca="1" ref="H291" ca="1">IF(ISERROR(OFFSET(#REF!,SMALL(IF(#REF!=RM시즌체크판!C291,ROW(#REF!)-20),1),)),"",(OFFSET(#REF!,SMALL(IF(#REF!=RM시즌체크판!C291,ROW(#REF!)-20),1),)))</f>
        <v/>
      </c>
      <c r="I291" s="34" t="str">
        <f t="array" aca="1" ref="I291" ca="1">IF(ISERROR(OFFSET(#REF!,SMALL(IF(#REF!=RM시즌체크판!C291,ROW(#REF!)-20),2),)),"",(OFFSET(#REF!,SMALL(IF(#REF!=RM시즌체크판!C291,ROW(#REF!)-20),2),)))</f>
        <v/>
      </c>
      <c r="J291" s="34" t="str">
        <f t="array" aca="1" ref="J291" ca="1">IF(ISERROR(OFFSET(#REF!,SMALL(IF(#REF!=RM시즌체크판!C291,ROW(#REF!)-20),3),)),"",(OFFSET(#REF!,SMALL(IF(#REF!=RM시즌체크판!C291,ROW(#REF!)-20),3),)))</f>
        <v/>
      </c>
      <c r="K291" s="34" t="str">
        <f t="array" aca="1" ref="K291" ca="1">IF(ISERROR(OFFSET(#REF!,SMALL(IF(#REF!=RM시즌체크판!C291,ROW(#REF!)-20),4),)),"",(OFFSET(#REF!,SMALL(IF(#REF!=RM시즌체크판!C291,ROW(#REF!)-20),4),)))</f>
        <v/>
      </c>
      <c r="L291" s="34" t="str">
        <f t="array" aca="1" ref="L291" ca="1">IF(ISERROR(OFFSET(#REF!,SMALL(IF(#REF!=RM시즌체크판!C291,ROW(#REF!)-20),5),)),"",(OFFSET(#REF!,SMALL(IF(#REF!=RM시즌체크판!C291,ROW(#REF!)-20),5),)))</f>
        <v/>
      </c>
      <c r="M291" s="35" t="str">
        <f t="array" aca="1" ref="M291" ca="1">IF(ISERROR(OFFSET(#REF!,SMALL(IF(#REF!=RM시즌체크판!C291,ROW(#REF!)-20),6),)),"",(OFFSET(#REF!,SMALL(IF(#REF!=RM시즌체크판!C291,ROW(#REF!)-20),6),)))</f>
        <v/>
      </c>
      <c r="N291" s="27" t="str">
        <f>IF(ISERROR(VLOOKUP(C291,모델촬영리스트!$C:$E,3,)),"",(VLOOKUP(C291,모델촬영리스트!$C:$E,3,)))</f>
        <v/>
      </c>
      <c r="O291" s="23" t="str">
        <f>IF(ISERROR(VLOOKUP(C291,배너촬영리스트!$C:$E,3,)),"",(VLOOKUP(C291,배너촬영리스트!$C:$E,3,)))</f>
        <v/>
      </c>
      <c r="P291" s="36" t="str">
        <f>IF(ISERROR(VLOOKUP(C291,배너촬영리스트!$C:$E,2,)),"",(VLOOKUP(C291,배너촬영리스트!$C:$E,2,)))</f>
        <v/>
      </c>
    </row>
    <row r="292" spans="2:16">
      <c r="B292" s="20" t="str">
        <f t="shared" si="4"/>
        <v>RM</v>
      </c>
      <c r="C292" s="11" t="s">
        <v>334</v>
      </c>
      <c r="D292" s="12" t="e">
        <f>VLOOKUP(C292,#REF!,2,0)</f>
        <v>#REF!</v>
      </c>
      <c r="E292" s="10" t="e">
        <f>VLOOKUP(C292,#REF!,4,0)</f>
        <v>#REF!</v>
      </c>
      <c r="F292" s="37" t="e">
        <f>VLOOKUP(C292,#REF!,8,0)</f>
        <v>#REF!</v>
      </c>
      <c r="G292" s="22" t="str">
        <f>IF(ISERROR(IF(VLOOKUP(C292,#REF!,2,0)&gt;0,"등록","")),"",(IF(VLOOKUP(C292,#REF!,2,0)&gt;0,"등록","")))</f>
        <v/>
      </c>
      <c r="H292" s="33" t="str">
        <f t="array" aca="1" ref="H292" ca="1">IF(ISERROR(OFFSET(#REF!,SMALL(IF(#REF!=RM시즌체크판!C292,ROW(#REF!)-20),1),)),"",(OFFSET(#REF!,SMALL(IF(#REF!=RM시즌체크판!C292,ROW(#REF!)-20),1),)))</f>
        <v/>
      </c>
      <c r="I292" s="34" t="str">
        <f t="array" aca="1" ref="I292" ca="1">IF(ISERROR(OFFSET(#REF!,SMALL(IF(#REF!=RM시즌체크판!C292,ROW(#REF!)-20),2),)),"",(OFFSET(#REF!,SMALL(IF(#REF!=RM시즌체크판!C292,ROW(#REF!)-20),2),)))</f>
        <v/>
      </c>
      <c r="J292" s="34" t="str">
        <f t="array" aca="1" ref="J292" ca="1">IF(ISERROR(OFFSET(#REF!,SMALL(IF(#REF!=RM시즌체크판!C292,ROW(#REF!)-20),3),)),"",(OFFSET(#REF!,SMALL(IF(#REF!=RM시즌체크판!C292,ROW(#REF!)-20),3),)))</f>
        <v/>
      </c>
      <c r="K292" s="34" t="str">
        <f t="array" aca="1" ref="K292" ca="1">IF(ISERROR(OFFSET(#REF!,SMALL(IF(#REF!=RM시즌체크판!C292,ROW(#REF!)-20),4),)),"",(OFFSET(#REF!,SMALL(IF(#REF!=RM시즌체크판!C292,ROW(#REF!)-20),4),)))</f>
        <v/>
      </c>
      <c r="L292" s="34" t="str">
        <f t="array" aca="1" ref="L292" ca="1">IF(ISERROR(OFFSET(#REF!,SMALL(IF(#REF!=RM시즌체크판!C292,ROW(#REF!)-20),5),)),"",(OFFSET(#REF!,SMALL(IF(#REF!=RM시즌체크판!C292,ROW(#REF!)-20),5),)))</f>
        <v/>
      </c>
      <c r="M292" s="35" t="str">
        <f t="array" aca="1" ref="M292" ca="1">IF(ISERROR(OFFSET(#REF!,SMALL(IF(#REF!=RM시즌체크판!C292,ROW(#REF!)-20),6),)),"",(OFFSET(#REF!,SMALL(IF(#REF!=RM시즌체크판!C292,ROW(#REF!)-20),6),)))</f>
        <v/>
      </c>
      <c r="N292" s="27" t="str">
        <f>IF(ISERROR(VLOOKUP(C292,모델촬영리스트!$C:$E,3,)),"",(VLOOKUP(C292,모델촬영리스트!$C:$E,3,)))</f>
        <v/>
      </c>
      <c r="O292" s="23" t="str">
        <f>IF(ISERROR(VLOOKUP(C292,배너촬영리스트!$C:$E,3,)),"",(VLOOKUP(C292,배너촬영리스트!$C:$E,3,)))</f>
        <v/>
      </c>
      <c r="P292" s="36" t="str">
        <f>IF(ISERROR(VLOOKUP(C292,배너촬영리스트!$C:$E,2,)),"",(VLOOKUP(C292,배너촬영리스트!$C:$E,2,)))</f>
        <v/>
      </c>
    </row>
    <row r="293" spans="2:16">
      <c r="B293" s="20" t="str">
        <f t="shared" si="4"/>
        <v>RM</v>
      </c>
      <c r="C293" s="11" t="s">
        <v>335</v>
      </c>
      <c r="D293" s="12" t="e">
        <f>VLOOKUP(C293,#REF!,2,0)</f>
        <v>#REF!</v>
      </c>
      <c r="E293" s="10" t="e">
        <f>VLOOKUP(C293,#REF!,4,0)</f>
        <v>#REF!</v>
      </c>
      <c r="F293" s="37" t="e">
        <f>VLOOKUP(C293,#REF!,8,0)</f>
        <v>#REF!</v>
      </c>
      <c r="G293" s="22" t="str">
        <f>IF(ISERROR(IF(VLOOKUP(C293,#REF!,2,0)&gt;0,"등록","")),"",(IF(VLOOKUP(C293,#REF!,2,0)&gt;0,"등록","")))</f>
        <v/>
      </c>
      <c r="H293" s="33" t="str">
        <f t="array" aca="1" ref="H293" ca="1">IF(ISERROR(OFFSET(#REF!,SMALL(IF(#REF!=RM시즌체크판!C293,ROW(#REF!)-20),1),)),"",(OFFSET(#REF!,SMALL(IF(#REF!=RM시즌체크판!C293,ROW(#REF!)-20),1),)))</f>
        <v/>
      </c>
      <c r="I293" s="34" t="str">
        <f t="array" aca="1" ref="I293" ca="1">IF(ISERROR(OFFSET(#REF!,SMALL(IF(#REF!=RM시즌체크판!C293,ROW(#REF!)-20),2),)),"",(OFFSET(#REF!,SMALL(IF(#REF!=RM시즌체크판!C293,ROW(#REF!)-20),2),)))</f>
        <v/>
      </c>
      <c r="J293" s="34" t="str">
        <f t="array" aca="1" ref="J293" ca="1">IF(ISERROR(OFFSET(#REF!,SMALL(IF(#REF!=RM시즌체크판!C293,ROW(#REF!)-20),3),)),"",(OFFSET(#REF!,SMALL(IF(#REF!=RM시즌체크판!C293,ROW(#REF!)-20),3),)))</f>
        <v/>
      </c>
      <c r="K293" s="34" t="str">
        <f t="array" aca="1" ref="K293" ca="1">IF(ISERROR(OFFSET(#REF!,SMALL(IF(#REF!=RM시즌체크판!C293,ROW(#REF!)-20),4),)),"",(OFFSET(#REF!,SMALL(IF(#REF!=RM시즌체크판!C293,ROW(#REF!)-20),4),)))</f>
        <v/>
      </c>
      <c r="L293" s="34" t="str">
        <f t="array" aca="1" ref="L293" ca="1">IF(ISERROR(OFFSET(#REF!,SMALL(IF(#REF!=RM시즌체크판!C293,ROW(#REF!)-20),5),)),"",(OFFSET(#REF!,SMALL(IF(#REF!=RM시즌체크판!C293,ROW(#REF!)-20),5),)))</f>
        <v/>
      </c>
      <c r="M293" s="35" t="str">
        <f t="array" aca="1" ref="M293" ca="1">IF(ISERROR(OFFSET(#REF!,SMALL(IF(#REF!=RM시즌체크판!C293,ROW(#REF!)-20),6),)),"",(OFFSET(#REF!,SMALL(IF(#REF!=RM시즌체크판!C293,ROW(#REF!)-20),6),)))</f>
        <v/>
      </c>
      <c r="N293" s="27" t="str">
        <f>IF(ISERROR(VLOOKUP(C293,모델촬영리스트!$C:$E,3,)),"",(VLOOKUP(C293,모델촬영리스트!$C:$E,3,)))</f>
        <v/>
      </c>
      <c r="O293" s="23" t="str">
        <f>IF(ISERROR(VLOOKUP(C293,배너촬영리스트!$C:$E,3,)),"",(VLOOKUP(C293,배너촬영리스트!$C:$E,3,)))</f>
        <v/>
      </c>
      <c r="P293" s="36" t="str">
        <f>IF(ISERROR(VLOOKUP(C293,배너촬영리스트!$C:$E,2,)),"",(VLOOKUP(C293,배너촬영리스트!$C:$E,2,)))</f>
        <v/>
      </c>
    </row>
    <row r="294" spans="2:16">
      <c r="B294" s="20" t="str">
        <f t="shared" si="4"/>
        <v>RM</v>
      </c>
      <c r="C294" s="11" t="s">
        <v>336</v>
      </c>
      <c r="D294" s="12" t="e">
        <f>VLOOKUP(C294,#REF!,2,0)</f>
        <v>#REF!</v>
      </c>
      <c r="E294" s="10" t="e">
        <f>VLOOKUP(C294,#REF!,4,0)</f>
        <v>#REF!</v>
      </c>
      <c r="F294" s="37" t="e">
        <f>VLOOKUP(C294,#REF!,8,0)</f>
        <v>#REF!</v>
      </c>
      <c r="G294" s="22" t="str">
        <f>IF(ISERROR(IF(VLOOKUP(C294,#REF!,2,0)&gt;0,"등록","")),"",(IF(VLOOKUP(C294,#REF!,2,0)&gt;0,"등록","")))</f>
        <v/>
      </c>
      <c r="H294" s="33" t="str">
        <f t="array" aca="1" ref="H294" ca="1">IF(ISERROR(OFFSET(#REF!,SMALL(IF(#REF!=RM시즌체크판!C294,ROW(#REF!)-20),1),)),"",(OFFSET(#REF!,SMALL(IF(#REF!=RM시즌체크판!C294,ROW(#REF!)-20),1),)))</f>
        <v/>
      </c>
      <c r="I294" s="34" t="str">
        <f t="array" aca="1" ref="I294" ca="1">IF(ISERROR(OFFSET(#REF!,SMALL(IF(#REF!=RM시즌체크판!C294,ROW(#REF!)-20),2),)),"",(OFFSET(#REF!,SMALL(IF(#REF!=RM시즌체크판!C294,ROW(#REF!)-20),2),)))</f>
        <v/>
      </c>
      <c r="J294" s="34" t="str">
        <f t="array" aca="1" ref="J294" ca="1">IF(ISERROR(OFFSET(#REF!,SMALL(IF(#REF!=RM시즌체크판!C294,ROW(#REF!)-20),3),)),"",(OFFSET(#REF!,SMALL(IF(#REF!=RM시즌체크판!C294,ROW(#REF!)-20),3),)))</f>
        <v/>
      </c>
      <c r="K294" s="34" t="str">
        <f t="array" aca="1" ref="K294" ca="1">IF(ISERROR(OFFSET(#REF!,SMALL(IF(#REF!=RM시즌체크판!C294,ROW(#REF!)-20),4),)),"",(OFFSET(#REF!,SMALL(IF(#REF!=RM시즌체크판!C294,ROW(#REF!)-20),4),)))</f>
        <v/>
      </c>
      <c r="L294" s="34" t="str">
        <f t="array" aca="1" ref="L294" ca="1">IF(ISERROR(OFFSET(#REF!,SMALL(IF(#REF!=RM시즌체크판!C294,ROW(#REF!)-20),5),)),"",(OFFSET(#REF!,SMALL(IF(#REF!=RM시즌체크판!C294,ROW(#REF!)-20),5),)))</f>
        <v/>
      </c>
      <c r="M294" s="35" t="str">
        <f t="array" aca="1" ref="M294" ca="1">IF(ISERROR(OFFSET(#REF!,SMALL(IF(#REF!=RM시즌체크판!C294,ROW(#REF!)-20),6),)),"",(OFFSET(#REF!,SMALL(IF(#REF!=RM시즌체크판!C294,ROW(#REF!)-20),6),)))</f>
        <v/>
      </c>
      <c r="N294" s="27" t="str">
        <f>IF(ISERROR(VLOOKUP(C294,모델촬영리스트!$C:$E,3,)),"",(VLOOKUP(C294,모델촬영리스트!$C:$E,3,)))</f>
        <v/>
      </c>
      <c r="O294" s="23" t="str">
        <f>IF(ISERROR(VLOOKUP(C294,배너촬영리스트!$C:$E,3,)),"",(VLOOKUP(C294,배너촬영리스트!$C:$E,3,)))</f>
        <v/>
      </c>
      <c r="P294" s="36" t="str">
        <f>IF(ISERROR(VLOOKUP(C294,배너촬영리스트!$C:$E,2,)),"",(VLOOKUP(C294,배너촬영리스트!$C:$E,2,)))</f>
        <v/>
      </c>
    </row>
    <row r="295" spans="2:16">
      <c r="B295" s="20" t="str">
        <f t="shared" si="4"/>
        <v>RM</v>
      </c>
      <c r="C295" s="11" t="s">
        <v>337</v>
      </c>
      <c r="D295" s="12" t="e">
        <f>VLOOKUP(C295,#REF!,2,0)</f>
        <v>#REF!</v>
      </c>
      <c r="E295" s="10" t="e">
        <f>VLOOKUP(C295,#REF!,4,0)</f>
        <v>#REF!</v>
      </c>
      <c r="F295" s="37" t="e">
        <f>VLOOKUP(C295,#REF!,8,0)</f>
        <v>#REF!</v>
      </c>
      <c r="G295" s="22" t="str">
        <f>IF(ISERROR(IF(VLOOKUP(C295,#REF!,2,0)&gt;0,"등록","")),"",(IF(VLOOKUP(C295,#REF!,2,0)&gt;0,"등록","")))</f>
        <v/>
      </c>
      <c r="H295" s="33" t="str">
        <f t="array" aca="1" ref="H295" ca="1">IF(ISERROR(OFFSET(#REF!,SMALL(IF(#REF!=RM시즌체크판!C295,ROW(#REF!)-20),1),)),"",(OFFSET(#REF!,SMALL(IF(#REF!=RM시즌체크판!C295,ROW(#REF!)-20),1),)))</f>
        <v/>
      </c>
      <c r="I295" s="34" t="str">
        <f t="array" aca="1" ref="I295" ca="1">IF(ISERROR(OFFSET(#REF!,SMALL(IF(#REF!=RM시즌체크판!C295,ROW(#REF!)-20),2),)),"",(OFFSET(#REF!,SMALL(IF(#REF!=RM시즌체크판!C295,ROW(#REF!)-20),2),)))</f>
        <v/>
      </c>
      <c r="J295" s="34" t="str">
        <f t="array" aca="1" ref="J295" ca="1">IF(ISERROR(OFFSET(#REF!,SMALL(IF(#REF!=RM시즌체크판!C295,ROW(#REF!)-20),3),)),"",(OFFSET(#REF!,SMALL(IF(#REF!=RM시즌체크판!C295,ROW(#REF!)-20),3),)))</f>
        <v/>
      </c>
      <c r="K295" s="34" t="str">
        <f t="array" aca="1" ref="K295" ca="1">IF(ISERROR(OFFSET(#REF!,SMALL(IF(#REF!=RM시즌체크판!C295,ROW(#REF!)-20),4),)),"",(OFFSET(#REF!,SMALL(IF(#REF!=RM시즌체크판!C295,ROW(#REF!)-20),4),)))</f>
        <v/>
      </c>
      <c r="L295" s="34" t="str">
        <f t="array" aca="1" ref="L295" ca="1">IF(ISERROR(OFFSET(#REF!,SMALL(IF(#REF!=RM시즌체크판!C295,ROW(#REF!)-20),5),)),"",(OFFSET(#REF!,SMALL(IF(#REF!=RM시즌체크판!C295,ROW(#REF!)-20),5),)))</f>
        <v/>
      </c>
      <c r="M295" s="35" t="str">
        <f t="array" aca="1" ref="M295" ca="1">IF(ISERROR(OFFSET(#REF!,SMALL(IF(#REF!=RM시즌체크판!C295,ROW(#REF!)-20),6),)),"",(OFFSET(#REF!,SMALL(IF(#REF!=RM시즌체크판!C295,ROW(#REF!)-20),6),)))</f>
        <v/>
      </c>
      <c r="N295" s="27" t="str">
        <f>IF(ISERROR(VLOOKUP(C295,모델촬영리스트!$C:$E,3,)),"",(VLOOKUP(C295,모델촬영리스트!$C:$E,3,)))</f>
        <v/>
      </c>
      <c r="O295" s="23" t="str">
        <f>IF(ISERROR(VLOOKUP(C295,배너촬영리스트!$C:$E,3,)),"",(VLOOKUP(C295,배너촬영리스트!$C:$E,3,)))</f>
        <v/>
      </c>
      <c r="P295" s="36" t="str">
        <f>IF(ISERROR(VLOOKUP(C295,배너촬영리스트!$C:$E,2,)),"",(VLOOKUP(C295,배너촬영리스트!$C:$E,2,)))</f>
        <v/>
      </c>
    </row>
    <row r="296" spans="2:16">
      <c r="B296" s="20" t="str">
        <f t="shared" si="4"/>
        <v>RM</v>
      </c>
      <c r="C296" s="11" t="s">
        <v>338</v>
      </c>
      <c r="D296" s="12" t="e">
        <f>VLOOKUP(C296,#REF!,2,0)</f>
        <v>#REF!</v>
      </c>
      <c r="E296" s="10" t="e">
        <f>VLOOKUP(C296,#REF!,4,0)</f>
        <v>#REF!</v>
      </c>
      <c r="F296" s="37" t="e">
        <f>VLOOKUP(C296,#REF!,8,0)</f>
        <v>#REF!</v>
      </c>
      <c r="G296" s="22" t="str">
        <f>IF(ISERROR(IF(VLOOKUP(C296,#REF!,2,0)&gt;0,"등록","")),"",(IF(VLOOKUP(C296,#REF!,2,0)&gt;0,"등록","")))</f>
        <v/>
      </c>
      <c r="H296" s="33" t="str">
        <f t="array" aca="1" ref="H296" ca="1">IF(ISERROR(OFFSET(#REF!,SMALL(IF(#REF!=RM시즌체크판!C296,ROW(#REF!)-20),1),)),"",(OFFSET(#REF!,SMALL(IF(#REF!=RM시즌체크판!C296,ROW(#REF!)-20),1),)))</f>
        <v/>
      </c>
      <c r="I296" s="34" t="str">
        <f t="array" aca="1" ref="I296" ca="1">IF(ISERROR(OFFSET(#REF!,SMALL(IF(#REF!=RM시즌체크판!C296,ROW(#REF!)-20),2),)),"",(OFFSET(#REF!,SMALL(IF(#REF!=RM시즌체크판!C296,ROW(#REF!)-20),2),)))</f>
        <v/>
      </c>
      <c r="J296" s="34" t="str">
        <f t="array" aca="1" ref="J296" ca="1">IF(ISERROR(OFFSET(#REF!,SMALL(IF(#REF!=RM시즌체크판!C296,ROW(#REF!)-20),3),)),"",(OFFSET(#REF!,SMALL(IF(#REF!=RM시즌체크판!C296,ROW(#REF!)-20),3),)))</f>
        <v/>
      </c>
      <c r="K296" s="34" t="str">
        <f t="array" aca="1" ref="K296" ca="1">IF(ISERROR(OFFSET(#REF!,SMALL(IF(#REF!=RM시즌체크판!C296,ROW(#REF!)-20),4),)),"",(OFFSET(#REF!,SMALL(IF(#REF!=RM시즌체크판!C296,ROW(#REF!)-20),4),)))</f>
        <v/>
      </c>
      <c r="L296" s="34" t="str">
        <f t="array" aca="1" ref="L296" ca="1">IF(ISERROR(OFFSET(#REF!,SMALL(IF(#REF!=RM시즌체크판!C296,ROW(#REF!)-20),5),)),"",(OFFSET(#REF!,SMALL(IF(#REF!=RM시즌체크판!C296,ROW(#REF!)-20),5),)))</f>
        <v/>
      </c>
      <c r="M296" s="35" t="str">
        <f t="array" aca="1" ref="M296" ca="1">IF(ISERROR(OFFSET(#REF!,SMALL(IF(#REF!=RM시즌체크판!C296,ROW(#REF!)-20),6),)),"",(OFFSET(#REF!,SMALL(IF(#REF!=RM시즌체크판!C296,ROW(#REF!)-20),6),)))</f>
        <v/>
      </c>
      <c r="N296" s="27" t="str">
        <f>IF(ISERROR(VLOOKUP(C296,모델촬영리스트!$C:$E,3,)),"",(VLOOKUP(C296,모델촬영리스트!$C:$E,3,)))</f>
        <v/>
      </c>
      <c r="O296" s="23" t="str">
        <f>IF(ISERROR(VLOOKUP(C296,배너촬영리스트!$C:$E,3,)),"",(VLOOKUP(C296,배너촬영리스트!$C:$E,3,)))</f>
        <v/>
      </c>
      <c r="P296" s="36" t="str">
        <f>IF(ISERROR(VLOOKUP(C296,배너촬영리스트!$C:$E,2,)),"",(VLOOKUP(C296,배너촬영리스트!$C:$E,2,)))</f>
        <v/>
      </c>
    </row>
    <row r="297" spans="2:16">
      <c r="B297" s="20" t="str">
        <f t="shared" si="4"/>
        <v>RM</v>
      </c>
      <c r="C297" s="11" t="s">
        <v>339</v>
      </c>
      <c r="D297" s="12" t="e">
        <f>VLOOKUP(C297,#REF!,2,0)</f>
        <v>#REF!</v>
      </c>
      <c r="E297" s="10" t="e">
        <f>VLOOKUP(C297,#REF!,4,0)</f>
        <v>#REF!</v>
      </c>
      <c r="F297" s="37" t="e">
        <f>VLOOKUP(C297,#REF!,8,0)</f>
        <v>#REF!</v>
      </c>
      <c r="G297" s="22" t="str">
        <f>IF(ISERROR(IF(VLOOKUP(C297,#REF!,2,0)&gt;0,"등록","")),"",(IF(VLOOKUP(C297,#REF!,2,0)&gt;0,"등록","")))</f>
        <v/>
      </c>
      <c r="H297" s="33" t="str">
        <f t="array" aca="1" ref="H297" ca="1">IF(ISERROR(OFFSET(#REF!,SMALL(IF(#REF!=RM시즌체크판!C297,ROW(#REF!)-20),1),)),"",(OFFSET(#REF!,SMALL(IF(#REF!=RM시즌체크판!C297,ROW(#REF!)-20),1),)))</f>
        <v/>
      </c>
      <c r="I297" s="34" t="str">
        <f t="array" aca="1" ref="I297" ca="1">IF(ISERROR(OFFSET(#REF!,SMALL(IF(#REF!=RM시즌체크판!C297,ROW(#REF!)-20),2),)),"",(OFFSET(#REF!,SMALL(IF(#REF!=RM시즌체크판!C297,ROW(#REF!)-20),2),)))</f>
        <v/>
      </c>
      <c r="J297" s="34" t="str">
        <f t="array" aca="1" ref="J297" ca="1">IF(ISERROR(OFFSET(#REF!,SMALL(IF(#REF!=RM시즌체크판!C297,ROW(#REF!)-20),3),)),"",(OFFSET(#REF!,SMALL(IF(#REF!=RM시즌체크판!C297,ROW(#REF!)-20),3),)))</f>
        <v/>
      </c>
      <c r="K297" s="34" t="str">
        <f t="array" aca="1" ref="K297" ca="1">IF(ISERROR(OFFSET(#REF!,SMALL(IF(#REF!=RM시즌체크판!C297,ROW(#REF!)-20),4),)),"",(OFFSET(#REF!,SMALL(IF(#REF!=RM시즌체크판!C297,ROW(#REF!)-20),4),)))</f>
        <v/>
      </c>
      <c r="L297" s="34" t="str">
        <f t="array" aca="1" ref="L297" ca="1">IF(ISERROR(OFFSET(#REF!,SMALL(IF(#REF!=RM시즌체크판!C297,ROW(#REF!)-20),5),)),"",(OFFSET(#REF!,SMALL(IF(#REF!=RM시즌체크판!C297,ROW(#REF!)-20),5),)))</f>
        <v/>
      </c>
      <c r="M297" s="35" t="str">
        <f t="array" aca="1" ref="M297" ca="1">IF(ISERROR(OFFSET(#REF!,SMALL(IF(#REF!=RM시즌체크판!C297,ROW(#REF!)-20),6),)),"",(OFFSET(#REF!,SMALL(IF(#REF!=RM시즌체크판!C297,ROW(#REF!)-20),6),)))</f>
        <v/>
      </c>
      <c r="N297" s="27" t="str">
        <f>IF(ISERROR(VLOOKUP(C297,모델촬영리스트!$C:$E,3,)),"",(VLOOKUP(C297,모델촬영리스트!$C:$E,3,)))</f>
        <v/>
      </c>
      <c r="O297" s="23" t="str">
        <f>IF(ISERROR(VLOOKUP(C297,배너촬영리스트!$C:$E,3,)),"",(VLOOKUP(C297,배너촬영리스트!$C:$E,3,)))</f>
        <v/>
      </c>
      <c r="P297" s="36" t="str">
        <f>IF(ISERROR(VLOOKUP(C297,배너촬영리스트!$C:$E,2,)),"",(VLOOKUP(C297,배너촬영리스트!$C:$E,2,)))</f>
        <v/>
      </c>
    </row>
    <row r="298" spans="2:16">
      <c r="B298" s="20" t="str">
        <f t="shared" si="4"/>
        <v>RM</v>
      </c>
      <c r="C298" s="11" t="s">
        <v>340</v>
      </c>
      <c r="D298" s="12" t="e">
        <f>VLOOKUP(C298,#REF!,2,0)</f>
        <v>#REF!</v>
      </c>
      <c r="E298" s="10" t="e">
        <f>VLOOKUP(C298,#REF!,4,0)</f>
        <v>#REF!</v>
      </c>
      <c r="F298" s="37" t="e">
        <f>VLOOKUP(C298,#REF!,8,0)</f>
        <v>#REF!</v>
      </c>
      <c r="G298" s="22" t="str">
        <f>IF(ISERROR(IF(VLOOKUP(C298,#REF!,2,0)&gt;0,"등록","")),"",(IF(VLOOKUP(C298,#REF!,2,0)&gt;0,"등록","")))</f>
        <v/>
      </c>
      <c r="H298" s="33" t="str">
        <f t="array" aca="1" ref="H298" ca="1">IF(ISERROR(OFFSET(#REF!,SMALL(IF(#REF!=RM시즌체크판!C298,ROW(#REF!)-20),1),)),"",(OFFSET(#REF!,SMALL(IF(#REF!=RM시즌체크판!C298,ROW(#REF!)-20),1),)))</f>
        <v/>
      </c>
      <c r="I298" s="34" t="str">
        <f t="array" aca="1" ref="I298" ca="1">IF(ISERROR(OFFSET(#REF!,SMALL(IF(#REF!=RM시즌체크판!C298,ROW(#REF!)-20),2),)),"",(OFFSET(#REF!,SMALL(IF(#REF!=RM시즌체크판!C298,ROW(#REF!)-20),2),)))</f>
        <v/>
      </c>
      <c r="J298" s="34" t="str">
        <f t="array" aca="1" ref="J298" ca="1">IF(ISERROR(OFFSET(#REF!,SMALL(IF(#REF!=RM시즌체크판!C298,ROW(#REF!)-20),3),)),"",(OFFSET(#REF!,SMALL(IF(#REF!=RM시즌체크판!C298,ROW(#REF!)-20),3),)))</f>
        <v/>
      </c>
      <c r="K298" s="34" t="str">
        <f t="array" aca="1" ref="K298" ca="1">IF(ISERROR(OFFSET(#REF!,SMALL(IF(#REF!=RM시즌체크판!C298,ROW(#REF!)-20),4),)),"",(OFFSET(#REF!,SMALL(IF(#REF!=RM시즌체크판!C298,ROW(#REF!)-20),4),)))</f>
        <v/>
      </c>
      <c r="L298" s="34" t="str">
        <f t="array" aca="1" ref="L298" ca="1">IF(ISERROR(OFFSET(#REF!,SMALL(IF(#REF!=RM시즌체크판!C298,ROW(#REF!)-20),5),)),"",(OFFSET(#REF!,SMALL(IF(#REF!=RM시즌체크판!C298,ROW(#REF!)-20),5),)))</f>
        <v/>
      </c>
      <c r="M298" s="35" t="str">
        <f t="array" aca="1" ref="M298" ca="1">IF(ISERROR(OFFSET(#REF!,SMALL(IF(#REF!=RM시즌체크판!C298,ROW(#REF!)-20),6),)),"",(OFFSET(#REF!,SMALL(IF(#REF!=RM시즌체크판!C298,ROW(#REF!)-20),6),)))</f>
        <v/>
      </c>
      <c r="N298" s="27" t="str">
        <f>IF(ISERROR(VLOOKUP(C298,모델촬영리스트!$C:$E,3,)),"",(VLOOKUP(C298,모델촬영리스트!$C:$E,3,)))</f>
        <v/>
      </c>
      <c r="O298" s="23" t="str">
        <f>IF(ISERROR(VLOOKUP(C298,배너촬영리스트!$C:$E,3,)),"",(VLOOKUP(C298,배너촬영리스트!$C:$E,3,)))</f>
        <v/>
      </c>
      <c r="P298" s="36" t="str">
        <f>IF(ISERROR(VLOOKUP(C298,배너촬영리스트!$C:$E,2,)),"",(VLOOKUP(C298,배너촬영리스트!$C:$E,2,)))</f>
        <v/>
      </c>
    </row>
    <row r="299" spans="2:16">
      <c r="B299" s="20" t="str">
        <f t="shared" si="4"/>
        <v>RM</v>
      </c>
      <c r="C299" s="11" t="s">
        <v>341</v>
      </c>
      <c r="D299" s="12" t="e">
        <f>VLOOKUP(C299,#REF!,2,0)</f>
        <v>#REF!</v>
      </c>
      <c r="E299" s="10" t="e">
        <f>VLOOKUP(C299,#REF!,4,0)</f>
        <v>#REF!</v>
      </c>
      <c r="F299" s="37" t="e">
        <f>VLOOKUP(C299,#REF!,8,0)</f>
        <v>#REF!</v>
      </c>
      <c r="G299" s="22" t="str">
        <f>IF(ISERROR(IF(VLOOKUP(C299,#REF!,2,0)&gt;0,"등록","")),"",(IF(VLOOKUP(C299,#REF!,2,0)&gt;0,"등록","")))</f>
        <v/>
      </c>
      <c r="H299" s="33" t="str">
        <f t="array" aca="1" ref="H299" ca="1">IF(ISERROR(OFFSET(#REF!,SMALL(IF(#REF!=RM시즌체크판!C299,ROW(#REF!)-20),1),)),"",(OFFSET(#REF!,SMALL(IF(#REF!=RM시즌체크판!C299,ROW(#REF!)-20),1),)))</f>
        <v/>
      </c>
      <c r="I299" s="34" t="str">
        <f t="array" aca="1" ref="I299" ca="1">IF(ISERROR(OFFSET(#REF!,SMALL(IF(#REF!=RM시즌체크판!C299,ROW(#REF!)-20),2),)),"",(OFFSET(#REF!,SMALL(IF(#REF!=RM시즌체크판!C299,ROW(#REF!)-20),2),)))</f>
        <v/>
      </c>
      <c r="J299" s="34" t="str">
        <f t="array" aca="1" ref="J299" ca="1">IF(ISERROR(OFFSET(#REF!,SMALL(IF(#REF!=RM시즌체크판!C299,ROW(#REF!)-20),3),)),"",(OFFSET(#REF!,SMALL(IF(#REF!=RM시즌체크판!C299,ROW(#REF!)-20),3),)))</f>
        <v/>
      </c>
      <c r="K299" s="34" t="str">
        <f t="array" aca="1" ref="K299" ca="1">IF(ISERROR(OFFSET(#REF!,SMALL(IF(#REF!=RM시즌체크판!C299,ROW(#REF!)-20),4),)),"",(OFFSET(#REF!,SMALL(IF(#REF!=RM시즌체크판!C299,ROW(#REF!)-20),4),)))</f>
        <v/>
      </c>
      <c r="L299" s="34" t="str">
        <f t="array" aca="1" ref="L299" ca="1">IF(ISERROR(OFFSET(#REF!,SMALL(IF(#REF!=RM시즌체크판!C299,ROW(#REF!)-20),5),)),"",(OFFSET(#REF!,SMALL(IF(#REF!=RM시즌체크판!C299,ROW(#REF!)-20),5),)))</f>
        <v/>
      </c>
      <c r="M299" s="35" t="str">
        <f t="array" aca="1" ref="M299" ca="1">IF(ISERROR(OFFSET(#REF!,SMALL(IF(#REF!=RM시즌체크판!C299,ROW(#REF!)-20),6),)),"",(OFFSET(#REF!,SMALL(IF(#REF!=RM시즌체크판!C299,ROW(#REF!)-20),6),)))</f>
        <v/>
      </c>
      <c r="N299" s="27" t="str">
        <f>IF(ISERROR(VLOOKUP(C299,모델촬영리스트!$C:$E,3,)),"",(VLOOKUP(C299,모델촬영리스트!$C:$E,3,)))</f>
        <v/>
      </c>
      <c r="O299" s="23" t="str">
        <f>IF(ISERROR(VLOOKUP(C299,배너촬영리스트!$C:$E,3,)),"",(VLOOKUP(C299,배너촬영리스트!$C:$E,3,)))</f>
        <v/>
      </c>
      <c r="P299" s="36" t="str">
        <f>IF(ISERROR(VLOOKUP(C299,배너촬영리스트!$C:$E,2,)),"",(VLOOKUP(C299,배너촬영리스트!$C:$E,2,)))</f>
        <v/>
      </c>
    </row>
    <row r="300" spans="2:16">
      <c r="B300" s="20" t="str">
        <f t="shared" si="4"/>
        <v>RM</v>
      </c>
      <c r="C300" s="11" t="s">
        <v>342</v>
      </c>
      <c r="D300" s="12" t="e">
        <f>VLOOKUP(C300,#REF!,2,0)</f>
        <v>#REF!</v>
      </c>
      <c r="E300" s="10" t="e">
        <f>VLOOKUP(C300,#REF!,4,0)</f>
        <v>#REF!</v>
      </c>
      <c r="F300" s="37" t="e">
        <f>VLOOKUP(C300,#REF!,8,0)</f>
        <v>#REF!</v>
      </c>
      <c r="G300" s="22" t="str">
        <f>IF(ISERROR(IF(VLOOKUP(C300,#REF!,2,0)&gt;0,"등록","")),"",(IF(VLOOKUP(C300,#REF!,2,0)&gt;0,"등록","")))</f>
        <v/>
      </c>
      <c r="H300" s="33" t="str">
        <f t="array" aca="1" ref="H300" ca="1">IF(ISERROR(OFFSET(#REF!,SMALL(IF(#REF!=RM시즌체크판!C300,ROW(#REF!)-20),1),)),"",(OFFSET(#REF!,SMALL(IF(#REF!=RM시즌체크판!C300,ROW(#REF!)-20),1),)))</f>
        <v/>
      </c>
      <c r="I300" s="34" t="str">
        <f t="array" aca="1" ref="I300" ca="1">IF(ISERROR(OFFSET(#REF!,SMALL(IF(#REF!=RM시즌체크판!C300,ROW(#REF!)-20),2),)),"",(OFFSET(#REF!,SMALL(IF(#REF!=RM시즌체크판!C300,ROW(#REF!)-20),2),)))</f>
        <v/>
      </c>
      <c r="J300" s="34" t="str">
        <f t="array" aca="1" ref="J300" ca="1">IF(ISERROR(OFFSET(#REF!,SMALL(IF(#REF!=RM시즌체크판!C300,ROW(#REF!)-20),3),)),"",(OFFSET(#REF!,SMALL(IF(#REF!=RM시즌체크판!C300,ROW(#REF!)-20),3),)))</f>
        <v/>
      </c>
      <c r="K300" s="34" t="str">
        <f t="array" aca="1" ref="K300" ca="1">IF(ISERROR(OFFSET(#REF!,SMALL(IF(#REF!=RM시즌체크판!C300,ROW(#REF!)-20),4),)),"",(OFFSET(#REF!,SMALL(IF(#REF!=RM시즌체크판!C300,ROW(#REF!)-20),4),)))</f>
        <v/>
      </c>
      <c r="L300" s="34" t="str">
        <f t="array" aca="1" ref="L300" ca="1">IF(ISERROR(OFFSET(#REF!,SMALL(IF(#REF!=RM시즌체크판!C300,ROW(#REF!)-20),5),)),"",(OFFSET(#REF!,SMALL(IF(#REF!=RM시즌체크판!C300,ROW(#REF!)-20),5),)))</f>
        <v/>
      </c>
      <c r="M300" s="35" t="str">
        <f t="array" aca="1" ref="M300" ca="1">IF(ISERROR(OFFSET(#REF!,SMALL(IF(#REF!=RM시즌체크판!C300,ROW(#REF!)-20),6),)),"",(OFFSET(#REF!,SMALL(IF(#REF!=RM시즌체크판!C300,ROW(#REF!)-20),6),)))</f>
        <v/>
      </c>
      <c r="N300" s="27" t="str">
        <f>IF(ISERROR(VLOOKUP(C300,모델촬영리스트!$C:$E,3,)),"",(VLOOKUP(C300,모델촬영리스트!$C:$E,3,)))</f>
        <v/>
      </c>
      <c r="O300" s="23" t="str">
        <f>IF(ISERROR(VLOOKUP(C300,배너촬영리스트!$C:$E,3,)),"",(VLOOKUP(C300,배너촬영리스트!$C:$E,3,)))</f>
        <v/>
      </c>
      <c r="P300" s="36" t="str">
        <f>IF(ISERROR(VLOOKUP(C300,배너촬영리스트!$C:$E,2,)),"",(VLOOKUP(C300,배너촬영리스트!$C:$E,2,)))</f>
        <v/>
      </c>
    </row>
    <row r="301" spans="2:16">
      <c r="B301" s="20" t="str">
        <f t="shared" si="4"/>
        <v>RM</v>
      </c>
      <c r="C301" s="11" t="s">
        <v>343</v>
      </c>
      <c r="D301" s="12" t="e">
        <f>VLOOKUP(C301,#REF!,2,0)</f>
        <v>#REF!</v>
      </c>
      <c r="E301" s="10" t="e">
        <f>VLOOKUP(C301,#REF!,4,0)</f>
        <v>#REF!</v>
      </c>
      <c r="F301" s="37" t="e">
        <f>VLOOKUP(C301,#REF!,8,0)</f>
        <v>#REF!</v>
      </c>
      <c r="G301" s="22" t="str">
        <f>IF(ISERROR(IF(VLOOKUP(C301,#REF!,2,0)&gt;0,"등록","")),"",(IF(VLOOKUP(C301,#REF!,2,0)&gt;0,"등록","")))</f>
        <v/>
      </c>
      <c r="H301" s="33" t="str">
        <f t="array" aca="1" ref="H301" ca="1">IF(ISERROR(OFFSET(#REF!,SMALL(IF(#REF!=RM시즌체크판!C301,ROW(#REF!)-20),1),)),"",(OFFSET(#REF!,SMALL(IF(#REF!=RM시즌체크판!C301,ROW(#REF!)-20),1),)))</f>
        <v/>
      </c>
      <c r="I301" s="34" t="str">
        <f t="array" aca="1" ref="I301" ca="1">IF(ISERROR(OFFSET(#REF!,SMALL(IF(#REF!=RM시즌체크판!C301,ROW(#REF!)-20),2),)),"",(OFFSET(#REF!,SMALL(IF(#REF!=RM시즌체크판!C301,ROW(#REF!)-20),2),)))</f>
        <v/>
      </c>
      <c r="J301" s="34" t="str">
        <f t="array" aca="1" ref="J301" ca="1">IF(ISERROR(OFFSET(#REF!,SMALL(IF(#REF!=RM시즌체크판!C301,ROW(#REF!)-20),3),)),"",(OFFSET(#REF!,SMALL(IF(#REF!=RM시즌체크판!C301,ROW(#REF!)-20),3),)))</f>
        <v/>
      </c>
      <c r="K301" s="34" t="str">
        <f t="array" aca="1" ref="K301" ca="1">IF(ISERROR(OFFSET(#REF!,SMALL(IF(#REF!=RM시즌체크판!C301,ROW(#REF!)-20),4),)),"",(OFFSET(#REF!,SMALL(IF(#REF!=RM시즌체크판!C301,ROW(#REF!)-20),4),)))</f>
        <v/>
      </c>
      <c r="L301" s="34" t="str">
        <f t="array" aca="1" ref="L301" ca="1">IF(ISERROR(OFFSET(#REF!,SMALL(IF(#REF!=RM시즌체크판!C301,ROW(#REF!)-20),5),)),"",(OFFSET(#REF!,SMALL(IF(#REF!=RM시즌체크판!C301,ROW(#REF!)-20),5),)))</f>
        <v/>
      </c>
      <c r="M301" s="35" t="str">
        <f t="array" aca="1" ref="M301" ca="1">IF(ISERROR(OFFSET(#REF!,SMALL(IF(#REF!=RM시즌체크판!C301,ROW(#REF!)-20),6),)),"",(OFFSET(#REF!,SMALL(IF(#REF!=RM시즌체크판!C301,ROW(#REF!)-20),6),)))</f>
        <v/>
      </c>
      <c r="N301" s="27" t="str">
        <f>IF(ISERROR(VLOOKUP(C301,모델촬영리스트!$C:$E,3,)),"",(VLOOKUP(C301,모델촬영리스트!$C:$E,3,)))</f>
        <v/>
      </c>
      <c r="O301" s="23" t="str">
        <f>IF(ISERROR(VLOOKUP(C301,배너촬영리스트!$C:$E,3,)),"",(VLOOKUP(C301,배너촬영리스트!$C:$E,3,)))</f>
        <v/>
      </c>
      <c r="P301" s="36" t="str">
        <f>IF(ISERROR(VLOOKUP(C301,배너촬영리스트!$C:$E,2,)),"",(VLOOKUP(C301,배너촬영리스트!$C:$E,2,)))</f>
        <v/>
      </c>
    </row>
    <row r="302" spans="2:16">
      <c r="B302" s="20" t="str">
        <f t="shared" si="4"/>
        <v>RM</v>
      </c>
      <c r="C302" s="11" t="s">
        <v>344</v>
      </c>
      <c r="D302" s="12" t="e">
        <f>VLOOKUP(C302,#REF!,2,0)</f>
        <v>#REF!</v>
      </c>
      <c r="E302" s="10" t="e">
        <f>VLOOKUP(C302,#REF!,4,0)</f>
        <v>#REF!</v>
      </c>
      <c r="F302" s="37" t="e">
        <f>VLOOKUP(C302,#REF!,8,0)</f>
        <v>#REF!</v>
      </c>
      <c r="G302" s="22" t="str">
        <f>IF(ISERROR(IF(VLOOKUP(C302,#REF!,2,0)&gt;0,"등록","")),"",(IF(VLOOKUP(C302,#REF!,2,0)&gt;0,"등록","")))</f>
        <v/>
      </c>
      <c r="H302" s="33" t="str">
        <f t="array" aca="1" ref="H302" ca="1">IF(ISERROR(OFFSET(#REF!,SMALL(IF(#REF!=RM시즌체크판!C302,ROW(#REF!)-20),1),)),"",(OFFSET(#REF!,SMALL(IF(#REF!=RM시즌체크판!C302,ROW(#REF!)-20),1),)))</f>
        <v/>
      </c>
      <c r="I302" s="34" t="str">
        <f t="array" aca="1" ref="I302" ca="1">IF(ISERROR(OFFSET(#REF!,SMALL(IF(#REF!=RM시즌체크판!C302,ROW(#REF!)-20),2),)),"",(OFFSET(#REF!,SMALL(IF(#REF!=RM시즌체크판!C302,ROW(#REF!)-20),2),)))</f>
        <v/>
      </c>
      <c r="J302" s="34" t="str">
        <f t="array" aca="1" ref="J302" ca="1">IF(ISERROR(OFFSET(#REF!,SMALL(IF(#REF!=RM시즌체크판!C302,ROW(#REF!)-20),3),)),"",(OFFSET(#REF!,SMALL(IF(#REF!=RM시즌체크판!C302,ROW(#REF!)-20),3),)))</f>
        <v/>
      </c>
      <c r="K302" s="34" t="str">
        <f t="array" aca="1" ref="K302" ca="1">IF(ISERROR(OFFSET(#REF!,SMALL(IF(#REF!=RM시즌체크판!C302,ROW(#REF!)-20),4),)),"",(OFFSET(#REF!,SMALL(IF(#REF!=RM시즌체크판!C302,ROW(#REF!)-20),4),)))</f>
        <v/>
      </c>
      <c r="L302" s="34" t="str">
        <f t="array" aca="1" ref="L302" ca="1">IF(ISERROR(OFFSET(#REF!,SMALL(IF(#REF!=RM시즌체크판!C302,ROW(#REF!)-20),5),)),"",(OFFSET(#REF!,SMALL(IF(#REF!=RM시즌체크판!C302,ROW(#REF!)-20),5),)))</f>
        <v/>
      </c>
      <c r="M302" s="35" t="str">
        <f t="array" aca="1" ref="M302" ca="1">IF(ISERROR(OFFSET(#REF!,SMALL(IF(#REF!=RM시즌체크판!C302,ROW(#REF!)-20),6),)),"",(OFFSET(#REF!,SMALL(IF(#REF!=RM시즌체크판!C302,ROW(#REF!)-20),6),)))</f>
        <v/>
      </c>
      <c r="N302" s="27" t="str">
        <f>IF(ISERROR(VLOOKUP(C302,모델촬영리스트!$C:$E,3,)),"",(VLOOKUP(C302,모델촬영리스트!$C:$E,3,)))</f>
        <v/>
      </c>
      <c r="O302" s="23" t="str">
        <f>IF(ISERROR(VLOOKUP(C302,배너촬영리스트!$C:$E,3,)),"",(VLOOKUP(C302,배너촬영리스트!$C:$E,3,)))</f>
        <v/>
      </c>
      <c r="P302" s="36" t="str">
        <f>IF(ISERROR(VLOOKUP(C302,배너촬영리스트!$C:$E,2,)),"",(VLOOKUP(C302,배너촬영리스트!$C:$E,2,)))</f>
        <v/>
      </c>
    </row>
    <row r="303" spans="2:16">
      <c r="B303" s="20" t="str">
        <f t="shared" si="4"/>
        <v>RM</v>
      </c>
      <c r="C303" s="11" t="s">
        <v>345</v>
      </c>
      <c r="D303" s="12" t="e">
        <f>VLOOKUP(C303,#REF!,2,0)</f>
        <v>#REF!</v>
      </c>
      <c r="E303" s="10" t="e">
        <f>VLOOKUP(C303,#REF!,4,0)</f>
        <v>#REF!</v>
      </c>
      <c r="F303" s="37" t="e">
        <f>VLOOKUP(C303,#REF!,8,0)</f>
        <v>#REF!</v>
      </c>
      <c r="G303" s="22" t="str">
        <f>IF(ISERROR(IF(VLOOKUP(C303,#REF!,2,0)&gt;0,"등록","")),"",(IF(VLOOKUP(C303,#REF!,2,0)&gt;0,"등록","")))</f>
        <v/>
      </c>
      <c r="H303" s="33" t="str">
        <f t="array" aca="1" ref="H303" ca="1">IF(ISERROR(OFFSET(#REF!,SMALL(IF(#REF!=RM시즌체크판!C303,ROW(#REF!)-20),1),)),"",(OFFSET(#REF!,SMALL(IF(#REF!=RM시즌체크판!C303,ROW(#REF!)-20),1),)))</f>
        <v/>
      </c>
      <c r="I303" s="34" t="str">
        <f t="array" aca="1" ref="I303" ca="1">IF(ISERROR(OFFSET(#REF!,SMALL(IF(#REF!=RM시즌체크판!C303,ROW(#REF!)-20),2),)),"",(OFFSET(#REF!,SMALL(IF(#REF!=RM시즌체크판!C303,ROW(#REF!)-20),2),)))</f>
        <v/>
      </c>
      <c r="J303" s="34" t="str">
        <f t="array" aca="1" ref="J303" ca="1">IF(ISERROR(OFFSET(#REF!,SMALL(IF(#REF!=RM시즌체크판!C303,ROW(#REF!)-20),3),)),"",(OFFSET(#REF!,SMALL(IF(#REF!=RM시즌체크판!C303,ROW(#REF!)-20),3),)))</f>
        <v/>
      </c>
      <c r="K303" s="34" t="str">
        <f t="array" aca="1" ref="K303" ca="1">IF(ISERROR(OFFSET(#REF!,SMALL(IF(#REF!=RM시즌체크판!C303,ROW(#REF!)-20),4),)),"",(OFFSET(#REF!,SMALL(IF(#REF!=RM시즌체크판!C303,ROW(#REF!)-20),4),)))</f>
        <v/>
      </c>
      <c r="L303" s="34" t="str">
        <f t="array" aca="1" ref="L303" ca="1">IF(ISERROR(OFFSET(#REF!,SMALL(IF(#REF!=RM시즌체크판!C303,ROW(#REF!)-20),5),)),"",(OFFSET(#REF!,SMALL(IF(#REF!=RM시즌체크판!C303,ROW(#REF!)-20),5),)))</f>
        <v/>
      </c>
      <c r="M303" s="35" t="str">
        <f t="array" aca="1" ref="M303" ca="1">IF(ISERROR(OFFSET(#REF!,SMALL(IF(#REF!=RM시즌체크판!C303,ROW(#REF!)-20),6),)),"",(OFFSET(#REF!,SMALL(IF(#REF!=RM시즌체크판!C303,ROW(#REF!)-20),6),)))</f>
        <v/>
      </c>
      <c r="N303" s="27" t="str">
        <f>IF(ISERROR(VLOOKUP(C303,모델촬영리스트!$C:$E,3,)),"",(VLOOKUP(C303,모델촬영리스트!$C:$E,3,)))</f>
        <v/>
      </c>
      <c r="O303" s="23" t="str">
        <f>IF(ISERROR(VLOOKUP(C303,배너촬영리스트!$C:$E,3,)),"",(VLOOKUP(C303,배너촬영리스트!$C:$E,3,)))</f>
        <v/>
      </c>
      <c r="P303" s="36" t="str">
        <f>IF(ISERROR(VLOOKUP(C303,배너촬영리스트!$C:$E,2,)),"",(VLOOKUP(C303,배너촬영리스트!$C:$E,2,)))</f>
        <v/>
      </c>
    </row>
    <row r="304" spans="2:16">
      <c r="B304" s="20" t="str">
        <f t="shared" si="4"/>
        <v>RM</v>
      </c>
      <c r="C304" s="11" t="s">
        <v>353</v>
      </c>
      <c r="D304" s="12" t="e">
        <f>VLOOKUP(C304,#REF!,2,0)</f>
        <v>#REF!</v>
      </c>
      <c r="E304" s="10" t="e">
        <f>VLOOKUP(C304,#REF!,4,0)</f>
        <v>#REF!</v>
      </c>
      <c r="F304" s="37" t="e">
        <f>VLOOKUP(C304,#REF!,8,0)</f>
        <v>#REF!</v>
      </c>
      <c r="G304" s="22" t="str">
        <f>IF(ISERROR(IF(VLOOKUP(C304,#REF!,2,0)&gt;0,"등록","")),"",(IF(VLOOKUP(C304,#REF!,2,0)&gt;0,"등록","")))</f>
        <v/>
      </c>
      <c r="H304" s="33" t="str">
        <f t="array" aca="1" ref="H304" ca="1">IF(ISERROR(OFFSET(#REF!,SMALL(IF(#REF!=RM시즌체크판!C304,ROW(#REF!)-20),1),)),"",(OFFSET(#REF!,SMALL(IF(#REF!=RM시즌체크판!C304,ROW(#REF!)-20),1),)))</f>
        <v/>
      </c>
      <c r="I304" s="34" t="str">
        <f t="array" aca="1" ref="I304" ca="1">IF(ISERROR(OFFSET(#REF!,SMALL(IF(#REF!=RM시즌체크판!C304,ROW(#REF!)-20),2),)),"",(OFFSET(#REF!,SMALL(IF(#REF!=RM시즌체크판!C304,ROW(#REF!)-20),2),)))</f>
        <v/>
      </c>
      <c r="J304" s="34" t="str">
        <f t="array" aca="1" ref="J304" ca="1">IF(ISERROR(OFFSET(#REF!,SMALL(IF(#REF!=RM시즌체크판!C304,ROW(#REF!)-20),3),)),"",(OFFSET(#REF!,SMALL(IF(#REF!=RM시즌체크판!C304,ROW(#REF!)-20),3),)))</f>
        <v/>
      </c>
      <c r="K304" s="34" t="str">
        <f t="array" aca="1" ref="K304" ca="1">IF(ISERROR(OFFSET(#REF!,SMALL(IF(#REF!=RM시즌체크판!C304,ROW(#REF!)-20),4),)),"",(OFFSET(#REF!,SMALL(IF(#REF!=RM시즌체크판!C304,ROW(#REF!)-20),4),)))</f>
        <v/>
      </c>
      <c r="L304" s="34" t="str">
        <f t="array" aca="1" ref="L304" ca="1">IF(ISERROR(OFFSET(#REF!,SMALL(IF(#REF!=RM시즌체크판!C304,ROW(#REF!)-20),5),)),"",(OFFSET(#REF!,SMALL(IF(#REF!=RM시즌체크판!C304,ROW(#REF!)-20),5),)))</f>
        <v/>
      </c>
      <c r="M304" s="35" t="str">
        <f t="array" aca="1" ref="M304" ca="1">IF(ISERROR(OFFSET(#REF!,SMALL(IF(#REF!=RM시즌체크판!C304,ROW(#REF!)-20),6),)),"",(OFFSET(#REF!,SMALL(IF(#REF!=RM시즌체크판!C304,ROW(#REF!)-20),6),)))</f>
        <v/>
      </c>
      <c r="N304" s="27" t="str">
        <f>IF(ISERROR(VLOOKUP(C304,모델촬영리스트!$C:$E,3,)),"",(VLOOKUP(C304,모델촬영리스트!$C:$E,3,)))</f>
        <v/>
      </c>
      <c r="O304" s="23" t="str">
        <f>IF(ISERROR(VLOOKUP(C304,배너촬영리스트!$C:$E,3,)),"",(VLOOKUP(C304,배너촬영리스트!$C:$E,3,)))</f>
        <v/>
      </c>
      <c r="P304" s="36" t="str">
        <f>IF(ISERROR(VLOOKUP(C304,배너촬영리스트!$C:$E,2,)),"",(VLOOKUP(C304,배너촬영리스트!$C:$E,2,)))</f>
        <v/>
      </c>
    </row>
    <row r="305" spans="2:16">
      <c r="B305" s="20" t="str">
        <f t="shared" si="4"/>
        <v>RM</v>
      </c>
      <c r="C305" s="11" t="s">
        <v>362</v>
      </c>
      <c r="D305" s="12" t="e">
        <f>VLOOKUP(C305,#REF!,2,0)</f>
        <v>#REF!</v>
      </c>
      <c r="E305" s="10" t="e">
        <f>VLOOKUP(C305,#REF!,4,0)</f>
        <v>#REF!</v>
      </c>
      <c r="F305" s="37" t="e">
        <f>VLOOKUP(C305,#REF!,8,0)</f>
        <v>#REF!</v>
      </c>
      <c r="G305" s="22" t="str">
        <f>IF(ISERROR(IF(VLOOKUP(C305,#REF!,2,0)&gt;0,"등록","")),"",(IF(VLOOKUP(C305,#REF!,2,0)&gt;0,"등록","")))</f>
        <v/>
      </c>
      <c r="H305" s="33" t="str">
        <f t="array" aca="1" ref="H305" ca="1">IF(ISERROR(OFFSET(#REF!,SMALL(IF(#REF!=RM시즌체크판!C305,ROW(#REF!)-20),1),)),"",(OFFSET(#REF!,SMALL(IF(#REF!=RM시즌체크판!C305,ROW(#REF!)-20),1),)))</f>
        <v/>
      </c>
      <c r="I305" s="34" t="str">
        <f t="array" aca="1" ref="I305" ca="1">IF(ISERROR(OFFSET(#REF!,SMALL(IF(#REF!=RM시즌체크판!C305,ROW(#REF!)-20),2),)),"",(OFFSET(#REF!,SMALL(IF(#REF!=RM시즌체크판!C305,ROW(#REF!)-20),2),)))</f>
        <v/>
      </c>
      <c r="J305" s="34" t="str">
        <f t="array" aca="1" ref="J305" ca="1">IF(ISERROR(OFFSET(#REF!,SMALL(IF(#REF!=RM시즌체크판!C305,ROW(#REF!)-20),3),)),"",(OFFSET(#REF!,SMALL(IF(#REF!=RM시즌체크판!C305,ROW(#REF!)-20),3),)))</f>
        <v/>
      </c>
      <c r="K305" s="34" t="str">
        <f t="array" aca="1" ref="K305" ca="1">IF(ISERROR(OFFSET(#REF!,SMALL(IF(#REF!=RM시즌체크판!C305,ROW(#REF!)-20),4),)),"",(OFFSET(#REF!,SMALL(IF(#REF!=RM시즌체크판!C305,ROW(#REF!)-20),4),)))</f>
        <v/>
      </c>
      <c r="L305" s="34" t="str">
        <f t="array" aca="1" ref="L305" ca="1">IF(ISERROR(OFFSET(#REF!,SMALL(IF(#REF!=RM시즌체크판!C305,ROW(#REF!)-20),5),)),"",(OFFSET(#REF!,SMALL(IF(#REF!=RM시즌체크판!C305,ROW(#REF!)-20),5),)))</f>
        <v/>
      </c>
      <c r="M305" s="35" t="str">
        <f t="array" aca="1" ref="M305" ca="1">IF(ISERROR(OFFSET(#REF!,SMALL(IF(#REF!=RM시즌체크판!C305,ROW(#REF!)-20),6),)),"",(OFFSET(#REF!,SMALL(IF(#REF!=RM시즌체크판!C305,ROW(#REF!)-20),6),)))</f>
        <v/>
      </c>
      <c r="N305" s="27" t="str">
        <f>IF(ISERROR(VLOOKUP(C305,모델촬영리스트!$C:$E,3,)),"",(VLOOKUP(C305,모델촬영리스트!$C:$E,3,)))</f>
        <v/>
      </c>
      <c r="O305" s="23" t="str">
        <f>IF(ISERROR(VLOOKUP(C305,배너촬영리스트!$C:$E,3,)),"",(VLOOKUP(C305,배너촬영리스트!$C:$E,3,)))</f>
        <v/>
      </c>
      <c r="P305" s="36" t="str">
        <f>IF(ISERROR(VLOOKUP(C305,배너촬영리스트!$C:$E,2,)),"",(VLOOKUP(C305,배너촬영리스트!$C:$E,2,)))</f>
        <v/>
      </c>
    </row>
    <row r="306" spans="2:16">
      <c r="B306" s="20" t="str">
        <f t="shared" ref="B306:B369" si="5">MID(C306,1,2)</f>
        <v>RM</v>
      </c>
      <c r="C306" s="11" t="s">
        <v>363</v>
      </c>
      <c r="D306" s="12" t="e">
        <f>VLOOKUP(C306,#REF!,2,0)</f>
        <v>#REF!</v>
      </c>
      <c r="E306" s="10" t="e">
        <f>VLOOKUP(C306,#REF!,4,0)</f>
        <v>#REF!</v>
      </c>
      <c r="F306" s="37" t="e">
        <f>VLOOKUP(C306,#REF!,8,0)</f>
        <v>#REF!</v>
      </c>
      <c r="G306" s="22" t="str">
        <f>IF(ISERROR(IF(VLOOKUP(C306,#REF!,2,0)&gt;0,"등록","")),"",(IF(VLOOKUP(C306,#REF!,2,0)&gt;0,"등록","")))</f>
        <v/>
      </c>
      <c r="H306" s="33" t="str">
        <f t="array" aca="1" ref="H306" ca="1">IF(ISERROR(OFFSET(#REF!,SMALL(IF(#REF!=RM시즌체크판!C306,ROW(#REF!)-20),1),)),"",(OFFSET(#REF!,SMALL(IF(#REF!=RM시즌체크판!C306,ROW(#REF!)-20),1),)))</f>
        <v/>
      </c>
      <c r="I306" s="34" t="str">
        <f t="array" aca="1" ref="I306" ca="1">IF(ISERROR(OFFSET(#REF!,SMALL(IF(#REF!=RM시즌체크판!C306,ROW(#REF!)-20),2),)),"",(OFFSET(#REF!,SMALL(IF(#REF!=RM시즌체크판!C306,ROW(#REF!)-20),2),)))</f>
        <v/>
      </c>
      <c r="J306" s="34" t="str">
        <f t="array" aca="1" ref="J306" ca="1">IF(ISERROR(OFFSET(#REF!,SMALL(IF(#REF!=RM시즌체크판!C306,ROW(#REF!)-20),3),)),"",(OFFSET(#REF!,SMALL(IF(#REF!=RM시즌체크판!C306,ROW(#REF!)-20),3),)))</f>
        <v/>
      </c>
      <c r="K306" s="34" t="str">
        <f t="array" aca="1" ref="K306" ca="1">IF(ISERROR(OFFSET(#REF!,SMALL(IF(#REF!=RM시즌체크판!C306,ROW(#REF!)-20),4),)),"",(OFFSET(#REF!,SMALL(IF(#REF!=RM시즌체크판!C306,ROW(#REF!)-20),4),)))</f>
        <v/>
      </c>
      <c r="L306" s="34" t="str">
        <f t="array" aca="1" ref="L306" ca="1">IF(ISERROR(OFFSET(#REF!,SMALL(IF(#REF!=RM시즌체크판!C306,ROW(#REF!)-20),5),)),"",(OFFSET(#REF!,SMALL(IF(#REF!=RM시즌체크판!C306,ROW(#REF!)-20),5),)))</f>
        <v/>
      </c>
      <c r="M306" s="35" t="str">
        <f t="array" aca="1" ref="M306" ca="1">IF(ISERROR(OFFSET(#REF!,SMALL(IF(#REF!=RM시즌체크판!C306,ROW(#REF!)-20),6),)),"",(OFFSET(#REF!,SMALL(IF(#REF!=RM시즌체크판!C306,ROW(#REF!)-20),6),)))</f>
        <v/>
      </c>
      <c r="N306" s="27" t="str">
        <f>IF(ISERROR(VLOOKUP(C306,모델촬영리스트!$C:$E,3,)),"",(VLOOKUP(C306,모델촬영리스트!$C:$E,3,)))</f>
        <v/>
      </c>
      <c r="O306" s="23" t="str">
        <f>IF(ISERROR(VLOOKUP(C306,배너촬영리스트!$C:$E,3,)),"",(VLOOKUP(C306,배너촬영리스트!$C:$E,3,)))</f>
        <v/>
      </c>
      <c r="P306" s="36" t="str">
        <f>IF(ISERROR(VLOOKUP(C306,배너촬영리스트!$C:$E,2,)),"",(VLOOKUP(C306,배너촬영리스트!$C:$E,2,)))</f>
        <v/>
      </c>
    </row>
    <row r="307" spans="2:16">
      <c r="B307" s="20" t="str">
        <f t="shared" si="5"/>
        <v>RM</v>
      </c>
      <c r="C307" s="11" t="s">
        <v>430</v>
      </c>
      <c r="D307" s="12" t="e">
        <f>VLOOKUP(C307,#REF!,2,0)</f>
        <v>#REF!</v>
      </c>
      <c r="E307" s="10" t="e">
        <f>VLOOKUP(C307,#REF!,4,0)</f>
        <v>#REF!</v>
      </c>
      <c r="F307" s="37" t="e">
        <f>VLOOKUP(C307,#REF!,8,0)</f>
        <v>#REF!</v>
      </c>
      <c r="G307" s="22" t="str">
        <f>IF(ISERROR(IF(VLOOKUP(C307,#REF!,2,0)&gt;0,"등록","")),"",(IF(VLOOKUP(C307,#REF!,2,0)&gt;0,"등록","")))</f>
        <v/>
      </c>
      <c r="H307" s="33" t="str">
        <f t="array" aca="1" ref="H307" ca="1">IF(ISERROR(OFFSET(#REF!,SMALL(IF(#REF!=RM시즌체크판!C307,ROW(#REF!)-20),1),)),"",(OFFSET(#REF!,SMALL(IF(#REF!=RM시즌체크판!C307,ROW(#REF!)-20),1),)))</f>
        <v/>
      </c>
      <c r="I307" s="34" t="str">
        <f t="array" aca="1" ref="I307" ca="1">IF(ISERROR(OFFSET(#REF!,SMALL(IF(#REF!=RM시즌체크판!C307,ROW(#REF!)-20),2),)),"",(OFFSET(#REF!,SMALL(IF(#REF!=RM시즌체크판!C307,ROW(#REF!)-20),2),)))</f>
        <v/>
      </c>
      <c r="J307" s="34" t="str">
        <f t="array" aca="1" ref="J307" ca="1">IF(ISERROR(OFFSET(#REF!,SMALL(IF(#REF!=RM시즌체크판!C307,ROW(#REF!)-20),3),)),"",(OFFSET(#REF!,SMALL(IF(#REF!=RM시즌체크판!C307,ROW(#REF!)-20),3),)))</f>
        <v/>
      </c>
      <c r="K307" s="34" t="str">
        <f t="array" aca="1" ref="K307" ca="1">IF(ISERROR(OFFSET(#REF!,SMALL(IF(#REF!=RM시즌체크판!C307,ROW(#REF!)-20),4),)),"",(OFFSET(#REF!,SMALL(IF(#REF!=RM시즌체크판!C307,ROW(#REF!)-20),4),)))</f>
        <v/>
      </c>
      <c r="L307" s="34" t="str">
        <f t="array" aca="1" ref="L307" ca="1">IF(ISERROR(OFFSET(#REF!,SMALL(IF(#REF!=RM시즌체크판!C307,ROW(#REF!)-20),5),)),"",(OFFSET(#REF!,SMALL(IF(#REF!=RM시즌체크판!C307,ROW(#REF!)-20),5),)))</f>
        <v/>
      </c>
      <c r="M307" s="35" t="str">
        <f t="array" aca="1" ref="M307" ca="1">IF(ISERROR(OFFSET(#REF!,SMALL(IF(#REF!=RM시즌체크판!C307,ROW(#REF!)-20),6),)),"",(OFFSET(#REF!,SMALL(IF(#REF!=RM시즌체크판!C307,ROW(#REF!)-20),6),)))</f>
        <v/>
      </c>
      <c r="N307" s="27" t="str">
        <f>IF(ISERROR(VLOOKUP(C307,모델촬영리스트!$C:$E,3,)),"",(VLOOKUP(C307,모델촬영리스트!$C:$E,3,)))</f>
        <v/>
      </c>
      <c r="O307" s="23" t="str">
        <f>IF(ISERROR(VLOOKUP(C307,배너촬영리스트!$C:$E,3,)),"",(VLOOKUP(C307,배너촬영리스트!$C:$E,3,)))</f>
        <v/>
      </c>
      <c r="P307" s="36" t="str">
        <f>IF(ISERROR(VLOOKUP(C307,배너촬영리스트!$C:$E,2,)),"",(VLOOKUP(C307,배너촬영리스트!$C:$E,2,)))</f>
        <v/>
      </c>
    </row>
    <row r="308" spans="2:16">
      <c r="B308" s="20" t="str">
        <f t="shared" si="5"/>
        <v>RM</v>
      </c>
      <c r="C308" s="11" t="s">
        <v>431</v>
      </c>
      <c r="D308" s="12" t="e">
        <f>VLOOKUP(C308,#REF!,2,0)</f>
        <v>#REF!</v>
      </c>
      <c r="E308" s="10" t="e">
        <f>VLOOKUP(C308,#REF!,4,0)</f>
        <v>#REF!</v>
      </c>
      <c r="F308" s="37" t="e">
        <f>VLOOKUP(C308,#REF!,8,0)</f>
        <v>#REF!</v>
      </c>
      <c r="G308" s="22" t="str">
        <f>IF(ISERROR(IF(VLOOKUP(C308,#REF!,2,0)&gt;0,"등록","")),"",(IF(VLOOKUP(C308,#REF!,2,0)&gt;0,"등록","")))</f>
        <v/>
      </c>
      <c r="H308" s="33" t="str">
        <f t="array" aca="1" ref="H308" ca="1">IF(ISERROR(OFFSET(#REF!,SMALL(IF(#REF!=RM시즌체크판!C308,ROW(#REF!)-20),1),)),"",(OFFSET(#REF!,SMALL(IF(#REF!=RM시즌체크판!C308,ROW(#REF!)-20),1),)))</f>
        <v/>
      </c>
      <c r="I308" s="34" t="str">
        <f t="array" aca="1" ref="I308" ca="1">IF(ISERROR(OFFSET(#REF!,SMALL(IF(#REF!=RM시즌체크판!C308,ROW(#REF!)-20),2),)),"",(OFFSET(#REF!,SMALL(IF(#REF!=RM시즌체크판!C308,ROW(#REF!)-20),2),)))</f>
        <v/>
      </c>
      <c r="J308" s="34" t="str">
        <f t="array" aca="1" ref="J308" ca="1">IF(ISERROR(OFFSET(#REF!,SMALL(IF(#REF!=RM시즌체크판!C308,ROW(#REF!)-20),3),)),"",(OFFSET(#REF!,SMALL(IF(#REF!=RM시즌체크판!C308,ROW(#REF!)-20),3),)))</f>
        <v/>
      </c>
      <c r="K308" s="34" t="str">
        <f t="array" aca="1" ref="K308" ca="1">IF(ISERROR(OFFSET(#REF!,SMALL(IF(#REF!=RM시즌체크판!C308,ROW(#REF!)-20),4),)),"",(OFFSET(#REF!,SMALL(IF(#REF!=RM시즌체크판!C308,ROW(#REF!)-20),4),)))</f>
        <v/>
      </c>
      <c r="L308" s="34" t="str">
        <f t="array" aca="1" ref="L308" ca="1">IF(ISERROR(OFFSET(#REF!,SMALL(IF(#REF!=RM시즌체크판!C308,ROW(#REF!)-20),5),)),"",(OFFSET(#REF!,SMALL(IF(#REF!=RM시즌체크판!C308,ROW(#REF!)-20),5),)))</f>
        <v/>
      </c>
      <c r="M308" s="35" t="str">
        <f t="array" aca="1" ref="M308" ca="1">IF(ISERROR(OFFSET(#REF!,SMALL(IF(#REF!=RM시즌체크판!C308,ROW(#REF!)-20),6),)),"",(OFFSET(#REF!,SMALL(IF(#REF!=RM시즌체크판!C308,ROW(#REF!)-20),6),)))</f>
        <v/>
      </c>
      <c r="N308" s="27" t="str">
        <f>IF(ISERROR(VLOOKUP(C308,모델촬영리스트!$C:$E,3,)),"",(VLOOKUP(C308,모델촬영리스트!$C:$E,3,)))</f>
        <v/>
      </c>
      <c r="O308" s="23" t="str">
        <f>IF(ISERROR(VLOOKUP(C308,배너촬영리스트!$C:$E,3,)),"",(VLOOKUP(C308,배너촬영리스트!$C:$E,3,)))</f>
        <v/>
      </c>
      <c r="P308" s="36" t="str">
        <f>IF(ISERROR(VLOOKUP(C308,배너촬영리스트!$C:$E,2,)),"",(VLOOKUP(C308,배너촬영리스트!$C:$E,2,)))</f>
        <v/>
      </c>
    </row>
    <row r="309" spans="2:16">
      <c r="B309" s="20" t="str">
        <f t="shared" si="5"/>
        <v>RM</v>
      </c>
      <c r="C309" s="11" t="s">
        <v>407</v>
      </c>
      <c r="D309" s="12" t="e">
        <f>VLOOKUP(C309,#REF!,2,0)</f>
        <v>#REF!</v>
      </c>
      <c r="E309" s="10" t="e">
        <f>VLOOKUP(C309,#REF!,4,0)</f>
        <v>#REF!</v>
      </c>
      <c r="F309" s="37" t="e">
        <f>VLOOKUP(C309,#REF!,8,0)</f>
        <v>#REF!</v>
      </c>
      <c r="G309" s="22" t="str">
        <f>IF(ISERROR(IF(VLOOKUP(C309,#REF!,2,0)&gt;0,"등록","")),"",(IF(VLOOKUP(C309,#REF!,2,0)&gt;0,"등록","")))</f>
        <v/>
      </c>
      <c r="H309" s="33" t="str">
        <f t="array" aca="1" ref="H309" ca="1">IF(ISERROR(OFFSET(#REF!,SMALL(IF(#REF!=RM시즌체크판!C309,ROW(#REF!)-20),1),)),"",(OFFSET(#REF!,SMALL(IF(#REF!=RM시즌체크판!C309,ROW(#REF!)-20),1),)))</f>
        <v/>
      </c>
      <c r="I309" s="34" t="str">
        <f t="array" aca="1" ref="I309" ca="1">IF(ISERROR(OFFSET(#REF!,SMALL(IF(#REF!=RM시즌체크판!C309,ROW(#REF!)-20),2),)),"",(OFFSET(#REF!,SMALL(IF(#REF!=RM시즌체크판!C309,ROW(#REF!)-20),2),)))</f>
        <v/>
      </c>
      <c r="J309" s="34" t="str">
        <f t="array" aca="1" ref="J309" ca="1">IF(ISERROR(OFFSET(#REF!,SMALL(IF(#REF!=RM시즌체크판!C309,ROW(#REF!)-20),3),)),"",(OFFSET(#REF!,SMALL(IF(#REF!=RM시즌체크판!C309,ROW(#REF!)-20),3),)))</f>
        <v/>
      </c>
      <c r="K309" s="34" t="str">
        <f t="array" aca="1" ref="K309" ca="1">IF(ISERROR(OFFSET(#REF!,SMALL(IF(#REF!=RM시즌체크판!C309,ROW(#REF!)-20),4),)),"",(OFFSET(#REF!,SMALL(IF(#REF!=RM시즌체크판!C309,ROW(#REF!)-20),4),)))</f>
        <v/>
      </c>
      <c r="L309" s="34" t="str">
        <f t="array" aca="1" ref="L309" ca="1">IF(ISERROR(OFFSET(#REF!,SMALL(IF(#REF!=RM시즌체크판!C309,ROW(#REF!)-20),5),)),"",(OFFSET(#REF!,SMALL(IF(#REF!=RM시즌체크판!C309,ROW(#REF!)-20),5),)))</f>
        <v/>
      </c>
      <c r="M309" s="35" t="str">
        <f t="array" aca="1" ref="M309" ca="1">IF(ISERROR(OFFSET(#REF!,SMALL(IF(#REF!=RM시즌체크판!C309,ROW(#REF!)-20),6),)),"",(OFFSET(#REF!,SMALL(IF(#REF!=RM시즌체크판!C309,ROW(#REF!)-20),6),)))</f>
        <v/>
      </c>
      <c r="N309" s="27" t="str">
        <f>IF(ISERROR(VLOOKUP(C309,모델촬영리스트!$C:$E,3,)),"",(VLOOKUP(C309,모델촬영리스트!$C:$E,3,)))</f>
        <v/>
      </c>
      <c r="O309" s="23" t="str">
        <f>IF(ISERROR(VLOOKUP(C309,배너촬영리스트!$C:$E,3,)),"",(VLOOKUP(C309,배너촬영리스트!$C:$E,3,)))</f>
        <v/>
      </c>
      <c r="P309" s="36" t="str">
        <f>IF(ISERROR(VLOOKUP(C309,배너촬영리스트!$C:$E,2,)),"",(VLOOKUP(C309,배너촬영리스트!$C:$E,2,)))</f>
        <v/>
      </c>
    </row>
    <row r="310" spans="2:16">
      <c r="B310" s="20" t="str">
        <f t="shared" si="5"/>
        <v>RM</v>
      </c>
      <c r="C310" s="11" t="s">
        <v>408</v>
      </c>
      <c r="D310" s="12" t="e">
        <f>VLOOKUP(C310,#REF!,2,0)</f>
        <v>#REF!</v>
      </c>
      <c r="E310" s="10" t="e">
        <f>VLOOKUP(C310,#REF!,4,0)</f>
        <v>#REF!</v>
      </c>
      <c r="F310" s="37" t="e">
        <f>VLOOKUP(C310,#REF!,8,0)</f>
        <v>#REF!</v>
      </c>
      <c r="G310" s="22" t="str">
        <f>IF(ISERROR(IF(VLOOKUP(C310,#REF!,2,0)&gt;0,"등록","")),"",(IF(VLOOKUP(C310,#REF!,2,0)&gt;0,"등록","")))</f>
        <v/>
      </c>
      <c r="H310" s="33" t="str">
        <f t="array" aca="1" ref="H310" ca="1">IF(ISERROR(OFFSET(#REF!,SMALL(IF(#REF!=RM시즌체크판!C310,ROW(#REF!)-20),1),)),"",(OFFSET(#REF!,SMALL(IF(#REF!=RM시즌체크판!C310,ROW(#REF!)-20),1),)))</f>
        <v/>
      </c>
      <c r="I310" s="34" t="str">
        <f t="array" aca="1" ref="I310" ca="1">IF(ISERROR(OFFSET(#REF!,SMALL(IF(#REF!=RM시즌체크판!C310,ROW(#REF!)-20),2),)),"",(OFFSET(#REF!,SMALL(IF(#REF!=RM시즌체크판!C310,ROW(#REF!)-20),2),)))</f>
        <v/>
      </c>
      <c r="J310" s="34" t="str">
        <f t="array" aca="1" ref="J310" ca="1">IF(ISERROR(OFFSET(#REF!,SMALL(IF(#REF!=RM시즌체크판!C310,ROW(#REF!)-20),3),)),"",(OFFSET(#REF!,SMALL(IF(#REF!=RM시즌체크판!C310,ROW(#REF!)-20),3),)))</f>
        <v/>
      </c>
      <c r="K310" s="34" t="str">
        <f t="array" aca="1" ref="K310" ca="1">IF(ISERROR(OFFSET(#REF!,SMALL(IF(#REF!=RM시즌체크판!C310,ROW(#REF!)-20),4),)),"",(OFFSET(#REF!,SMALL(IF(#REF!=RM시즌체크판!C310,ROW(#REF!)-20),4),)))</f>
        <v/>
      </c>
      <c r="L310" s="34" t="str">
        <f t="array" aca="1" ref="L310" ca="1">IF(ISERROR(OFFSET(#REF!,SMALL(IF(#REF!=RM시즌체크판!C310,ROW(#REF!)-20),5),)),"",(OFFSET(#REF!,SMALL(IF(#REF!=RM시즌체크판!C310,ROW(#REF!)-20),5),)))</f>
        <v/>
      </c>
      <c r="M310" s="35" t="str">
        <f t="array" aca="1" ref="M310" ca="1">IF(ISERROR(OFFSET(#REF!,SMALL(IF(#REF!=RM시즌체크판!C310,ROW(#REF!)-20),6),)),"",(OFFSET(#REF!,SMALL(IF(#REF!=RM시즌체크판!C310,ROW(#REF!)-20),6),)))</f>
        <v/>
      </c>
      <c r="N310" s="27" t="str">
        <f>IF(ISERROR(VLOOKUP(C310,모델촬영리스트!$C:$E,3,)),"",(VLOOKUP(C310,모델촬영리스트!$C:$E,3,)))</f>
        <v/>
      </c>
      <c r="O310" s="23" t="str">
        <f>IF(ISERROR(VLOOKUP(C310,배너촬영리스트!$C:$E,3,)),"",(VLOOKUP(C310,배너촬영리스트!$C:$E,3,)))</f>
        <v/>
      </c>
      <c r="P310" s="36" t="str">
        <f>IF(ISERROR(VLOOKUP(C310,배너촬영리스트!$C:$E,2,)),"",(VLOOKUP(C310,배너촬영리스트!$C:$E,2,)))</f>
        <v/>
      </c>
    </row>
    <row r="311" spans="2:16">
      <c r="B311" s="20" t="str">
        <f t="shared" si="5"/>
        <v>RM</v>
      </c>
      <c r="C311" s="11" t="s">
        <v>409</v>
      </c>
      <c r="D311" s="12" t="e">
        <f>VLOOKUP(C311,#REF!,2,0)</f>
        <v>#REF!</v>
      </c>
      <c r="E311" s="10" t="e">
        <f>VLOOKUP(C311,#REF!,4,0)</f>
        <v>#REF!</v>
      </c>
      <c r="F311" s="37" t="e">
        <f>VLOOKUP(C311,#REF!,8,0)</f>
        <v>#REF!</v>
      </c>
      <c r="G311" s="22" t="str">
        <f>IF(ISERROR(IF(VLOOKUP(C311,#REF!,2,0)&gt;0,"등록","")),"",(IF(VLOOKUP(C311,#REF!,2,0)&gt;0,"등록","")))</f>
        <v/>
      </c>
      <c r="H311" s="33" t="str">
        <f t="array" aca="1" ref="H311" ca="1">IF(ISERROR(OFFSET(#REF!,SMALL(IF(#REF!=RM시즌체크판!C311,ROW(#REF!)-20),1),)),"",(OFFSET(#REF!,SMALL(IF(#REF!=RM시즌체크판!C311,ROW(#REF!)-20),1),)))</f>
        <v/>
      </c>
      <c r="I311" s="34" t="str">
        <f t="array" aca="1" ref="I311" ca="1">IF(ISERROR(OFFSET(#REF!,SMALL(IF(#REF!=RM시즌체크판!C311,ROW(#REF!)-20),2),)),"",(OFFSET(#REF!,SMALL(IF(#REF!=RM시즌체크판!C311,ROW(#REF!)-20),2),)))</f>
        <v/>
      </c>
      <c r="J311" s="34" t="str">
        <f t="array" aca="1" ref="J311" ca="1">IF(ISERROR(OFFSET(#REF!,SMALL(IF(#REF!=RM시즌체크판!C311,ROW(#REF!)-20),3),)),"",(OFFSET(#REF!,SMALL(IF(#REF!=RM시즌체크판!C311,ROW(#REF!)-20),3),)))</f>
        <v/>
      </c>
      <c r="K311" s="34" t="str">
        <f t="array" aca="1" ref="K311" ca="1">IF(ISERROR(OFFSET(#REF!,SMALL(IF(#REF!=RM시즌체크판!C311,ROW(#REF!)-20),4),)),"",(OFFSET(#REF!,SMALL(IF(#REF!=RM시즌체크판!C311,ROW(#REF!)-20),4),)))</f>
        <v/>
      </c>
      <c r="L311" s="34" t="str">
        <f t="array" aca="1" ref="L311" ca="1">IF(ISERROR(OFFSET(#REF!,SMALL(IF(#REF!=RM시즌체크판!C311,ROW(#REF!)-20),5),)),"",(OFFSET(#REF!,SMALL(IF(#REF!=RM시즌체크판!C311,ROW(#REF!)-20),5),)))</f>
        <v/>
      </c>
      <c r="M311" s="35" t="str">
        <f t="array" aca="1" ref="M311" ca="1">IF(ISERROR(OFFSET(#REF!,SMALL(IF(#REF!=RM시즌체크판!C311,ROW(#REF!)-20),6),)),"",(OFFSET(#REF!,SMALL(IF(#REF!=RM시즌체크판!C311,ROW(#REF!)-20),6),)))</f>
        <v/>
      </c>
      <c r="N311" s="27" t="str">
        <f>IF(ISERROR(VLOOKUP(C311,모델촬영리스트!$C:$E,3,)),"",(VLOOKUP(C311,모델촬영리스트!$C:$E,3,)))</f>
        <v/>
      </c>
      <c r="O311" s="23" t="str">
        <f>IF(ISERROR(VLOOKUP(C311,배너촬영리스트!$C:$E,3,)),"",(VLOOKUP(C311,배너촬영리스트!$C:$E,3,)))</f>
        <v/>
      </c>
      <c r="P311" s="36" t="str">
        <f>IF(ISERROR(VLOOKUP(C311,배너촬영리스트!$C:$E,2,)),"",(VLOOKUP(C311,배너촬영리스트!$C:$E,2,)))</f>
        <v/>
      </c>
    </row>
    <row r="312" spans="2:16">
      <c r="B312" s="20" t="str">
        <f t="shared" si="5"/>
        <v>RM</v>
      </c>
      <c r="C312" s="11" t="s">
        <v>410</v>
      </c>
      <c r="D312" s="12" t="e">
        <f>VLOOKUP(C312,#REF!,2,0)</f>
        <v>#REF!</v>
      </c>
      <c r="E312" s="10" t="e">
        <f>VLOOKUP(C312,#REF!,4,0)</f>
        <v>#REF!</v>
      </c>
      <c r="F312" s="37" t="e">
        <f>VLOOKUP(C312,#REF!,8,0)</f>
        <v>#REF!</v>
      </c>
      <c r="G312" s="22" t="str">
        <f>IF(ISERROR(IF(VLOOKUP(C312,#REF!,2,0)&gt;0,"등록","")),"",(IF(VLOOKUP(C312,#REF!,2,0)&gt;0,"등록","")))</f>
        <v/>
      </c>
      <c r="H312" s="33" t="str">
        <f t="array" aca="1" ref="H312" ca="1">IF(ISERROR(OFFSET(#REF!,SMALL(IF(#REF!=RM시즌체크판!C312,ROW(#REF!)-20),1),)),"",(OFFSET(#REF!,SMALL(IF(#REF!=RM시즌체크판!C312,ROW(#REF!)-20),1),)))</f>
        <v/>
      </c>
      <c r="I312" s="34" t="str">
        <f t="array" aca="1" ref="I312" ca="1">IF(ISERROR(OFFSET(#REF!,SMALL(IF(#REF!=RM시즌체크판!C312,ROW(#REF!)-20),2),)),"",(OFFSET(#REF!,SMALL(IF(#REF!=RM시즌체크판!C312,ROW(#REF!)-20),2),)))</f>
        <v/>
      </c>
      <c r="J312" s="34" t="str">
        <f t="array" aca="1" ref="J312" ca="1">IF(ISERROR(OFFSET(#REF!,SMALL(IF(#REF!=RM시즌체크판!C312,ROW(#REF!)-20),3),)),"",(OFFSET(#REF!,SMALL(IF(#REF!=RM시즌체크판!C312,ROW(#REF!)-20),3),)))</f>
        <v/>
      </c>
      <c r="K312" s="34" t="str">
        <f t="array" aca="1" ref="K312" ca="1">IF(ISERROR(OFFSET(#REF!,SMALL(IF(#REF!=RM시즌체크판!C312,ROW(#REF!)-20),4),)),"",(OFFSET(#REF!,SMALL(IF(#REF!=RM시즌체크판!C312,ROW(#REF!)-20),4),)))</f>
        <v/>
      </c>
      <c r="L312" s="34" t="str">
        <f t="array" aca="1" ref="L312" ca="1">IF(ISERROR(OFFSET(#REF!,SMALL(IF(#REF!=RM시즌체크판!C312,ROW(#REF!)-20),5),)),"",(OFFSET(#REF!,SMALL(IF(#REF!=RM시즌체크판!C312,ROW(#REF!)-20),5),)))</f>
        <v/>
      </c>
      <c r="M312" s="35" t="str">
        <f t="array" aca="1" ref="M312" ca="1">IF(ISERROR(OFFSET(#REF!,SMALL(IF(#REF!=RM시즌체크판!C312,ROW(#REF!)-20),6),)),"",(OFFSET(#REF!,SMALL(IF(#REF!=RM시즌체크판!C312,ROW(#REF!)-20),6),)))</f>
        <v/>
      </c>
      <c r="N312" s="27" t="str">
        <f>IF(ISERROR(VLOOKUP(C312,모델촬영리스트!$C:$E,3,)),"",(VLOOKUP(C312,모델촬영리스트!$C:$E,3,)))</f>
        <v/>
      </c>
      <c r="O312" s="23" t="str">
        <f>IF(ISERROR(VLOOKUP(C312,배너촬영리스트!$C:$E,3,)),"",(VLOOKUP(C312,배너촬영리스트!$C:$E,3,)))</f>
        <v/>
      </c>
      <c r="P312" s="36" t="str">
        <f>IF(ISERROR(VLOOKUP(C312,배너촬영리스트!$C:$E,2,)),"",(VLOOKUP(C312,배너촬영리스트!$C:$E,2,)))</f>
        <v/>
      </c>
    </row>
    <row r="313" spans="2:16">
      <c r="B313" s="20" t="str">
        <f t="shared" si="5"/>
        <v>RM</v>
      </c>
      <c r="C313" s="11" t="s">
        <v>115</v>
      </c>
      <c r="D313" s="12" t="e">
        <f>VLOOKUP(C313,#REF!,2,0)</f>
        <v>#REF!</v>
      </c>
      <c r="E313" s="10" t="e">
        <f>VLOOKUP(C313,#REF!,4,0)</f>
        <v>#REF!</v>
      </c>
      <c r="F313" s="37" t="e">
        <f>VLOOKUP(C313,#REF!,8,0)</f>
        <v>#REF!</v>
      </c>
      <c r="G313" s="22" t="str">
        <f>IF(ISERROR(IF(VLOOKUP(C313,#REF!,2,0)&gt;0,"등록","")),"",(IF(VLOOKUP(C313,#REF!,2,0)&gt;0,"등록","")))</f>
        <v/>
      </c>
      <c r="H313" s="33" t="str">
        <f t="array" aca="1" ref="H313" ca="1">IF(ISERROR(OFFSET(#REF!,SMALL(IF(#REF!=RM시즌체크판!C313,ROW(#REF!)-20),1),)),"",(OFFSET(#REF!,SMALL(IF(#REF!=RM시즌체크판!C313,ROW(#REF!)-20),1),)))</f>
        <v/>
      </c>
      <c r="I313" s="34" t="str">
        <f t="array" aca="1" ref="I313" ca="1">IF(ISERROR(OFFSET(#REF!,SMALL(IF(#REF!=RM시즌체크판!C313,ROW(#REF!)-20),2),)),"",(OFFSET(#REF!,SMALL(IF(#REF!=RM시즌체크판!C313,ROW(#REF!)-20),2),)))</f>
        <v/>
      </c>
      <c r="J313" s="34" t="str">
        <f t="array" aca="1" ref="J313" ca="1">IF(ISERROR(OFFSET(#REF!,SMALL(IF(#REF!=RM시즌체크판!C313,ROW(#REF!)-20),3),)),"",(OFFSET(#REF!,SMALL(IF(#REF!=RM시즌체크판!C313,ROW(#REF!)-20),3),)))</f>
        <v/>
      </c>
      <c r="K313" s="34" t="str">
        <f t="array" aca="1" ref="K313" ca="1">IF(ISERROR(OFFSET(#REF!,SMALL(IF(#REF!=RM시즌체크판!C313,ROW(#REF!)-20),4),)),"",(OFFSET(#REF!,SMALL(IF(#REF!=RM시즌체크판!C313,ROW(#REF!)-20),4),)))</f>
        <v/>
      </c>
      <c r="L313" s="34" t="str">
        <f t="array" aca="1" ref="L313" ca="1">IF(ISERROR(OFFSET(#REF!,SMALL(IF(#REF!=RM시즌체크판!C313,ROW(#REF!)-20),5),)),"",(OFFSET(#REF!,SMALL(IF(#REF!=RM시즌체크판!C313,ROW(#REF!)-20),5),)))</f>
        <v/>
      </c>
      <c r="M313" s="35" t="str">
        <f t="array" aca="1" ref="M313" ca="1">IF(ISERROR(OFFSET(#REF!,SMALL(IF(#REF!=RM시즌체크판!C313,ROW(#REF!)-20),6),)),"",(OFFSET(#REF!,SMALL(IF(#REF!=RM시즌체크판!C313,ROW(#REF!)-20),6),)))</f>
        <v/>
      </c>
      <c r="N313" s="27" t="str">
        <f>IF(ISERROR(VLOOKUP(C313,모델촬영리스트!$C:$E,3,)),"",(VLOOKUP(C313,모델촬영리스트!$C:$E,3,)))</f>
        <v/>
      </c>
      <c r="O313" s="23" t="str">
        <f>IF(ISERROR(VLOOKUP(C313,배너촬영리스트!$C:$E,3,)),"",(VLOOKUP(C313,배너촬영리스트!$C:$E,3,)))</f>
        <v/>
      </c>
      <c r="P313" s="36" t="str">
        <f>IF(ISERROR(VLOOKUP(C313,배너촬영리스트!$C:$E,2,)),"",(VLOOKUP(C313,배너촬영리스트!$C:$E,2,)))</f>
        <v/>
      </c>
    </row>
    <row r="314" spans="2:16">
      <c r="B314" s="20" t="str">
        <f t="shared" si="5"/>
        <v>RM</v>
      </c>
      <c r="C314" s="11" t="s">
        <v>116</v>
      </c>
      <c r="D314" s="12" t="e">
        <f>VLOOKUP(C314,#REF!,2,0)</f>
        <v>#REF!</v>
      </c>
      <c r="E314" s="10" t="e">
        <f>VLOOKUP(C314,#REF!,4,0)</f>
        <v>#REF!</v>
      </c>
      <c r="F314" s="37" t="e">
        <f>VLOOKUP(C314,#REF!,8,0)</f>
        <v>#REF!</v>
      </c>
      <c r="G314" s="22" t="str">
        <f>IF(ISERROR(IF(VLOOKUP(C314,#REF!,2,0)&gt;0,"등록","")),"",(IF(VLOOKUP(C314,#REF!,2,0)&gt;0,"등록","")))</f>
        <v/>
      </c>
      <c r="H314" s="33" t="str">
        <f t="array" aca="1" ref="H314" ca="1">IF(ISERROR(OFFSET(#REF!,SMALL(IF(#REF!=RM시즌체크판!C314,ROW(#REF!)-20),1),)),"",(OFFSET(#REF!,SMALL(IF(#REF!=RM시즌체크판!C314,ROW(#REF!)-20),1),)))</f>
        <v/>
      </c>
      <c r="I314" s="34" t="str">
        <f t="array" aca="1" ref="I314" ca="1">IF(ISERROR(OFFSET(#REF!,SMALL(IF(#REF!=RM시즌체크판!C314,ROW(#REF!)-20),2),)),"",(OFFSET(#REF!,SMALL(IF(#REF!=RM시즌체크판!C314,ROW(#REF!)-20),2),)))</f>
        <v/>
      </c>
      <c r="J314" s="34" t="str">
        <f t="array" aca="1" ref="J314" ca="1">IF(ISERROR(OFFSET(#REF!,SMALL(IF(#REF!=RM시즌체크판!C314,ROW(#REF!)-20),3),)),"",(OFFSET(#REF!,SMALL(IF(#REF!=RM시즌체크판!C314,ROW(#REF!)-20),3),)))</f>
        <v/>
      </c>
      <c r="K314" s="34" t="str">
        <f t="array" aca="1" ref="K314" ca="1">IF(ISERROR(OFFSET(#REF!,SMALL(IF(#REF!=RM시즌체크판!C314,ROW(#REF!)-20),4),)),"",(OFFSET(#REF!,SMALL(IF(#REF!=RM시즌체크판!C314,ROW(#REF!)-20),4),)))</f>
        <v/>
      </c>
      <c r="L314" s="34" t="str">
        <f t="array" aca="1" ref="L314" ca="1">IF(ISERROR(OFFSET(#REF!,SMALL(IF(#REF!=RM시즌체크판!C314,ROW(#REF!)-20),5),)),"",(OFFSET(#REF!,SMALL(IF(#REF!=RM시즌체크판!C314,ROW(#REF!)-20),5),)))</f>
        <v/>
      </c>
      <c r="M314" s="35" t="str">
        <f t="array" aca="1" ref="M314" ca="1">IF(ISERROR(OFFSET(#REF!,SMALL(IF(#REF!=RM시즌체크판!C314,ROW(#REF!)-20),6),)),"",(OFFSET(#REF!,SMALL(IF(#REF!=RM시즌체크판!C314,ROW(#REF!)-20),6),)))</f>
        <v/>
      </c>
      <c r="N314" s="27" t="str">
        <f>IF(ISERROR(VLOOKUP(C314,모델촬영리스트!$C:$E,3,)),"",(VLOOKUP(C314,모델촬영리스트!$C:$E,3,)))</f>
        <v/>
      </c>
      <c r="O314" s="23" t="str">
        <f>IF(ISERROR(VLOOKUP(C314,배너촬영리스트!$C:$E,3,)),"",(VLOOKUP(C314,배너촬영리스트!$C:$E,3,)))</f>
        <v/>
      </c>
      <c r="P314" s="36" t="str">
        <f>IF(ISERROR(VLOOKUP(C314,배너촬영리스트!$C:$E,2,)),"",(VLOOKUP(C314,배너촬영리스트!$C:$E,2,)))</f>
        <v/>
      </c>
    </row>
    <row r="315" spans="2:16">
      <c r="B315" s="20" t="str">
        <f t="shared" si="5"/>
        <v>RM</v>
      </c>
      <c r="C315" s="11" t="s">
        <v>433</v>
      </c>
      <c r="D315" s="12" t="e">
        <f>VLOOKUP(C315,#REF!,2,0)</f>
        <v>#REF!</v>
      </c>
      <c r="E315" s="10" t="e">
        <f>VLOOKUP(C315,#REF!,4,0)</f>
        <v>#REF!</v>
      </c>
      <c r="F315" s="37" t="e">
        <f>VLOOKUP(C315,#REF!,8,0)</f>
        <v>#REF!</v>
      </c>
      <c r="G315" s="22" t="str">
        <f>IF(ISERROR(IF(VLOOKUP(C315,#REF!,2,0)&gt;0,"등록","")),"",(IF(VLOOKUP(C315,#REF!,2,0)&gt;0,"등록","")))</f>
        <v/>
      </c>
      <c r="H315" s="33" t="str">
        <f t="array" aca="1" ref="H315" ca="1">IF(ISERROR(OFFSET(#REF!,SMALL(IF(#REF!=RM시즌체크판!C315,ROW(#REF!)-20),1),)),"",(OFFSET(#REF!,SMALL(IF(#REF!=RM시즌체크판!C315,ROW(#REF!)-20),1),)))</f>
        <v/>
      </c>
      <c r="I315" s="34" t="str">
        <f t="array" aca="1" ref="I315" ca="1">IF(ISERROR(OFFSET(#REF!,SMALL(IF(#REF!=RM시즌체크판!C315,ROW(#REF!)-20),2),)),"",(OFFSET(#REF!,SMALL(IF(#REF!=RM시즌체크판!C315,ROW(#REF!)-20),2),)))</f>
        <v/>
      </c>
      <c r="J315" s="34" t="str">
        <f t="array" aca="1" ref="J315" ca="1">IF(ISERROR(OFFSET(#REF!,SMALL(IF(#REF!=RM시즌체크판!C315,ROW(#REF!)-20),3),)),"",(OFFSET(#REF!,SMALL(IF(#REF!=RM시즌체크판!C315,ROW(#REF!)-20),3),)))</f>
        <v/>
      </c>
      <c r="K315" s="34" t="str">
        <f t="array" aca="1" ref="K315" ca="1">IF(ISERROR(OFFSET(#REF!,SMALL(IF(#REF!=RM시즌체크판!C315,ROW(#REF!)-20),4),)),"",(OFFSET(#REF!,SMALL(IF(#REF!=RM시즌체크판!C315,ROW(#REF!)-20),4),)))</f>
        <v/>
      </c>
      <c r="L315" s="34" t="str">
        <f t="array" aca="1" ref="L315" ca="1">IF(ISERROR(OFFSET(#REF!,SMALL(IF(#REF!=RM시즌체크판!C315,ROW(#REF!)-20),5),)),"",(OFFSET(#REF!,SMALL(IF(#REF!=RM시즌체크판!C315,ROW(#REF!)-20),5),)))</f>
        <v/>
      </c>
      <c r="M315" s="35" t="str">
        <f t="array" aca="1" ref="M315" ca="1">IF(ISERROR(OFFSET(#REF!,SMALL(IF(#REF!=RM시즌체크판!C315,ROW(#REF!)-20),6),)),"",(OFFSET(#REF!,SMALL(IF(#REF!=RM시즌체크판!C315,ROW(#REF!)-20),6),)))</f>
        <v/>
      </c>
      <c r="N315" s="27" t="str">
        <f>IF(ISERROR(VLOOKUP(C315,모델촬영리스트!$C:$E,3,)),"",(VLOOKUP(C315,모델촬영리스트!$C:$E,3,)))</f>
        <v/>
      </c>
      <c r="O315" s="23" t="str">
        <f>IF(ISERROR(VLOOKUP(C315,배너촬영리스트!$C:$E,3,)),"",(VLOOKUP(C315,배너촬영리스트!$C:$E,3,)))</f>
        <v/>
      </c>
      <c r="P315" s="36" t="str">
        <f>IF(ISERROR(VLOOKUP(C315,배너촬영리스트!$C:$E,2,)),"",(VLOOKUP(C315,배너촬영리스트!$C:$E,2,)))</f>
        <v/>
      </c>
    </row>
    <row r="316" spans="2:16">
      <c r="B316" s="20" t="str">
        <f t="shared" si="5"/>
        <v>RM</v>
      </c>
      <c r="C316" s="11" t="s">
        <v>117</v>
      </c>
      <c r="D316" s="12" t="e">
        <f>VLOOKUP(C316,#REF!,2,0)</f>
        <v>#REF!</v>
      </c>
      <c r="E316" s="10" t="e">
        <f>VLOOKUP(C316,#REF!,4,0)</f>
        <v>#REF!</v>
      </c>
      <c r="F316" s="37" t="e">
        <f>VLOOKUP(C316,#REF!,8,0)</f>
        <v>#REF!</v>
      </c>
      <c r="G316" s="22" t="str">
        <f>IF(ISERROR(IF(VLOOKUP(C316,#REF!,2,0)&gt;0,"등록","")),"",(IF(VLOOKUP(C316,#REF!,2,0)&gt;0,"등록","")))</f>
        <v/>
      </c>
      <c r="H316" s="33" t="str">
        <f t="array" aca="1" ref="H316" ca="1">IF(ISERROR(OFFSET(#REF!,SMALL(IF(#REF!=RM시즌체크판!C316,ROW(#REF!)-20),1),)),"",(OFFSET(#REF!,SMALL(IF(#REF!=RM시즌체크판!C316,ROW(#REF!)-20),1),)))</f>
        <v/>
      </c>
      <c r="I316" s="34" t="str">
        <f t="array" aca="1" ref="I316" ca="1">IF(ISERROR(OFFSET(#REF!,SMALL(IF(#REF!=RM시즌체크판!C316,ROW(#REF!)-20),2),)),"",(OFFSET(#REF!,SMALL(IF(#REF!=RM시즌체크판!C316,ROW(#REF!)-20),2),)))</f>
        <v/>
      </c>
      <c r="J316" s="34" t="str">
        <f t="array" aca="1" ref="J316" ca="1">IF(ISERROR(OFFSET(#REF!,SMALL(IF(#REF!=RM시즌체크판!C316,ROW(#REF!)-20),3),)),"",(OFFSET(#REF!,SMALL(IF(#REF!=RM시즌체크판!C316,ROW(#REF!)-20),3),)))</f>
        <v/>
      </c>
      <c r="K316" s="34" t="str">
        <f t="array" aca="1" ref="K316" ca="1">IF(ISERROR(OFFSET(#REF!,SMALL(IF(#REF!=RM시즌체크판!C316,ROW(#REF!)-20),4),)),"",(OFFSET(#REF!,SMALL(IF(#REF!=RM시즌체크판!C316,ROW(#REF!)-20),4),)))</f>
        <v/>
      </c>
      <c r="L316" s="34" t="str">
        <f t="array" aca="1" ref="L316" ca="1">IF(ISERROR(OFFSET(#REF!,SMALL(IF(#REF!=RM시즌체크판!C316,ROW(#REF!)-20),5),)),"",(OFFSET(#REF!,SMALL(IF(#REF!=RM시즌체크판!C316,ROW(#REF!)-20),5),)))</f>
        <v/>
      </c>
      <c r="M316" s="35" t="str">
        <f t="array" aca="1" ref="M316" ca="1">IF(ISERROR(OFFSET(#REF!,SMALL(IF(#REF!=RM시즌체크판!C316,ROW(#REF!)-20),6),)),"",(OFFSET(#REF!,SMALL(IF(#REF!=RM시즌체크판!C316,ROW(#REF!)-20),6),)))</f>
        <v/>
      </c>
      <c r="N316" s="27" t="str">
        <f>IF(ISERROR(VLOOKUP(C316,모델촬영리스트!$C:$E,3,)),"",(VLOOKUP(C316,모델촬영리스트!$C:$E,3,)))</f>
        <v/>
      </c>
      <c r="O316" s="23" t="str">
        <f>IF(ISERROR(VLOOKUP(C316,배너촬영리스트!$C:$E,3,)),"",(VLOOKUP(C316,배너촬영리스트!$C:$E,3,)))</f>
        <v/>
      </c>
      <c r="P316" s="36" t="str">
        <f>IF(ISERROR(VLOOKUP(C316,배너촬영리스트!$C:$E,2,)),"",(VLOOKUP(C316,배너촬영리스트!$C:$E,2,)))</f>
        <v/>
      </c>
    </row>
    <row r="317" spans="2:16">
      <c r="B317" s="20" t="str">
        <f t="shared" si="5"/>
        <v>RM</v>
      </c>
      <c r="C317" s="11" t="s">
        <v>118</v>
      </c>
      <c r="D317" s="12" t="e">
        <f>VLOOKUP(C317,#REF!,2,0)</f>
        <v>#REF!</v>
      </c>
      <c r="E317" s="10" t="e">
        <f>VLOOKUP(C317,#REF!,4,0)</f>
        <v>#REF!</v>
      </c>
      <c r="F317" s="37" t="e">
        <f>VLOOKUP(C317,#REF!,8,0)</f>
        <v>#REF!</v>
      </c>
      <c r="G317" s="22" t="str">
        <f>IF(ISERROR(IF(VLOOKUP(C317,#REF!,2,0)&gt;0,"등록","")),"",(IF(VLOOKUP(C317,#REF!,2,0)&gt;0,"등록","")))</f>
        <v/>
      </c>
      <c r="H317" s="33" t="str">
        <f t="array" aca="1" ref="H317" ca="1">IF(ISERROR(OFFSET(#REF!,SMALL(IF(#REF!=RM시즌체크판!C317,ROW(#REF!)-20),1),)),"",(OFFSET(#REF!,SMALL(IF(#REF!=RM시즌체크판!C317,ROW(#REF!)-20),1),)))</f>
        <v/>
      </c>
      <c r="I317" s="34" t="str">
        <f t="array" aca="1" ref="I317" ca="1">IF(ISERROR(OFFSET(#REF!,SMALL(IF(#REF!=RM시즌체크판!C317,ROW(#REF!)-20),2),)),"",(OFFSET(#REF!,SMALL(IF(#REF!=RM시즌체크판!C317,ROW(#REF!)-20),2),)))</f>
        <v/>
      </c>
      <c r="J317" s="34" t="str">
        <f t="array" aca="1" ref="J317" ca="1">IF(ISERROR(OFFSET(#REF!,SMALL(IF(#REF!=RM시즌체크판!C317,ROW(#REF!)-20),3),)),"",(OFFSET(#REF!,SMALL(IF(#REF!=RM시즌체크판!C317,ROW(#REF!)-20),3),)))</f>
        <v/>
      </c>
      <c r="K317" s="34" t="str">
        <f t="array" aca="1" ref="K317" ca="1">IF(ISERROR(OFFSET(#REF!,SMALL(IF(#REF!=RM시즌체크판!C317,ROW(#REF!)-20),4),)),"",(OFFSET(#REF!,SMALL(IF(#REF!=RM시즌체크판!C317,ROW(#REF!)-20),4),)))</f>
        <v/>
      </c>
      <c r="L317" s="34" t="str">
        <f t="array" aca="1" ref="L317" ca="1">IF(ISERROR(OFFSET(#REF!,SMALL(IF(#REF!=RM시즌체크판!C317,ROW(#REF!)-20),5),)),"",(OFFSET(#REF!,SMALL(IF(#REF!=RM시즌체크판!C317,ROW(#REF!)-20),5),)))</f>
        <v/>
      </c>
      <c r="M317" s="35" t="str">
        <f t="array" aca="1" ref="M317" ca="1">IF(ISERROR(OFFSET(#REF!,SMALL(IF(#REF!=RM시즌체크판!C317,ROW(#REF!)-20),6),)),"",(OFFSET(#REF!,SMALL(IF(#REF!=RM시즌체크판!C317,ROW(#REF!)-20),6),)))</f>
        <v/>
      </c>
      <c r="N317" s="27" t="str">
        <f>IF(ISERROR(VLOOKUP(C317,모델촬영리스트!$C:$E,3,)),"",(VLOOKUP(C317,모델촬영리스트!$C:$E,3,)))</f>
        <v/>
      </c>
      <c r="O317" s="23" t="str">
        <f>IF(ISERROR(VLOOKUP(C317,배너촬영리스트!$C:$E,3,)),"",(VLOOKUP(C317,배너촬영리스트!$C:$E,3,)))</f>
        <v/>
      </c>
      <c r="P317" s="36" t="str">
        <f>IF(ISERROR(VLOOKUP(C317,배너촬영리스트!$C:$E,2,)),"",(VLOOKUP(C317,배너촬영리스트!$C:$E,2,)))</f>
        <v/>
      </c>
    </row>
    <row r="318" spans="2:16">
      <c r="B318" s="20" t="str">
        <f t="shared" si="5"/>
        <v>RM</v>
      </c>
      <c r="C318" s="11" t="s">
        <v>399</v>
      </c>
      <c r="D318" s="12" t="e">
        <f>VLOOKUP(C318,#REF!,2,0)</f>
        <v>#REF!</v>
      </c>
      <c r="E318" s="10" t="e">
        <f>VLOOKUP(C318,#REF!,4,0)</f>
        <v>#REF!</v>
      </c>
      <c r="F318" s="37" t="e">
        <f>VLOOKUP(C318,#REF!,8,0)</f>
        <v>#REF!</v>
      </c>
      <c r="G318" s="22" t="str">
        <f>IF(ISERROR(IF(VLOOKUP(C318,#REF!,2,0)&gt;0,"등록","")),"",(IF(VLOOKUP(C318,#REF!,2,0)&gt;0,"등록","")))</f>
        <v/>
      </c>
      <c r="H318" s="33" t="str">
        <f t="array" aca="1" ref="H318" ca="1">IF(ISERROR(OFFSET(#REF!,SMALL(IF(#REF!=RM시즌체크판!C318,ROW(#REF!)-20),1),)),"",(OFFSET(#REF!,SMALL(IF(#REF!=RM시즌체크판!C318,ROW(#REF!)-20),1),)))</f>
        <v/>
      </c>
      <c r="I318" s="34" t="str">
        <f t="array" aca="1" ref="I318" ca="1">IF(ISERROR(OFFSET(#REF!,SMALL(IF(#REF!=RM시즌체크판!C318,ROW(#REF!)-20),2),)),"",(OFFSET(#REF!,SMALL(IF(#REF!=RM시즌체크판!C318,ROW(#REF!)-20),2),)))</f>
        <v/>
      </c>
      <c r="J318" s="34" t="str">
        <f t="array" aca="1" ref="J318" ca="1">IF(ISERROR(OFFSET(#REF!,SMALL(IF(#REF!=RM시즌체크판!C318,ROW(#REF!)-20),3),)),"",(OFFSET(#REF!,SMALL(IF(#REF!=RM시즌체크판!C318,ROW(#REF!)-20),3),)))</f>
        <v/>
      </c>
      <c r="K318" s="34" t="str">
        <f t="array" aca="1" ref="K318" ca="1">IF(ISERROR(OFFSET(#REF!,SMALL(IF(#REF!=RM시즌체크판!C318,ROW(#REF!)-20),4),)),"",(OFFSET(#REF!,SMALL(IF(#REF!=RM시즌체크판!C318,ROW(#REF!)-20),4),)))</f>
        <v/>
      </c>
      <c r="L318" s="34" t="str">
        <f t="array" aca="1" ref="L318" ca="1">IF(ISERROR(OFFSET(#REF!,SMALL(IF(#REF!=RM시즌체크판!C318,ROW(#REF!)-20),5),)),"",(OFFSET(#REF!,SMALL(IF(#REF!=RM시즌체크판!C318,ROW(#REF!)-20),5),)))</f>
        <v/>
      </c>
      <c r="M318" s="35" t="str">
        <f t="array" aca="1" ref="M318" ca="1">IF(ISERROR(OFFSET(#REF!,SMALL(IF(#REF!=RM시즌체크판!C318,ROW(#REF!)-20),6),)),"",(OFFSET(#REF!,SMALL(IF(#REF!=RM시즌체크판!C318,ROW(#REF!)-20),6),)))</f>
        <v/>
      </c>
      <c r="N318" s="27" t="str">
        <f>IF(ISERROR(VLOOKUP(C318,모델촬영리스트!$C:$E,3,)),"",(VLOOKUP(C318,모델촬영리스트!$C:$E,3,)))</f>
        <v/>
      </c>
      <c r="O318" s="23" t="str">
        <f>IF(ISERROR(VLOOKUP(C318,배너촬영리스트!$C:$E,3,)),"",(VLOOKUP(C318,배너촬영리스트!$C:$E,3,)))</f>
        <v/>
      </c>
      <c r="P318" s="36" t="str">
        <f>IF(ISERROR(VLOOKUP(C318,배너촬영리스트!$C:$E,2,)),"",(VLOOKUP(C318,배너촬영리스트!$C:$E,2,)))</f>
        <v/>
      </c>
    </row>
    <row r="319" spans="2:16">
      <c r="B319" s="20" t="str">
        <f t="shared" si="5"/>
        <v>RM</v>
      </c>
      <c r="C319" s="11" t="s">
        <v>400</v>
      </c>
      <c r="D319" s="12" t="e">
        <f>VLOOKUP(C319,#REF!,2,0)</f>
        <v>#REF!</v>
      </c>
      <c r="E319" s="10" t="e">
        <f>VLOOKUP(C319,#REF!,4,0)</f>
        <v>#REF!</v>
      </c>
      <c r="F319" s="37" t="e">
        <f>VLOOKUP(C319,#REF!,8,0)</f>
        <v>#REF!</v>
      </c>
      <c r="G319" s="22" t="str">
        <f>IF(ISERROR(IF(VLOOKUP(C319,#REF!,2,0)&gt;0,"등록","")),"",(IF(VLOOKUP(C319,#REF!,2,0)&gt;0,"등록","")))</f>
        <v/>
      </c>
      <c r="H319" s="33" t="str">
        <f t="array" aca="1" ref="H319" ca="1">IF(ISERROR(OFFSET(#REF!,SMALL(IF(#REF!=RM시즌체크판!C319,ROW(#REF!)-20),1),)),"",(OFFSET(#REF!,SMALL(IF(#REF!=RM시즌체크판!C319,ROW(#REF!)-20),1),)))</f>
        <v/>
      </c>
      <c r="I319" s="34" t="str">
        <f t="array" aca="1" ref="I319" ca="1">IF(ISERROR(OFFSET(#REF!,SMALL(IF(#REF!=RM시즌체크판!C319,ROW(#REF!)-20),2),)),"",(OFFSET(#REF!,SMALL(IF(#REF!=RM시즌체크판!C319,ROW(#REF!)-20),2),)))</f>
        <v/>
      </c>
      <c r="J319" s="34" t="str">
        <f t="array" aca="1" ref="J319" ca="1">IF(ISERROR(OFFSET(#REF!,SMALL(IF(#REF!=RM시즌체크판!C319,ROW(#REF!)-20),3),)),"",(OFFSET(#REF!,SMALL(IF(#REF!=RM시즌체크판!C319,ROW(#REF!)-20),3),)))</f>
        <v/>
      </c>
      <c r="K319" s="34" t="str">
        <f t="array" aca="1" ref="K319" ca="1">IF(ISERROR(OFFSET(#REF!,SMALL(IF(#REF!=RM시즌체크판!C319,ROW(#REF!)-20),4),)),"",(OFFSET(#REF!,SMALL(IF(#REF!=RM시즌체크판!C319,ROW(#REF!)-20),4),)))</f>
        <v/>
      </c>
      <c r="L319" s="34" t="str">
        <f t="array" aca="1" ref="L319" ca="1">IF(ISERROR(OFFSET(#REF!,SMALL(IF(#REF!=RM시즌체크판!C319,ROW(#REF!)-20),5),)),"",(OFFSET(#REF!,SMALL(IF(#REF!=RM시즌체크판!C319,ROW(#REF!)-20),5),)))</f>
        <v/>
      </c>
      <c r="M319" s="35" t="str">
        <f t="array" aca="1" ref="M319" ca="1">IF(ISERROR(OFFSET(#REF!,SMALL(IF(#REF!=RM시즌체크판!C319,ROW(#REF!)-20),6),)),"",(OFFSET(#REF!,SMALL(IF(#REF!=RM시즌체크판!C319,ROW(#REF!)-20),6),)))</f>
        <v/>
      </c>
      <c r="N319" s="27" t="str">
        <f>IF(ISERROR(VLOOKUP(C319,모델촬영리스트!$C:$E,3,)),"",(VLOOKUP(C319,모델촬영리스트!$C:$E,3,)))</f>
        <v/>
      </c>
      <c r="O319" s="23" t="str">
        <f>IF(ISERROR(VLOOKUP(C319,배너촬영리스트!$C:$E,3,)),"",(VLOOKUP(C319,배너촬영리스트!$C:$E,3,)))</f>
        <v/>
      </c>
      <c r="P319" s="36" t="str">
        <f>IF(ISERROR(VLOOKUP(C319,배너촬영리스트!$C:$E,2,)),"",(VLOOKUP(C319,배너촬영리스트!$C:$E,2,)))</f>
        <v/>
      </c>
    </row>
    <row r="320" spans="2:16">
      <c r="B320" s="20" t="str">
        <f t="shared" si="5"/>
        <v>RM</v>
      </c>
      <c r="C320" s="11" t="s">
        <v>411</v>
      </c>
      <c r="D320" s="12" t="e">
        <f>VLOOKUP(C320,#REF!,2,0)</f>
        <v>#REF!</v>
      </c>
      <c r="E320" s="10" t="e">
        <f>VLOOKUP(C320,#REF!,4,0)</f>
        <v>#REF!</v>
      </c>
      <c r="F320" s="37" t="e">
        <f>VLOOKUP(C320,#REF!,8,0)</f>
        <v>#REF!</v>
      </c>
      <c r="G320" s="22" t="str">
        <f>IF(ISERROR(IF(VLOOKUP(C320,#REF!,2,0)&gt;0,"등록","")),"",(IF(VLOOKUP(C320,#REF!,2,0)&gt;0,"등록","")))</f>
        <v/>
      </c>
      <c r="H320" s="33" t="str">
        <f t="array" aca="1" ref="H320" ca="1">IF(ISERROR(OFFSET(#REF!,SMALL(IF(#REF!=RM시즌체크판!C320,ROW(#REF!)-20),1),)),"",(OFFSET(#REF!,SMALL(IF(#REF!=RM시즌체크판!C320,ROW(#REF!)-20),1),)))</f>
        <v/>
      </c>
      <c r="I320" s="34" t="str">
        <f t="array" aca="1" ref="I320" ca="1">IF(ISERROR(OFFSET(#REF!,SMALL(IF(#REF!=RM시즌체크판!C320,ROW(#REF!)-20),2),)),"",(OFFSET(#REF!,SMALL(IF(#REF!=RM시즌체크판!C320,ROW(#REF!)-20),2),)))</f>
        <v/>
      </c>
      <c r="J320" s="34" t="str">
        <f t="array" aca="1" ref="J320" ca="1">IF(ISERROR(OFFSET(#REF!,SMALL(IF(#REF!=RM시즌체크판!C320,ROW(#REF!)-20),3),)),"",(OFFSET(#REF!,SMALL(IF(#REF!=RM시즌체크판!C320,ROW(#REF!)-20),3),)))</f>
        <v/>
      </c>
      <c r="K320" s="34" t="str">
        <f t="array" aca="1" ref="K320" ca="1">IF(ISERROR(OFFSET(#REF!,SMALL(IF(#REF!=RM시즌체크판!C320,ROW(#REF!)-20),4),)),"",(OFFSET(#REF!,SMALL(IF(#REF!=RM시즌체크판!C320,ROW(#REF!)-20),4),)))</f>
        <v/>
      </c>
      <c r="L320" s="34" t="str">
        <f t="array" aca="1" ref="L320" ca="1">IF(ISERROR(OFFSET(#REF!,SMALL(IF(#REF!=RM시즌체크판!C320,ROW(#REF!)-20),5),)),"",(OFFSET(#REF!,SMALL(IF(#REF!=RM시즌체크판!C320,ROW(#REF!)-20),5),)))</f>
        <v/>
      </c>
      <c r="M320" s="35" t="str">
        <f t="array" aca="1" ref="M320" ca="1">IF(ISERROR(OFFSET(#REF!,SMALL(IF(#REF!=RM시즌체크판!C320,ROW(#REF!)-20),6),)),"",(OFFSET(#REF!,SMALL(IF(#REF!=RM시즌체크판!C320,ROW(#REF!)-20),6),)))</f>
        <v/>
      </c>
      <c r="N320" s="27" t="str">
        <f>IF(ISERROR(VLOOKUP(C320,모델촬영리스트!$C:$E,3,)),"",(VLOOKUP(C320,모델촬영리스트!$C:$E,3,)))</f>
        <v/>
      </c>
      <c r="O320" s="23" t="str">
        <f>IF(ISERROR(VLOOKUP(C320,배너촬영리스트!$C:$E,3,)),"",(VLOOKUP(C320,배너촬영리스트!$C:$E,3,)))</f>
        <v/>
      </c>
      <c r="P320" s="36" t="str">
        <f>IF(ISERROR(VLOOKUP(C320,배너촬영리스트!$C:$E,2,)),"",(VLOOKUP(C320,배너촬영리스트!$C:$E,2,)))</f>
        <v/>
      </c>
    </row>
    <row r="321" spans="2:16">
      <c r="B321" s="20" t="str">
        <f t="shared" si="5"/>
        <v>RM</v>
      </c>
      <c r="C321" s="11" t="s">
        <v>412</v>
      </c>
      <c r="D321" s="12" t="e">
        <f>VLOOKUP(C321,#REF!,2,0)</f>
        <v>#REF!</v>
      </c>
      <c r="E321" s="10" t="e">
        <f>VLOOKUP(C321,#REF!,4,0)</f>
        <v>#REF!</v>
      </c>
      <c r="F321" s="37" t="e">
        <f>VLOOKUP(C321,#REF!,8,0)</f>
        <v>#REF!</v>
      </c>
      <c r="G321" s="22" t="str">
        <f>IF(ISERROR(IF(VLOOKUP(C321,#REF!,2,0)&gt;0,"등록","")),"",(IF(VLOOKUP(C321,#REF!,2,0)&gt;0,"등록","")))</f>
        <v/>
      </c>
      <c r="H321" s="33" t="str">
        <f t="array" aca="1" ref="H321" ca="1">IF(ISERROR(OFFSET(#REF!,SMALL(IF(#REF!=RM시즌체크판!C321,ROW(#REF!)-20),1),)),"",(OFFSET(#REF!,SMALL(IF(#REF!=RM시즌체크판!C321,ROW(#REF!)-20),1),)))</f>
        <v/>
      </c>
      <c r="I321" s="34" t="str">
        <f t="array" aca="1" ref="I321" ca="1">IF(ISERROR(OFFSET(#REF!,SMALL(IF(#REF!=RM시즌체크판!C321,ROW(#REF!)-20),2),)),"",(OFFSET(#REF!,SMALL(IF(#REF!=RM시즌체크판!C321,ROW(#REF!)-20),2),)))</f>
        <v/>
      </c>
      <c r="J321" s="34" t="str">
        <f t="array" aca="1" ref="J321" ca="1">IF(ISERROR(OFFSET(#REF!,SMALL(IF(#REF!=RM시즌체크판!C321,ROW(#REF!)-20),3),)),"",(OFFSET(#REF!,SMALL(IF(#REF!=RM시즌체크판!C321,ROW(#REF!)-20),3),)))</f>
        <v/>
      </c>
      <c r="K321" s="34" t="str">
        <f t="array" aca="1" ref="K321" ca="1">IF(ISERROR(OFFSET(#REF!,SMALL(IF(#REF!=RM시즌체크판!C321,ROW(#REF!)-20),4),)),"",(OFFSET(#REF!,SMALL(IF(#REF!=RM시즌체크판!C321,ROW(#REF!)-20),4),)))</f>
        <v/>
      </c>
      <c r="L321" s="34" t="str">
        <f t="array" aca="1" ref="L321" ca="1">IF(ISERROR(OFFSET(#REF!,SMALL(IF(#REF!=RM시즌체크판!C321,ROW(#REF!)-20),5),)),"",(OFFSET(#REF!,SMALL(IF(#REF!=RM시즌체크판!C321,ROW(#REF!)-20),5),)))</f>
        <v/>
      </c>
      <c r="M321" s="35" t="str">
        <f t="array" aca="1" ref="M321" ca="1">IF(ISERROR(OFFSET(#REF!,SMALL(IF(#REF!=RM시즌체크판!C321,ROW(#REF!)-20),6),)),"",(OFFSET(#REF!,SMALL(IF(#REF!=RM시즌체크판!C321,ROW(#REF!)-20),6),)))</f>
        <v/>
      </c>
      <c r="N321" s="27" t="str">
        <f>IF(ISERROR(VLOOKUP(C321,모델촬영리스트!$C:$E,3,)),"",(VLOOKUP(C321,모델촬영리스트!$C:$E,3,)))</f>
        <v/>
      </c>
      <c r="O321" s="23" t="str">
        <f>IF(ISERROR(VLOOKUP(C321,배너촬영리스트!$C:$E,3,)),"",(VLOOKUP(C321,배너촬영리스트!$C:$E,3,)))</f>
        <v/>
      </c>
      <c r="P321" s="36" t="str">
        <f>IF(ISERROR(VLOOKUP(C321,배너촬영리스트!$C:$E,2,)),"",(VLOOKUP(C321,배너촬영리스트!$C:$E,2,)))</f>
        <v/>
      </c>
    </row>
    <row r="322" spans="2:16">
      <c r="B322" s="20" t="str">
        <f t="shared" si="5"/>
        <v>RM</v>
      </c>
      <c r="C322" s="11" t="s">
        <v>413</v>
      </c>
      <c r="D322" s="12" t="e">
        <f>VLOOKUP(C322,#REF!,2,0)</f>
        <v>#REF!</v>
      </c>
      <c r="E322" s="10" t="e">
        <f>VLOOKUP(C322,#REF!,4,0)</f>
        <v>#REF!</v>
      </c>
      <c r="F322" s="37" t="e">
        <f>VLOOKUP(C322,#REF!,8,0)</f>
        <v>#REF!</v>
      </c>
      <c r="G322" s="22" t="str">
        <f>IF(ISERROR(IF(VLOOKUP(C322,#REF!,2,0)&gt;0,"등록","")),"",(IF(VLOOKUP(C322,#REF!,2,0)&gt;0,"등록","")))</f>
        <v/>
      </c>
      <c r="H322" s="33" t="str">
        <f t="array" aca="1" ref="H322" ca="1">IF(ISERROR(OFFSET(#REF!,SMALL(IF(#REF!=RM시즌체크판!C322,ROW(#REF!)-20),1),)),"",(OFFSET(#REF!,SMALL(IF(#REF!=RM시즌체크판!C322,ROW(#REF!)-20),1),)))</f>
        <v/>
      </c>
      <c r="I322" s="34" t="str">
        <f t="array" aca="1" ref="I322" ca="1">IF(ISERROR(OFFSET(#REF!,SMALL(IF(#REF!=RM시즌체크판!C322,ROW(#REF!)-20),2),)),"",(OFFSET(#REF!,SMALL(IF(#REF!=RM시즌체크판!C322,ROW(#REF!)-20),2),)))</f>
        <v/>
      </c>
      <c r="J322" s="34" t="str">
        <f t="array" aca="1" ref="J322" ca="1">IF(ISERROR(OFFSET(#REF!,SMALL(IF(#REF!=RM시즌체크판!C322,ROW(#REF!)-20),3),)),"",(OFFSET(#REF!,SMALL(IF(#REF!=RM시즌체크판!C322,ROW(#REF!)-20),3),)))</f>
        <v/>
      </c>
      <c r="K322" s="34" t="str">
        <f t="array" aca="1" ref="K322" ca="1">IF(ISERROR(OFFSET(#REF!,SMALL(IF(#REF!=RM시즌체크판!C322,ROW(#REF!)-20),4),)),"",(OFFSET(#REF!,SMALL(IF(#REF!=RM시즌체크판!C322,ROW(#REF!)-20),4),)))</f>
        <v/>
      </c>
      <c r="L322" s="34" t="str">
        <f t="array" aca="1" ref="L322" ca="1">IF(ISERROR(OFFSET(#REF!,SMALL(IF(#REF!=RM시즌체크판!C322,ROW(#REF!)-20),5),)),"",(OFFSET(#REF!,SMALL(IF(#REF!=RM시즌체크판!C322,ROW(#REF!)-20),5),)))</f>
        <v/>
      </c>
      <c r="M322" s="35" t="str">
        <f t="array" aca="1" ref="M322" ca="1">IF(ISERROR(OFFSET(#REF!,SMALL(IF(#REF!=RM시즌체크판!C322,ROW(#REF!)-20),6),)),"",(OFFSET(#REF!,SMALL(IF(#REF!=RM시즌체크판!C322,ROW(#REF!)-20),6),)))</f>
        <v/>
      </c>
      <c r="N322" s="27" t="str">
        <f>IF(ISERROR(VLOOKUP(C322,모델촬영리스트!$C:$E,3,)),"",(VLOOKUP(C322,모델촬영리스트!$C:$E,3,)))</f>
        <v/>
      </c>
      <c r="O322" s="23" t="str">
        <f>IF(ISERROR(VLOOKUP(C322,배너촬영리스트!$C:$E,3,)),"",(VLOOKUP(C322,배너촬영리스트!$C:$E,3,)))</f>
        <v/>
      </c>
      <c r="P322" s="36" t="str">
        <f>IF(ISERROR(VLOOKUP(C322,배너촬영리스트!$C:$E,2,)),"",(VLOOKUP(C322,배너촬영리스트!$C:$E,2,)))</f>
        <v/>
      </c>
    </row>
    <row r="323" spans="2:16">
      <c r="B323" s="20" t="str">
        <f t="shared" si="5"/>
        <v>RM</v>
      </c>
      <c r="C323" s="11" t="s">
        <v>148</v>
      </c>
      <c r="D323" s="12" t="e">
        <f>VLOOKUP(C323,#REF!,2,0)</f>
        <v>#REF!</v>
      </c>
      <c r="E323" s="10" t="e">
        <f>VLOOKUP(C323,#REF!,4,0)</f>
        <v>#REF!</v>
      </c>
      <c r="F323" s="37" t="e">
        <f>VLOOKUP(C323,#REF!,8,0)</f>
        <v>#REF!</v>
      </c>
      <c r="G323" s="22" t="str">
        <f>IF(ISERROR(IF(VLOOKUP(C323,#REF!,2,0)&gt;0,"등록","")),"",(IF(VLOOKUP(C323,#REF!,2,0)&gt;0,"등록","")))</f>
        <v/>
      </c>
      <c r="H323" s="33" t="str">
        <f t="array" aca="1" ref="H323" ca="1">IF(ISERROR(OFFSET(#REF!,SMALL(IF(#REF!=RM시즌체크판!C323,ROW(#REF!)-20),1),)),"",(OFFSET(#REF!,SMALL(IF(#REF!=RM시즌체크판!C323,ROW(#REF!)-20),1),)))</f>
        <v/>
      </c>
      <c r="I323" s="34" t="str">
        <f t="array" aca="1" ref="I323" ca="1">IF(ISERROR(OFFSET(#REF!,SMALL(IF(#REF!=RM시즌체크판!C323,ROW(#REF!)-20),2),)),"",(OFFSET(#REF!,SMALL(IF(#REF!=RM시즌체크판!C323,ROW(#REF!)-20),2),)))</f>
        <v/>
      </c>
      <c r="J323" s="34" t="str">
        <f t="array" aca="1" ref="J323" ca="1">IF(ISERROR(OFFSET(#REF!,SMALL(IF(#REF!=RM시즌체크판!C323,ROW(#REF!)-20),3),)),"",(OFFSET(#REF!,SMALL(IF(#REF!=RM시즌체크판!C323,ROW(#REF!)-20),3),)))</f>
        <v/>
      </c>
      <c r="K323" s="34" t="str">
        <f t="array" aca="1" ref="K323" ca="1">IF(ISERROR(OFFSET(#REF!,SMALL(IF(#REF!=RM시즌체크판!C323,ROW(#REF!)-20),4),)),"",(OFFSET(#REF!,SMALL(IF(#REF!=RM시즌체크판!C323,ROW(#REF!)-20),4),)))</f>
        <v/>
      </c>
      <c r="L323" s="34" t="str">
        <f t="array" aca="1" ref="L323" ca="1">IF(ISERROR(OFFSET(#REF!,SMALL(IF(#REF!=RM시즌체크판!C323,ROW(#REF!)-20),5),)),"",(OFFSET(#REF!,SMALL(IF(#REF!=RM시즌체크판!C323,ROW(#REF!)-20),5),)))</f>
        <v/>
      </c>
      <c r="M323" s="35" t="str">
        <f t="array" aca="1" ref="M323" ca="1">IF(ISERROR(OFFSET(#REF!,SMALL(IF(#REF!=RM시즌체크판!C323,ROW(#REF!)-20),6),)),"",(OFFSET(#REF!,SMALL(IF(#REF!=RM시즌체크판!C323,ROW(#REF!)-20),6),)))</f>
        <v/>
      </c>
      <c r="N323" s="27" t="str">
        <f>IF(ISERROR(VLOOKUP(C323,모델촬영리스트!$C:$E,3,)),"",(VLOOKUP(C323,모델촬영리스트!$C:$E,3,)))</f>
        <v/>
      </c>
      <c r="O323" s="23" t="str">
        <f>IF(ISERROR(VLOOKUP(C323,배너촬영리스트!$C:$E,3,)),"",(VLOOKUP(C323,배너촬영리스트!$C:$E,3,)))</f>
        <v/>
      </c>
      <c r="P323" s="36" t="str">
        <f>IF(ISERROR(VLOOKUP(C323,배너촬영리스트!$C:$E,2,)),"",(VLOOKUP(C323,배너촬영리스트!$C:$E,2,)))</f>
        <v/>
      </c>
    </row>
    <row r="324" spans="2:16">
      <c r="B324" s="20" t="str">
        <f t="shared" si="5"/>
        <v>RM</v>
      </c>
      <c r="C324" s="11" t="s">
        <v>149</v>
      </c>
      <c r="D324" s="12" t="e">
        <f>VLOOKUP(C324,#REF!,2,0)</f>
        <v>#REF!</v>
      </c>
      <c r="E324" s="10" t="e">
        <f>VLOOKUP(C324,#REF!,4,0)</f>
        <v>#REF!</v>
      </c>
      <c r="F324" s="37" t="e">
        <f>VLOOKUP(C324,#REF!,8,0)</f>
        <v>#REF!</v>
      </c>
      <c r="G324" s="22" t="str">
        <f>IF(ISERROR(IF(VLOOKUP(C324,#REF!,2,0)&gt;0,"등록","")),"",(IF(VLOOKUP(C324,#REF!,2,0)&gt;0,"등록","")))</f>
        <v/>
      </c>
      <c r="H324" s="33" t="str">
        <f t="array" aca="1" ref="H324" ca="1">IF(ISERROR(OFFSET(#REF!,SMALL(IF(#REF!=RM시즌체크판!C324,ROW(#REF!)-20),1),)),"",(OFFSET(#REF!,SMALL(IF(#REF!=RM시즌체크판!C324,ROW(#REF!)-20),1),)))</f>
        <v/>
      </c>
      <c r="I324" s="34" t="str">
        <f t="array" aca="1" ref="I324" ca="1">IF(ISERROR(OFFSET(#REF!,SMALL(IF(#REF!=RM시즌체크판!C324,ROW(#REF!)-20),2),)),"",(OFFSET(#REF!,SMALL(IF(#REF!=RM시즌체크판!C324,ROW(#REF!)-20),2),)))</f>
        <v/>
      </c>
      <c r="J324" s="34" t="str">
        <f t="array" aca="1" ref="J324" ca="1">IF(ISERROR(OFFSET(#REF!,SMALL(IF(#REF!=RM시즌체크판!C324,ROW(#REF!)-20),3),)),"",(OFFSET(#REF!,SMALL(IF(#REF!=RM시즌체크판!C324,ROW(#REF!)-20),3),)))</f>
        <v/>
      </c>
      <c r="K324" s="34" t="str">
        <f t="array" aca="1" ref="K324" ca="1">IF(ISERROR(OFFSET(#REF!,SMALL(IF(#REF!=RM시즌체크판!C324,ROW(#REF!)-20),4),)),"",(OFFSET(#REF!,SMALL(IF(#REF!=RM시즌체크판!C324,ROW(#REF!)-20),4),)))</f>
        <v/>
      </c>
      <c r="L324" s="34" t="str">
        <f t="array" aca="1" ref="L324" ca="1">IF(ISERROR(OFFSET(#REF!,SMALL(IF(#REF!=RM시즌체크판!C324,ROW(#REF!)-20),5),)),"",(OFFSET(#REF!,SMALL(IF(#REF!=RM시즌체크판!C324,ROW(#REF!)-20),5),)))</f>
        <v/>
      </c>
      <c r="M324" s="35" t="str">
        <f t="array" aca="1" ref="M324" ca="1">IF(ISERROR(OFFSET(#REF!,SMALL(IF(#REF!=RM시즌체크판!C324,ROW(#REF!)-20),6),)),"",(OFFSET(#REF!,SMALL(IF(#REF!=RM시즌체크판!C324,ROW(#REF!)-20),6),)))</f>
        <v/>
      </c>
      <c r="N324" s="27" t="str">
        <f>IF(ISERROR(VLOOKUP(C324,모델촬영리스트!$C:$E,3,)),"",(VLOOKUP(C324,모델촬영리스트!$C:$E,3,)))</f>
        <v/>
      </c>
      <c r="O324" s="23" t="str">
        <f>IF(ISERROR(VLOOKUP(C324,배너촬영리스트!$C:$E,3,)),"",(VLOOKUP(C324,배너촬영리스트!$C:$E,3,)))</f>
        <v/>
      </c>
      <c r="P324" s="36" t="str">
        <f>IF(ISERROR(VLOOKUP(C324,배너촬영리스트!$C:$E,2,)),"",(VLOOKUP(C324,배너촬영리스트!$C:$E,2,)))</f>
        <v/>
      </c>
    </row>
    <row r="325" spans="2:16">
      <c r="B325" s="20" t="str">
        <f t="shared" si="5"/>
        <v>RM</v>
      </c>
      <c r="C325" s="11" t="s">
        <v>150</v>
      </c>
      <c r="D325" s="12" t="e">
        <f>VLOOKUP(C325,#REF!,2,0)</f>
        <v>#REF!</v>
      </c>
      <c r="E325" s="10" t="e">
        <f>VLOOKUP(C325,#REF!,4,0)</f>
        <v>#REF!</v>
      </c>
      <c r="F325" s="37" t="e">
        <f>VLOOKUP(C325,#REF!,8,0)</f>
        <v>#REF!</v>
      </c>
      <c r="G325" s="22" t="str">
        <f>IF(ISERROR(IF(VLOOKUP(C325,#REF!,2,0)&gt;0,"등록","")),"",(IF(VLOOKUP(C325,#REF!,2,0)&gt;0,"등록","")))</f>
        <v/>
      </c>
      <c r="H325" s="33" t="str">
        <f t="array" aca="1" ref="H325" ca="1">IF(ISERROR(OFFSET(#REF!,SMALL(IF(#REF!=RM시즌체크판!C325,ROW(#REF!)-20),1),)),"",(OFFSET(#REF!,SMALL(IF(#REF!=RM시즌체크판!C325,ROW(#REF!)-20),1),)))</f>
        <v/>
      </c>
      <c r="I325" s="34" t="str">
        <f t="array" aca="1" ref="I325" ca="1">IF(ISERROR(OFFSET(#REF!,SMALL(IF(#REF!=RM시즌체크판!C325,ROW(#REF!)-20),2),)),"",(OFFSET(#REF!,SMALL(IF(#REF!=RM시즌체크판!C325,ROW(#REF!)-20),2),)))</f>
        <v/>
      </c>
      <c r="J325" s="34" t="str">
        <f t="array" aca="1" ref="J325" ca="1">IF(ISERROR(OFFSET(#REF!,SMALL(IF(#REF!=RM시즌체크판!C325,ROW(#REF!)-20),3),)),"",(OFFSET(#REF!,SMALL(IF(#REF!=RM시즌체크판!C325,ROW(#REF!)-20),3),)))</f>
        <v/>
      </c>
      <c r="K325" s="34" t="str">
        <f t="array" aca="1" ref="K325" ca="1">IF(ISERROR(OFFSET(#REF!,SMALL(IF(#REF!=RM시즌체크판!C325,ROW(#REF!)-20),4),)),"",(OFFSET(#REF!,SMALL(IF(#REF!=RM시즌체크판!C325,ROW(#REF!)-20),4),)))</f>
        <v/>
      </c>
      <c r="L325" s="34" t="str">
        <f t="array" aca="1" ref="L325" ca="1">IF(ISERROR(OFFSET(#REF!,SMALL(IF(#REF!=RM시즌체크판!C325,ROW(#REF!)-20),5),)),"",(OFFSET(#REF!,SMALL(IF(#REF!=RM시즌체크판!C325,ROW(#REF!)-20),5),)))</f>
        <v/>
      </c>
      <c r="M325" s="35" t="str">
        <f t="array" aca="1" ref="M325" ca="1">IF(ISERROR(OFFSET(#REF!,SMALL(IF(#REF!=RM시즌체크판!C325,ROW(#REF!)-20),6),)),"",(OFFSET(#REF!,SMALL(IF(#REF!=RM시즌체크판!C325,ROW(#REF!)-20),6),)))</f>
        <v/>
      </c>
      <c r="N325" s="27" t="str">
        <f>IF(ISERROR(VLOOKUP(C325,모델촬영리스트!$C:$E,3,)),"",(VLOOKUP(C325,모델촬영리스트!$C:$E,3,)))</f>
        <v/>
      </c>
      <c r="O325" s="23" t="str">
        <f>IF(ISERROR(VLOOKUP(C325,배너촬영리스트!$C:$E,3,)),"",(VLOOKUP(C325,배너촬영리스트!$C:$E,3,)))</f>
        <v/>
      </c>
      <c r="P325" s="36" t="str">
        <f>IF(ISERROR(VLOOKUP(C325,배너촬영리스트!$C:$E,2,)),"",(VLOOKUP(C325,배너촬영리스트!$C:$E,2,)))</f>
        <v/>
      </c>
    </row>
    <row r="326" spans="2:16">
      <c r="B326" s="20" t="str">
        <f t="shared" si="5"/>
        <v>RM</v>
      </c>
      <c r="C326" s="11" t="s">
        <v>151</v>
      </c>
      <c r="D326" s="12" t="e">
        <f>VLOOKUP(C326,#REF!,2,0)</f>
        <v>#REF!</v>
      </c>
      <c r="E326" s="10" t="e">
        <f>VLOOKUP(C326,#REF!,4,0)</f>
        <v>#REF!</v>
      </c>
      <c r="F326" s="37" t="e">
        <f>VLOOKUP(C326,#REF!,8,0)</f>
        <v>#REF!</v>
      </c>
      <c r="G326" s="22" t="str">
        <f>IF(ISERROR(IF(VLOOKUP(C326,#REF!,2,0)&gt;0,"등록","")),"",(IF(VLOOKUP(C326,#REF!,2,0)&gt;0,"등록","")))</f>
        <v/>
      </c>
      <c r="H326" s="33" t="str">
        <f t="array" aca="1" ref="H326" ca="1">IF(ISERROR(OFFSET(#REF!,SMALL(IF(#REF!=RM시즌체크판!C326,ROW(#REF!)-20),1),)),"",(OFFSET(#REF!,SMALL(IF(#REF!=RM시즌체크판!C326,ROW(#REF!)-20),1),)))</f>
        <v/>
      </c>
      <c r="I326" s="34" t="str">
        <f t="array" aca="1" ref="I326" ca="1">IF(ISERROR(OFFSET(#REF!,SMALL(IF(#REF!=RM시즌체크판!C326,ROW(#REF!)-20),2),)),"",(OFFSET(#REF!,SMALL(IF(#REF!=RM시즌체크판!C326,ROW(#REF!)-20),2),)))</f>
        <v/>
      </c>
      <c r="J326" s="34" t="str">
        <f t="array" aca="1" ref="J326" ca="1">IF(ISERROR(OFFSET(#REF!,SMALL(IF(#REF!=RM시즌체크판!C326,ROW(#REF!)-20),3),)),"",(OFFSET(#REF!,SMALL(IF(#REF!=RM시즌체크판!C326,ROW(#REF!)-20),3),)))</f>
        <v/>
      </c>
      <c r="K326" s="34" t="str">
        <f t="array" aca="1" ref="K326" ca="1">IF(ISERROR(OFFSET(#REF!,SMALL(IF(#REF!=RM시즌체크판!C326,ROW(#REF!)-20),4),)),"",(OFFSET(#REF!,SMALL(IF(#REF!=RM시즌체크판!C326,ROW(#REF!)-20),4),)))</f>
        <v/>
      </c>
      <c r="L326" s="34" t="str">
        <f t="array" aca="1" ref="L326" ca="1">IF(ISERROR(OFFSET(#REF!,SMALL(IF(#REF!=RM시즌체크판!C326,ROW(#REF!)-20),5),)),"",(OFFSET(#REF!,SMALL(IF(#REF!=RM시즌체크판!C326,ROW(#REF!)-20),5),)))</f>
        <v/>
      </c>
      <c r="M326" s="35" t="str">
        <f t="array" aca="1" ref="M326" ca="1">IF(ISERROR(OFFSET(#REF!,SMALL(IF(#REF!=RM시즌체크판!C326,ROW(#REF!)-20),6),)),"",(OFFSET(#REF!,SMALL(IF(#REF!=RM시즌체크판!C326,ROW(#REF!)-20),6),)))</f>
        <v/>
      </c>
      <c r="N326" s="27" t="str">
        <f>IF(ISERROR(VLOOKUP(C326,모델촬영리스트!$C:$E,3,)),"",(VLOOKUP(C326,모델촬영리스트!$C:$E,3,)))</f>
        <v/>
      </c>
      <c r="O326" s="23" t="str">
        <f>IF(ISERROR(VLOOKUP(C326,배너촬영리스트!$C:$E,3,)),"",(VLOOKUP(C326,배너촬영리스트!$C:$E,3,)))</f>
        <v/>
      </c>
      <c r="P326" s="36" t="str">
        <f>IF(ISERROR(VLOOKUP(C326,배너촬영리스트!$C:$E,2,)),"",(VLOOKUP(C326,배너촬영리스트!$C:$E,2,)))</f>
        <v/>
      </c>
    </row>
    <row r="327" spans="2:16">
      <c r="B327" s="20" t="str">
        <f t="shared" si="5"/>
        <v>RM</v>
      </c>
      <c r="C327" s="11" t="s">
        <v>169</v>
      </c>
      <c r="D327" s="12" t="e">
        <f>VLOOKUP(C327,#REF!,2,0)</f>
        <v>#REF!</v>
      </c>
      <c r="E327" s="10" t="e">
        <f>VLOOKUP(C327,#REF!,4,0)</f>
        <v>#REF!</v>
      </c>
      <c r="F327" s="37" t="e">
        <f>VLOOKUP(C327,#REF!,8,0)</f>
        <v>#REF!</v>
      </c>
      <c r="G327" s="22" t="str">
        <f>IF(ISERROR(IF(VLOOKUP(C327,#REF!,2,0)&gt;0,"등록","")),"",(IF(VLOOKUP(C327,#REF!,2,0)&gt;0,"등록","")))</f>
        <v/>
      </c>
      <c r="H327" s="33" t="str">
        <f t="array" aca="1" ref="H327" ca="1">IF(ISERROR(OFFSET(#REF!,SMALL(IF(#REF!=RM시즌체크판!C327,ROW(#REF!)-20),1),)),"",(OFFSET(#REF!,SMALL(IF(#REF!=RM시즌체크판!C327,ROW(#REF!)-20),1),)))</f>
        <v/>
      </c>
      <c r="I327" s="34" t="str">
        <f t="array" aca="1" ref="I327" ca="1">IF(ISERROR(OFFSET(#REF!,SMALL(IF(#REF!=RM시즌체크판!C327,ROW(#REF!)-20),2),)),"",(OFFSET(#REF!,SMALL(IF(#REF!=RM시즌체크판!C327,ROW(#REF!)-20),2),)))</f>
        <v/>
      </c>
      <c r="J327" s="34" t="str">
        <f t="array" aca="1" ref="J327" ca="1">IF(ISERROR(OFFSET(#REF!,SMALL(IF(#REF!=RM시즌체크판!C327,ROW(#REF!)-20),3),)),"",(OFFSET(#REF!,SMALL(IF(#REF!=RM시즌체크판!C327,ROW(#REF!)-20),3),)))</f>
        <v/>
      </c>
      <c r="K327" s="34" t="str">
        <f t="array" aca="1" ref="K327" ca="1">IF(ISERROR(OFFSET(#REF!,SMALL(IF(#REF!=RM시즌체크판!C327,ROW(#REF!)-20),4),)),"",(OFFSET(#REF!,SMALL(IF(#REF!=RM시즌체크판!C327,ROW(#REF!)-20),4),)))</f>
        <v/>
      </c>
      <c r="L327" s="34" t="str">
        <f t="array" aca="1" ref="L327" ca="1">IF(ISERROR(OFFSET(#REF!,SMALL(IF(#REF!=RM시즌체크판!C327,ROW(#REF!)-20),5),)),"",(OFFSET(#REF!,SMALL(IF(#REF!=RM시즌체크판!C327,ROW(#REF!)-20),5),)))</f>
        <v/>
      </c>
      <c r="M327" s="35" t="str">
        <f t="array" aca="1" ref="M327" ca="1">IF(ISERROR(OFFSET(#REF!,SMALL(IF(#REF!=RM시즌체크판!C327,ROW(#REF!)-20),6),)),"",(OFFSET(#REF!,SMALL(IF(#REF!=RM시즌체크판!C327,ROW(#REF!)-20),6),)))</f>
        <v/>
      </c>
      <c r="N327" s="27" t="str">
        <f>IF(ISERROR(VLOOKUP(C327,모델촬영리스트!$C:$E,3,)),"",(VLOOKUP(C327,모델촬영리스트!$C:$E,3,)))</f>
        <v/>
      </c>
      <c r="O327" s="23" t="str">
        <f>IF(ISERROR(VLOOKUP(C327,배너촬영리스트!$C:$E,3,)),"",(VLOOKUP(C327,배너촬영리스트!$C:$E,3,)))</f>
        <v/>
      </c>
      <c r="P327" s="36" t="str">
        <f>IF(ISERROR(VLOOKUP(C327,배너촬영리스트!$C:$E,2,)),"",(VLOOKUP(C327,배너촬영리스트!$C:$E,2,)))</f>
        <v/>
      </c>
    </row>
    <row r="328" spans="2:16">
      <c r="B328" s="20" t="str">
        <f t="shared" si="5"/>
        <v>RM</v>
      </c>
      <c r="C328" s="11" t="s">
        <v>170</v>
      </c>
      <c r="D328" s="12" t="e">
        <f>VLOOKUP(C328,#REF!,2,0)</f>
        <v>#REF!</v>
      </c>
      <c r="E328" s="10" t="e">
        <f>VLOOKUP(C328,#REF!,4,0)</f>
        <v>#REF!</v>
      </c>
      <c r="F328" s="37" t="e">
        <f>VLOOKUP(C328,#REF!,8,0)</f>
        <v>#REF!</v>
      </c>
      <c r="G328" s="22" t="str">
        <f>IF(ISERROR(IF(VLOOKUP(C328,#REF!,2,0)&gt;0,"등록","")),"",(IF(VLOOKUP(C328,#REF!,2,0)&gt;0,"등록","")))</f>
        <v/>
      </c>
      <c r="H328" s="33" t="str">
        <f t="array" aca="1" ref="H328" ca="1">IF(ISERROR(OFFSET(#REF!,SMALL(IF(#REF!=RM시즌체크판!C328,ROW(#REF!)-20),1),)),"",(OFFSET(#REF!,SMALL(IF(#REF!=RM시즌체크판!C328,ROW(#REF!)-20),1),)))</f>
        <v/>
      </c>
      <c r="I328" s="34" t="str">
        <f t="array" aca="1" ref="I328" ca="1">IF(ISERROR(OFFSET(#REF!,SMALL(IF(#REF!=RM시즌체크판!C328,ROW(#REF!)-20),2),)),"",(OFFSET(#REF!,SMALL(IF(#REF!=RM시즌체크판!C328,ROW(#REF!)-20),2),)))</f>
        <v/>
      </c>
      <c r="J328" s="34" t="str">
        <f t="array" aca="1" ref="J328" ca="1">IF(ISERROR(OFFSET(#REF!,SMALL(IF(#REF!=RM시즌체크판!C328,ROW(#REF!)-20),3),)),"",(OFFSET(#REF!,SMALL(IF(#REF!=RM시즌체크판!C328,ROW(#REF!)-20),3),)))</f>
        <v/>
      </c>
      <c r="K328" s="34" t="str">
        <f t="array" aca="1" ref="K328" ca="1">IF(ISERROR(OFFSET(#REF!,SMALL(IF(#REF!=RM시즌체크판!C328,ROW(#REF!)-20),4),)),"",(OFFSET(#REF!,SMALL(IF(#REF!=RM시즌체크판!C328,ROW(#REF!)-20),4),)))</f>
        <v/>
      </c>
      <c r="L328" s="34" t="str">
        <f t="array" aca="1" ref="L328" ca="1">IF(ISERROR(OFFSET(#REF!,SMALL(IF(#REF!=RM시즌체크판!C328,ROW(#REF!)-20),5),)),"",(OFFSET(#REF!,SMALL(IF(#REF!=RM시즌체크판!C328,ROW(#REF!)-20),5),)))</f>
        <v/>
      </c>
      <c r="M328" s="35" t="str">
        <f t="array" aca="1" ref="M328" ca="1">IF(ISERROR(OFFSET(#REF!,SMALL(IF(#REF!=RM시즌체크판!C328,ROW(#REF!)-20),6),)),"",(OFFSET(#REF!,SMALL(IF(#REF!=RM시즌체크판!C328,ROW(#REF!)-20),6),)))</f>
        <v/>
      </c>
      <c r="N328" s="27" t="str">
        <f>IF(ISERROR(VLOOKUP(C328,모델촬영리스트!$C:$E,3,)),"",(VLOOKUP(C328,모델촬영리스트!$C:$E,3,)))</f>
        <v/>
      </c>
      <c r="O328" s="23" t="str">
        <f>IF(ISERROR(VLOOKUP(C328,배너촬영리스트!$C:$E,3,)),"",(VLOOKUP(C328,배너촬영리스트!$C:$E,3,)))</f>
        <v/>
      </c>
      <c r="P328" s="36" t="str">
        <f>IF(ISERROR(VLOOKUP(C328,배너촬영리스트!$C:$E,2,)),"",(VLOOKUP(C328,배너촬영리스트!$C:$E,2,)))</f>
        <v/>
      </c>
    </row>
    <row r="329" spans="2:16">
      <c r="B329" s="20" t="str">
        <f t="shared" si="5"/>
        <v>RM</v>
      </c>
      <c r="C329" s="11" t="s">
        <v>171</v>
      </c>
      <c r="D329" s="12" t="e">
        <f>VLOOKUP(C329,#REF!,2,0)</f>
        <v>#REF!</v>
      </c>
      <c r="E329" s="10" t="e">
        <f>VLOOKUP(C329,#REF!,4,0)</f>
        <v>#REF!</v>
      </c>
      <c r="F329" s="37" t="e">
        <f>VLOOKUP(C329,#REF!,8,0)</f>
        <v>#REF!</v>
      </c>
      <c r="G329" s="22" t="str">
        <f>IF(ISERROR(IF(VLOOKUP(C329,#REF!,2,0)&gt;0,"등록","")),"",(IF(VLOOKUP(C329,#REF!,2,0)&gt;0,"등록","")))</f>
        <v/>
      </c>
      <c r="H329" s="33" t="str">
        <f t="array" aca="1" ref="H329" ca="1">IF(ISERROR(OFFSET(#REF!,SMALL(IF(#REF!=RM시즌체크판!C329,ROW(#REF!)-20),1),)),"",(OFFSET(#REF!,SMALL(IF(#REF!=RM시즌체크판!C329,ROW(#REF!)-20),1),)))</f>
        <v/>
      </c>
      <c r="I329" s="34" t="str">
        <f t="array" aca="1" ref="I329" ca="1">IF(ISERROR(OFFSET(#REF!,SMALL(IF(#REF!=RM시즌체크판!C329,ROW(#REF!)-20),2),)),"",(OFFSET(#REF!,SMALL(IF(#REF!=RM시즌체크판!C329,ROW(#REF!)-20),2),)))</f>
        <v/>
      </c>
      <c r="J329" s="34" t="str">
        <f t="array" aca="1" ref="J329" ca="1">IF(ISERROR(OFFSET(#REF!,SMALL(IF(#REF!=RM시즌체크판!C329,ROW(#REF!)-20),3),)),"",(OFFSET(#REF!,SMALL(IF(#REF!=RM시즌체크판!C329,ROW(#REF!)-20),3),)))</f>
        <v/>
      </c>
      <c r="K329" s="34" t="str">
        <f t="array" aca="1" ref="K329" ca="1">IF(ISERROR(OFFSET(#REF!,SMALL(IF(#REF!=RM시즌체크판!C329,ROW(#REF!)-20),4),)),"",(OFFSET(#REF!,SMALL(IF(#REF!=RM시즌체크판!C329,ROW(#REF!)-20),4),)))</f>
        <v/>
      </c>
      <c r="L329" s="34" t="str">
        <f t="array" aca="1" ref="L329" ca="1">IF(ISERROR(OFFSET(#REF!,SMALL(IF(#REF!=RM시즌체크판!C329,ROW(#REF!)-20),5),)),"",(OFFSET(#REF!,SMALL(IF(#REF!=RM시즌체크판!C329,ROW(#REF!)-20),5),)))</f>
        <v/>
      </c>
      <c r="M329" s="35" t="str">
        <f t="array" aca="1" ref="M329" ca="1">IF(ISERROR(OFFSET(#REF!,SMALL(IF(#REF!=RM시즌체크판!C329,ROW(#REF!)-20),6),)),"",(OFFSET(#REF!,SMALL(IF(#REF!=RM시즌체크판!C329,ROW(#REF!)-20),6),)))</f>
        <v/>
      </c>
      <c r="N329" s="27" t="str">
        <f>IF(ISERROR(VLOOKUP(C329,모델촬영리스트!$C:$E,3,)),"",(VLOOKUP(C329,모델촬영리스트!$C:$E,3,)))</f>
        <v/>
      </c>
      <c r="O329" s="23" t="str">
        <f>IF(ISERROR(VLOOKUP(C329,배너촬영리스트!$C:$E,3,)),"",(VLOOKUP(C329,배너촬영리스트!$C:$E,3,)))</f>
        <v/>
      </c>
      <c r="P329" s="36" t="str">
        <f>IF(ISERROR(VLOOKUP(C329,배너촬영리스트!$C:$E,2,)),"",(VLOOKUP(C329,배너촬영리스트!$C:$E,2,)))</f>
        <v/>
      </c>
    </row>
    <row r="330" spans="2:16">
      <c r="B330" s="20" t="str">
        <f t="shared" si="5"/>
        <v>RM</v>
      </c>
      <c r="C330" s="11" t="s">
        <v>191</v>
      </c>
      <c r="D330" s="12" t="e">
        <f>VLOOKUP(C330,#REF!,2,0)</f>
        <v>#REF!</v>
      </c>
      <c r="E330" s="10" t="e">
        <f>VLOOKUP(C330,#REF!,4,0)</f>
        <v>#REF!</v>
      </c>
      <c r="F330" s="37" t="e">
        <f>VLOOKUP(C330,#REF!,8,0)</f>
        <v>#REF!</v>
      </c>
      <c r="G330" s="22" t="str">
        <f>IF(ISERROR(IF(VLOOKUP(C330,#REF!,2,0)&gt;0,"등록","")),"",(IF(VLOOKUP(C330,#REF!,2,0)&gt;0,"등록","")))</f>
        <v/>
      </c>
      <c r="H330" s="33" t="str">
        <f t="array" aca="1" ref="H330" ca="1">IF(ISERROR(OFFSET(#REF!,SMALL(IF(#REF!=RM시즌체크판!C330,ROW(#REF!)-20),1),)),"",(OFFSET(#REF!,SMALL(IF(#REF!=RM시즌체크판!C330,ROW(#REF!)-20),1),)))</f>
        <v/>
      </c>
      <c r="I330" s="34" t="str">
        <f t="array" aca="1" ref="I330" ca="1">IF(ISERROR(OFFSET(#REF!,SMALL(IF(#REF!=RM시즌체크판!C330,ROW(#REF!)-20),2),)),"",(OFFSET(#REF!,SMALL(IF(#REF!=RM시즌체크판!C330,ROW(#REF!)-20),2),)))</f>
        <v/>
      </c>
      <c r="J330" s="34" t="str">
        <f t="array" aca="1" ref="J330" ca="1">IF(ISERROR(OFFSET(#REF!,SMALL(IF(#REF!=RM시즌체크판!C330,ROW(#REF!)-20),3),)),"",(OFFSET(#REF!,SMALL(IF(#REF!=RM시즌체크판!C330,ROW(#REF!)-20),3),)))</f>
        <v/>
      </c>
      <c r="K330" s="34" t="str">
        <f t="array" aca="1" ref="K330" ca="1">IF(ISERROR(OFFSET(#REF!,SMALL(IF(#REF!=RM시즌체크판!C330,ROW(#REF!)-20),4),)),"",(OFFSET(#REF!,SMALL(IF(#REF!=RM시즌체크판!C330,ROW(#REF!)-20),4),)))</f>
        <v/>
      </c>
      <c r="L330" s="34" t="str">
        <f t="array" aca="1" ref="L330" ca="1">IF(ISERROR(OFFSET(#REF!,SMALL(IF(#REF!=RM시즌체크판!C330,ROW(#REF!)-20),5),)),"",(OFFSET(#REF!,SMALL(IF(#REF!=RM시즌체크판!C330,ROW(#REF!)-20),5),)))</f>
        <v/>
      </c>
      <c r="M330" s="35" t="str">
        <f t="array" aca="1" ref="M330" ca="1">IF(ISERROR(OFFSET(#REF!,SMALL(IF(#REF!=RM시즌체크판!C330,ROW(#REF!)-20),6),)),"",(OFFSET(#REF!,SMALL(IF(#REF!=RM시즌체크판!C330,ROW(#REF!)-20),6),)))</f>
        <v/>
      </c>
      <c r="N330" s="27" t="str">
        <f>IF(ISERROR(VLOOKUP(C330,모델촬영리스트!$C:$E,3,)),"",(VLOOKUP(C330,모델촬영리스트!$C:$E,3,)))</f>
        <v/>
      </c>
      <c r="O330" s="23" t="str">
        <f>IF(ISERROR(VLOOKUP(C330,배너촬영리스트!$C:$E,3,)),"",(VLOOKUP(C330,배너촬영리스트!$C:$E,3,)))</f>
        <v/>
      </c>
      <c r="P330" s="36" t="str">
        <f>IF(ISERROR(VLOOKUP(C330,배너촬영리스트!$C:$E,2,)),"",(VLOOKUP(C330,배너촬영리스트!$C:$E,2,)))</f>
        <v/>
      </c>
    </row>
    <row r="331" spans="2:16">
      <c r="B331" s="20" t="str">
        <f t="shared" si="5"/>
        <v>RM</v>
      </c>
      <c r="C331" s="11" t="s">
        <v>227</v>
      </c>
      <c r="D331" s="12" t="e">
        <f>VLOOKUP(C331,#REF!,2,0)</f>
        <v>#REF!</v>
      </c>
      <c r="E331" s="10" t="e">
        <f>VLOOKUP(C331,#REF!,4,0)</f>
        <v>#REF!</v>
      </c>
      <c r="F331" s="37" t="e">
        <f>VLOOKUP(C331,#REF!,8,0)</f>
        <v>#REF!</v>
      </c>
      <c r="G331" s="22" t="str">
        <f>IF(ISERROR(IF(VLOOKUP(C331,#REF!,2,0)&gt;0,"등록","")),"",(IF(VLOOKUP(C331,#REF!,2,0)&gt;0,"등록","")))</f>
        <v/>
      </c>
      <c r="H331" s="33" t="str">
        <f t="array" aca="1" ref="H331" ca="1">IF(ISERROR(OFFSET(#REF!,SMALL(IF(#REF!=RM시즌체크판!C331,ROW(#REF!)-20),1),)),"",(OFFSET(#REF!,SMALL(IF(#REF!=RM시즌체크판!C331,ROW(#REF!)-20),1),)))</f>
        <v/>
      </c>
      <c r="I331" s="34" t="str">
        <f t="array" aca="1" ref="I331" ca="1">IF(ISERROR(OFFSET(#REF!,SMALL(IF(#REF!=RM시즌체크판!C331,ROW(#REF!)-20),2),)),"",(OFFSET(#REF!,SMALL(IF(#REF!=RM시즌체크판!C331,ROW(#REF!)-20),2),)))</f>
        <v/>
      </c>
      <c r="J331" s="34" t="str">
        <f t="array" aca="1" ref="J331" ca="1">IF(ISERROR(OFFSET(#REF!,SMALL(IF(#REF!=RM시즌체크판!C331,ROW(#REF!)-20),3),)),"",(OFFSET(#REF!,SMALL(IF(#REF!=RM시즌체크판!C331,ROW(#REF!)-20),3),)))</f>
        <v/>
      </c>
      <c r="K331" s="34" t="str">
        <f t="array" aca="1" ref="K331" ca="1">IF(ISERROR(OFFSET(#REF!,SMALL(IF(#REF!=RM시즌체크판!C331,ROW(#REF!)-20),4),)),"",(OFFSET(#REF!,SMALL(IF(#REF!=RM시즌체크판!C331,ROW(#REF!)-20),4),)))</f>
        <v/>
      </c>
      <c r="L331" s="34" t="str">
        <f t="array" aca="1" ref="L331" ca="1">IF(ISERROR(OFFSET(#REF!,SMALL(IF(#REF!=RM시즌체크판!C331,ROW(#REF!)-20),5),)),"",(OFFSET(#REF!,SMALL(IF(#REF!=RM시즌체크판!C331,ROW(#REF!)-20),5),)))</f>
        <v/>
      </c>
      <c r="M331" s="35" t="str">
        <f t="array" aca="1" ref="M331" ca="1">IF(ISERROR(OFFSET(#REF!,SMALL(IF(#REF!=RM시즌체크판!C331,ROW(#REF!)-20),6),)),"",(OFFSET(#REF!,SMALL(IF(#REF!=RM시즌체크판!C331,ROW(#REF!)-20),6),)))</f>
        <v/>
      </c>
      <c r="N331" s="27" t="str">
        <f>IF(ISERROR(VLOOKUP(C331,모델촬영리스트!$C:$E,3,)),"",(VLOOKUP(C331,모델촬영리스트!$C:$E,3,)))</f>
        <v/>
      </c>
      <c r="O331" s="23" t="str">
        <f>IF(ISERROR(VLOOKUP(C331,배너촬영리스트!$C:$E,3,)),"",(VLOOKUP(C331,배너촬영리스트!$C:$E,3,)))</f>
        <v/>
      </c>
      <c r="P331" s="36" t="str">
        <f>IF(ISERROR(VLOOKUP(C331,배너촬영리스트!$C:$E,2,)),"",(VLOOKUP(C331,배너촬영리스트!$C:$E,2,)))</f>
        <v/>
      </c>
    </row>
    <row r="332" spans="2:16">
      <c r="B332" s="20" t="str">
        <f t="shared" si="5"/>
        <v>RM</v>
      </c>
      <c r="C332" s="11" t="s">
        <v>401</v>
      </c>
      <c r="D332" s="12" t="e">
        <f>VLOOKUP(C332,#REF!,2,0)</f>
        <v>#REF!</v>
      </c>
      <c r="E332" s="10" t="e">
        <f>VLOOKUP(C332,#REF!,4,0)</f>
        <v>#REF!</v>
      </c>
      <c r="F332" s="37" t="e">
        <f>VLOOKUP(C332,#REF!,8,0)</f>
        <v>#REF!</v>
      </c>
      <c r="G332" s="22" t="str">
        <f>IF(ISERROR(IF(VLOOKUP(C332,#REF!,2,0)&gt;0,"등록","")),"",(IF(VLOOKUP(C332,#REF!,2,0)&gt;0,"등록","")))</f>
        <v/>
      </c>
      <c r="H332" s="33" t="str">
        <f t="array" aca="1" ref="H332" ca="1">IF(ISERROR(OFFSET(#REF!,SMALL(IF(#REF!=RM시즌체크판!C332,ROW(#REF!)-20),1),)),"",(OFFSET(#REF!,SMALL(IF(#REF!=RM시즌체크판!C332,ROW(#REF!)-20),1),)))</f>
        <v/>
      </c>
      <c r="I332" s="34" t="str">
        <f t="array" aca="1" ref="I332" ca="1">IF(ISERROR(OFFSET(#REF!,SMALL(IF(#REF!=RM시즌체크판!C332,ROW(#REF!)-20),2),)),"",(OFFSET(#REF!,SMALL(IF(#REF!=RM시즌체크판!C332,ROW(#REF!)-20),2),)))</f>
        <v/>
      </c>
      <c r="J332" s="34" t="str">
        <f t="array" aca="1" ref="J332" ca="1">IF(ISERROR(OFFSET(#REF!,SMALL(IF(#REF!=RM시즌체크판!C332,ROW(#REF!)-20),3),)),"",(OFFSET(#REF!,SMALL(IF(#REF!=RM시즌체크판!C332,ROW(#REF!)-20),3),)))</f>
        <v/>
      </c>
      <c r="K332" s="34" t="str">
        <f t="array" aca="1" ref="K332" ca="1">IF(ISERROR(OFFSET(#REF!,SMALL(IF(#REF!=RM시즌체크판!C332,ROW(#REF!)-20),4),)),"",(OFFSET(#REF!,SMALL(IF(#REF!=RM시즌체크판!C332,ROW(#REF!)-20),4),)))</f>
        <v/>
      </c>
      <c r="L332" s="34" t="str">
        <f t="array" aca="1" ref="L332" ca="1">IF(ISERROR(OFFSET(#REF!,SMALL(IF(#REF!=RM시즌체크판!C332,ROW(#REF!)-20),5),)),"",(OFFSET(#REF!,SMALL(IF(#REF!=RM시즌체크판!C332,ROW(#REF!)-20),5),)))</f>
        <v/>
      </c>
      <c r="M332" s="35" t="str">
        <f t="array" aca="1" ref="M332" ca="1">IF(ISERROR(OFFSET(#REF!,SMALL(IF(#REF!=RM시즌체크판!C332,ROW(#REF!)-20),6),)),"",(OFFSET(#REF!,SMALL(IF(#REF!=RM시즌체크판!C332,ROW(#REF!)-20),6),)))</f>
        <v/>
      </c>
      <c r="N332" s="27" t="str">
        <f>IF(ISERROR(VLOOKUP(C332,모델촬영리스트!$C:$E,3,)),"",(VLOOKUP(C332,모델촬영리스트!$C:$E,3,)))</f>
        <v/>
      </c>
      <c r="O332" s="23" t="str">
        <f>IF(ISERROR(VLOOKUP(C332,배너촬영리스트!$C:$E,3,)),"",(VLOOKUP(C332,배너촬영리스트!$C:$E,3,)))</f>
        <v/>
      </c>
      <c r="P332" s="36" t="str">
        <f>IF(ISERROR(VLOOKUP(C332,배너촬영리스트!$C:$E,2,)),"",(VLOOKUP(C332,배너촬영리스트!$C:$E,2,)))</f>
        <v/>
      </c>
    </row>
    <row r="333" spans="2:16">
      <c r="B333" s="20" t="str">
        <f t="shared" si="5"/>
        <v>RM</v>
      </c>
      <c r="C333" s="11" t="s">
        <v>437</v>
      </c>
      <c r="D333" s="12" t="e">
        <f>VLOOKUP(C333,#REF!,2,0)</f>
        <v>#REF!</v>
      </c>
      <c r="E333" s="10" t="e">
        <f>VLOOKUP(C333,#REF!,4,0)</f>
        <v>#REF!</v>
      </c>
      <c r="F333" s="37" t="e">
        <f>VLOOKUP(C333,#REF!,8,0)</f>
        <v>#REF!</v>
      </c>
      <c r="G333" s="22" t="str">
        <f>IF(ISERROR(IF(VLOOKUP(C333,#REF!,2,0)&gt;0,"등록","")),"",(IF(VLOOKUP(C333,#REF!,2,0)&gt;0,"등록","")))</f>
        <v/>
      </c>
      <c r="H333" s="33" t="str">
        <f t="array" aca="1" ref="H333" ca="1">IF(ISERROR(OFFSET(#REF!,SMALL(IF(#REF!=RM시즌체크판!C333,ROW(#REF!)-20),1),)),"",(OFFSET(#REF!,SMALL(IF(#REF!=RM시즌체크판!C333,ROW(#REF!)-20),1),)))</f>
        <v/>
      </c>
      <c r="I333" s="34" t="str">
        <f t="array" aca="1" ref="I333" ca="1">IF(ISERROR(OFFSET(#REF!,SMALL(IF(#REF!=RM시즌체크판!C333,ROW(#REF!)-20),2),)),"",(OFFSET(#REF!,SMALL(IF(#REF!=RM시즌체크판!C333,ROW(#REF!)-20),2),)))</f>
        <v/>
      </c>
      <c r="J333" s="34" t="str">
        <f t="array" aca="1" ref="J333" ca="1">IF(ISERROR(OFFSET(#REF!,SMALL(IF(#REF!=RM시즌체크판!C333,ROW(#REF!)-20),3),)),"",(OFFSET(#REF!,SMALL(IF(#REF!=RM시즌체크판!C333,ROW(#REF!)-20),3),)))</f>
        <v/>
      </c>
      <c r="K333" s="34" t="str">
        <f t="array" aca="1" ref="K333" ca="1">IF(ISERROR(OFFSET(#REF!,SMALL(IF(#REF!=RM시즌체크판!C333,ROW(#REF!)-20),4),)),"",(OFFSET(#REF!,SMALL(IF(#REF!=RM시즌체크판!C333,ROW(#REF!)-20),4),)))</f>
        <v/>
      </c>
      <c r="L333" s="34" t="str">
        <f t="array" aca="1" ref="L333" ca="1">IF(ISERROR(OFFSET(#REF!,SMALL(IF(#REF!=RM시즌체크판!C333,ROW(#REF!)-20),5),)),"",(OFFSET(#REF!,SMALL(IF(#REF!=RM시즌체크판!C333,ROW(#REF!)-20),5),)))</f>
        <v/>
      </c>
      <c r="M333" s="35" t="str">
        <f t="array" aca="1" ref="M333" ca="1">IF(ISERROR(OFFSET(#REF!,SMALL(IF(#REF!=RM시즌체크판!C333,ROW(#REF!)-20),6),)),"",(OFFSET(#REF!,SMALL(IF(#REF!=RM시즌체크판!C333,ROW(#REF!)-20),6),)))</f>
        <v/>
      </c>
      <c r="N333" s="27" t="str">
        <f>IF(ISERROR(VLOOKUP(C333,모델촬영리스트!$C:$E,3,)),"",(VLOOKUP(C333,모델촬영리스트!$C:$E,3,)))</f>
        <v/>
      </c>
      <c r="O333" s="23" t="str">
        <f>IF(ISERROR(VLOOKUP(C333,배너촬영리스트!$C:$E,3,)),"",(VLOOKUP(C333,배너촬영리스트!$C:$E,3,)))</f>
        <v/>
      </c>
      <c r="P333" s="36" t="str">
        <f>IF(ISERROR(VLOOKUP(C333,배너촬영리스트!$C:$E,2,)),"",(VLOOKUP(C333,배너촬영리스트!$C:$E,2,)))</f>
        <v/>
      </c>
    </row>
    <row r="334" spans="2:16">
      <c r="B334" s="20" t="str">
        <f t="shared" si="5"/>
        <v>RM</v>
      </c>
      <c r="C334" s="11" t="s">
        <v>228</v>
      </c>
      <c r="D334" s="12" t="e">
        <f>VLOOKUP(C334,#REF!,2,0)</f>
        <v>#REF!</v>
      </c>
      <c r="E334" s="10" t="e">
        <f>VLOOKUP(C334,#REF!,4,0)</f>
        <v>#REF!</v>
      </c>
      <c r="F334" s="37" t="e">
        <f>VLOOKUP(C334,#REF!,8,0)</f>
        <v>#REF!</v>
      </c>
      <c r="G334" s="22" t="str">
        <f>IF(ISERROR(IF(VLOOKUP(C334,#REF!,2,0)&gt;0,"등록","")),"",(IF(VLOOKUP(C334,#REF!,2,0)&gt;0,"등록","")))</f>
        <v/>
      </c>
      <c r="H334" s="33" t="str">
        <f t="array" aca="1" ref="H334" ca="1">IF(ISERROR(OFFSET(#REF!,SMALL(IF(#REF!=RM시즌체크판!C334,ROW(#REF!)-20),1),)),"",(OFFSET(#REF!,SMALL(IF(#REF!=RM시즌체크판!C334,ROW(#REF!)-20),1),)))</f>
        <v/>
      </c>
      <c r="I334" s="34" t="str">
        <f t="array" aca="1" ref="I334" ca="1">IF(ISERROR(OFFSET(#REF!,SMALL(IF(#REF!=RM시즌체크판!C334,ROW(#REF!)-20),2),)),"",(OFFSET(#REF!,SMALL(IF(#REF!=RM시즌체크판!C334,ROW(#REF!)-20),2),)))</f>
        <v/>
      </c>
      <c r="J334" s="34" t="str">
        <f t="array" aca="1" ref="J334" ca="1">IF(ISERROR(OFFSET(#REF!,SMALL(IF(#REF!=RM시즌체크판!C334,ROW(#REF!)-20),3),)),"",(OFFSET(#REF!,SMALL(IF(#REF!=RM시즌체크판!C334,ROW(#REF!)-20),3),)))</f>
        <v/>
      </c>
      <c r="K334" s="34" t="str">
        <f t="array" aca="1" ref="K334" ca="1">IF(ISERROR(OFFSET(#REF!,SMALL(IF(#REF!=RM시즌체크판!C334,ROW(#REF!)-20),4),)),"",(OFFSET(#REF!,SMALL(IF(#REF!=RM시즌체크판!C334,ROW(#REF!)-20),4),)))</f>
        <v/>
      </c>
      <c r="L334" s="34" t="str">
        <f t="array" aca="1" ref="L334" ca="1">IF(ISERROR(OFFSET(#REF!,SMALL(IF(#REF!=RM시즌체크판!C334,ROW(#REF!)-20),5),)),"",(OFFSET(#REF!,SMALL(IF(#REF!=RM시즌체크판!C334,ROW(#REF!)-20),5),)))</f>
        <v/>
      </c>
      <c r="M334" s="35" t="str">
        <f t="array" aca="1" ref="M334" ca="1">IF(ISERROR(OFFSET(#REF!,SMALL(IF(#REF!=RM시즌체크판!C334,ROW(#REF!)-20),6),)),"",(OFFSET(#REF!,SMALL(IF(#REF!=RM시즌체크판!C334,ROW(#REF!)-20),6),)))</f>
        <v/>
      </c>
      <c r="N334" s="27" t="str">
        <f>IF(ISERROR(VLOOKUP(C334,모델촬영리스트!$C:$E,3,)),"",(VLOOKUP(C334,모델촬영리스트!$C:$E,3,)))</f>
        <v/>
      </c>
      <c r="O334" s="23" t="str">
        <f>IF(ISERROR(VLOOKUP(C334,배너촬영리스트!$C:$E,3,)),"",(VLOOKUP(C334,배너촬영리스트!$C:$E,3,)))</f>
        <v/>
      </c>
      <c r="P334" s="36" t="str">
        <f>IF(ISERROR(VLOOKUP(C334,배너촬영리스트!$C:$E,2,)),"",(VLOOKUP(C334,배너촬영리스트!$C:$E,2,)))</f>
        <v/>
      </c>
    </row>
    <row r="335" spans="2:16">
      <c r="B335" s="20" t="str">
        <f t="shared" si="5"/>
        <v>RM</v>
      </c>
      <c r="C335" s="11" t="s">
        <v>229</v>
      </c>
      <c r="D335" s="12" t="e">
        <f>VLOOKUP(C335,#REF!,2,0)</f>
        <v>#REF!</v>
      </c>
      <c r="E335" s="10" t="e">
        <f>VLOOKUP(C335,#REF!,4,0)</f>
        <v>#REF!</v>
      </c>
      <c r="F335" s="37" t="e">
        <f>VLOOKUP(C335,#REF!,8,0)</f>
        <v>#REF!</v>
      </c>
      <c r="G335" s="22" t="str">
        <f>IF(ISERROR(IF(VLOOKUP(C335,#REF!,2,0)&gt;0,"등록","")),"",(IF(VLOOKUP(C335,#REF!,2,0)&gt;0,"등록","")))</f>
        <v/>
      </c>
      <c r="H335" s="33" t="str">
        <f t="array" aca="1" ref="H335" ca="1">IF(ISERROR(OFFSET(#REF!,SMALL(IF(#REF!=RM시즌체크판!C335,ROW(#REF!)-20),1),)),"",(OFFSET(#REF!,SMALL(IF(#REF!=RM시즌체크판!C335,ROW(#REF!)-20),1),)))</f>
        <v/>
      </c>
      <c r="I335" s="34" t="str">
        <f t="array" aca="1" ref="I335" ca="1">IF(ISERROR(OFFSET(#REF!,SMALL(IF(#REF!=RM시즌체크판!C335,ROW(#REF!)-20),2),)),"",(OFFSET(#REF!,SMALL(IF(#REF!=RM시즌체크판!C335,ROW(#REF!)-20),2),)))</f>
        <v/>
      </c>
      <c r="J335" s="34" t="str">
        <f t="array" aca="1" ref="J335" ca="1">IF(ISERROR(OFFSET(#REF!,SMALL(IF(#REF!=RM시즌체크판!C335,ROW(#REF!)-20),3),)),"",(OFFSET(#REF!,SMALL(IF(#REF!=RM시즌체크판!C335,ROW(#REF!)-20),3),)))</f>
        <v/>
      </c>
      <c r="K335" s="34" t="str">
        <f t="array" aca="1" ref="K335" ca="1">IF(ISERROR(OFFSET(#REF!,SMALL(IF(#REF!=RM시즌체크판!C335,ROW(#REF!)-20),4),)),"",(OFFSET(#REF!,SMALL(IF(#REF!=RM시즌체크판!C335,ROW(#REF!)-20),4),)))</f>
        <v/>
      </c>
      <c r="L335" s="34" t="str">
        <f t="array" aca="1" ref="L335" ca="1">IF(ISERROR(OFFSET(#REF!,SMALL(IF(#REF!=RM시즌체크판!C335,ROW(#REF!)-20),5),)),"",(OFFSET(#REF!,SMALL(IF(#REF!=RM시즌체크판!C335,ROW(#REF!)-20),5),)))</f>
        <v/>
      </c>
      <c r="M335" s="35" t="str">
        <f t="array" aca="1" ref="M335" ca="1">IF(ISERROR(OFFSET(#REF!,SMALL(IF(#REF!=RM시즌체크판!C335,ROW(#REF!)-20),6),)),"",(OFFSET(#REF!,SMALL(IF(#REF!=RM시즌체크판!C335,ROW(#REF!)-20),6),)))</f>
        <v/>
      </c>
      <c r="N335" s="27" t="str">
        <f>IF(ISERROR(VLOOKUP(C335,모델촬영리스트!$C:$E,3,)),"",(VLOOKUP(C335,모델촬영리스트!$C:$E,3,)))</f>
        <v/>
      </c>
      <c r="O335" s="23" t="str">
        <f>IF(ISERROR(VLOOKUP(C335,배너촬영리스트!$C:$E,3,)),"",(VLOOKUP(C335,배너촬영리스트!$C:$E,3,)))</f>
        <v/>
      </c>
      <c r="P335" s="36" t="str">
        <f>IF(ISERROR(VLOOKUP(C335,배너촬영리스트!$C:$E,2,)),"",(VLOOKUP(C335,배너촬영리스트!$C:$E,2,)))</f>
        <v/>
      </c>
    </row>
    <row r="336" spans="2:16">
      <c r="B336" s="20" t="str">
        <f t="shared" si="5"/>
        <v>RM</v>
      </c>
      <c r="C336" s="11" t="s">
        <v>230</v>
      </c>
      <c r="D336" s="12" t="e">
        <f>VLOOKUP(C336,#REF!,2,0)</f>
        <v>#REF!</v>
      </c>
      <c r="E336" s="10" t="e">
        <f>VLOOKUP(C336,#REF!,4,0)</f>
        <v>#REF!</v>
      </c>
      <c r="F336" s="37" t="e">
        <f>VLOOKUP(C336,#REF!,8,0)</f>
        <v>#REF!</v>
      </c>
      <c r="G336" s="22" t="str">
        <f>IF(ISERROR(IF(VLOOKUP(C336,#REF!,2,0)&gt;0,"등록","")),"",(IF(VLOOKUP(C336,#REF!,2,0)&gt;0,"등록","")))</f>
        <v/>
      </c>
      <c r="H336" s="33" t="str">
        <f t="array" aca="1" ref="H336" ca="1">IF(ISERROR(OFFSET(#REF!,SMALL(IF(#REF!=RM시즌체크판!C336,ROW(#REF!)-20),1),)),"",(OFFSET(#REF!,SMALL(IF(#REF!=RM시즌체크판!C336,ROW(#REF!)-20),1),)))</f>
        <v/>
      </c>
      <c r="I336" s="34" t="str">
        <f t="array" aca="1" ref="I336" ca="1">IF(ISERROR(OFFSET(#REF!,SMALL(IF(#REF!=RM시즌체크판!C336,ROW(#REF!)-20),2),)),"",(OFFSET(#REF!,SMALL(IF(#REF!=RM시즌체크판!C336,ROW(#REF!)-20),2),)))</f>
        <v/>
      </c>
      <c r="J336" s="34" t="str">
        <f t="array" aca="1" ref="J336" ca="1">IF(ISERROR(OFFSET(#REF!,SMALL(IF(#REF!=RM시즌체크판!C336,ROW(#REF!)-20),3),)),"",(OFFSET(#REF!,SMALL(IF(#REF!=RM시즌체크판!C336,ROW(#REF!)-20),3),)))</f>
        <v/>
      </c>
      <c r="K336" s="34" t="str">
        <f t="array" aca="1" ref="K336" ca="1">IF(ISERROR(OFFSET(#REF!,SMALL(IF(#REF!=RM시즌체크판!C336,ROW(#REF!)-20),4),)),"",(OFFSET(#REF!,SMALL(IF(#REF!=RM시즌체크판!C336,ROW(#REF!)-20),4),)))</f>
        <v/>
      </c>
      <c r="L336" s="34" t="str">
        <f t="array" aca="1" ref="L336" ca="1">IF(ISERROR(OFFSET(#REF!,SMALL(IF(#REF!=RM시즌체크판!C336,ROW(#REF!)-20),5),)),"",(OFFSET(#REF!,SMALL(IF(#REF!=RM시즌체크판!C336,ROW(#REF!)-20),5),)))</f>
        <v/>
      </c>
      <c r="M336" s="35" t="str">
        <f t="array" aca="1" ref="M336" ca="1">IF(ISERROR(OFFSET(#REF!,SMALL(IF(#REF!=RM시즌체크판!C336,ROW(#REF!)-20),6),)),"",(OFFSET(#REF!,SMALL(IF(#REF!=RM시즌체크판!C336,ROW(#REF!)-20),6),)))</f>
        <v/>
      </c>
      <c r="N336" s="27" t="str">
        <f>IF(ISERROR(VLOOKUP(C336,모델촬영리스트!$C:$E,3,)),"",(VLOOKUP(C336,모델촬영리스트!$C:$E,3,)))</f>
        <v/>
      </c>
      <c r="O336" s="23" t="str">
        <f>IF(ISERROR(VLOOKUP(C336,배너촬영리스트!$C:$E,3,)),"",(VLOOKUP(C336,배너촬영리스트!$C:$E,3,)))</f>
        <v/>
      </c>
      <c r="P336" s="36" t="str">
        <f>IF(ISERROR(VLOOKUP(C336,배너촬영리스트!$C:$E,2,)),"",(VLOOKUP(C336,배너촬영리스트!$C:$E,2,)))</f>
        <v/>
      </c>
    </row>
    <row r="337" spans="2:16">
      <c r="B337" s="20" t="str">
        <f t="shared" si="5"/>
        <v>RM</v>
      </c>
      <c r="C337" s="11" t="s">
        <v>438</v>
      </c>
      <c r="D337" s="12" t="e">
        <f>VLOOKUP(C337,#REF!,2,0)</f>
        <v>#REF!</v>
      </c>
      <c r="E337" s="10" t="e">
        <f>VLOOKUP(C337,#REF!,4,0)</f>
        <v>#REF!</v>
      </c>
      <c r="F337" s="37" t="e">
        <f>VLOOKUP(C337,#REF!,8,0)</f>
        <v>#REF!</v>
      </c>
      <c r="G337" s="22" t="str">
        <f>IF(ISERROR(IF(VLOOKUP(C337,#REF!,2,0)&gt;0,"등록","")),"",(IF(VLOOKUP(C337,#REF!,2,0)&gt;0,"등록","")))</f>
        <v/>
      </c>
      <c r="H337" s="33" t="str">
        <f t="array" aca="1" ref="H337" ca="1">IF(ISERROR(OFFSET(#REF!,SMALL(IF(#REF!=RM시즌체크판!C337,ROW(#REF!)-20),1),)),"",(OFFSET(#REF!,SMALL(IF(#REF!=RM시즌체크판!C337,ROW(#REF!)-20),1),)))</f>
        <v/>
      </c>
      <c r="I337" s="34" t="str">
        <f t="array" aca="1" ref="I337" ca="1">IF(ISERROR(OFFSET(#REF!,SMALL(IF(#REF!=RM시즌체크판!C337,ROW(#REF!)-20),2),)),"",(OFFSET(#REF!,SMALL(IF(#REF!=RM시즌체크판!C337,ROW(#REF!)-20),2),)))</f>
        <v/>
      </c>
      <c r="J337" s="34" t="str">
        <f t="array" aca="1" ref="J337" ca="1">IF(ISERROR(OFFSET(#REF!,SMALL(IF(#REF!=RM시즌체크판!C337,ROW(#REF!)-20),3),)),"",(OFFSET(#REF!,SMALL(IF(#REF!=RM시즌체크판!C337,ROW(#REF!)-20),3),)))</f>
        <v/>
      </c>
      <c r="K337" s="34" t="str">
        <f t="array" aca="1" ref="K337" ca="1">IF(ISERROR(OFFSET(#REF!,SMALL(IF(#REF!=RM시즌체크판!C337,ROW(#REF!)-20),4),)),"",(OFFSET(#REF!,SMALL(IF(#REF!=RM시즌체크판!C337,ROW(#REF!)-20),4),)))</f>
        <v/>
      </c>
      <c r="L337" s="34" t="str">
        <f t="array" aca="1" ref="L337" ca="1">IF(ISERROR(OFFSET(#REF!,SMALL(IF(#REF!=RM시즌체크판!C337,ROW(#REF!)-20),5),)),"",(OFFSET(#REF!,SMALL(IF(#REF!=RM시즌체크판!C337,ROW(#REF!)-20),5),)))</f>
        <v/>
      </c>
      <c r="M337" s="35" t="str">
        <f t="array" aca="1" ref="M337" ca="1">IF(ISERROR(OFFSET(#REF!,SMALL(IF(#REF!=RM시즌체크판!C337,ROW(#REF!)-20),6),)),"",(OFFSET(#REF!,SMALL(IF(#REF!=RM시즌체크판!C337,ROW(#REF!)-20),6),)))</f>
        <v/>
      </c>
      <c r="N337" s="27" t="str">
        <f>IF(ISERROR(VLOOKUP(C337,모델촬영리스트!$C:$E,3,)),"",(VLOOKUP(C337,모델촬영리스트!$C:$E,3,)))</f>
        <v/>
      </c>
      <c r="O337" s="23" t="str">
        <f>IF(ISERROR(VLOOKUP(C337,배너촬영리스트!$C:$E,3,)),"",(VLOOKUP(C337,배너촬영리스트!$C:$E,3,)))</f>
        <v/>
      </c>
      <c r="P337" s="36" t="str">
        <f>IF(ISERROR(VLOOKUP(C337,배너촬영리스트!$C:$E,2,)),"",(VLOOKUP(C337,배너촬영리스트!$C:$E,2,)))</f>
        <v/>
      </c>
    </row>
    <row r="338" spans="2:16">
      <c r="B338" s="20" t="str">
        <f t="shared" si="5"/>
        <v>RM</v>
      </c>
      <c r="C338" s="11" t="s">
        <v>439</v>
      </c>
      <c r="D338" s="12" t="e">
        <f>VLOOKUP(C338,#REF!,2,0)</f>
        <v>#REF!</v>
      </c>
      <c r="E338" s="10" t="e">
        <f>VLOOKUP(C338,#REF!,4,0)</f>
        <v>#REF!</v>
      </c>
      <c r="F338" s="37" t="e">
        <f>VLOOKUP(C338,#REF!,8,0)</f>
        <v>#REF!</v>
      </c>
      <c r="G338" s="22" t="str">
        <f>IF(ISERROR(IF(VLOOKUP(C338,#REF!,2,0)&gt;0,"등록","")),"",(IF(VLOOKUP(C338,#REF!,2,0)&gt;0,"등록","")))</f>
        <v/>
      </c>
      <c r="H338" s="33" t="str">
        <f t="array" aca="1" ref="H338" ca="1">IF(ISERROR(OFFSET(#REF!,SMALL(IF(#REF!=RM시즌체크판!C338,ROW(#REF!)-20),1),)),"",(OFFSET(#REF!,SMALL(IF(#REF!=RM시즌체크판!C338,ROW(#REF!)-20),1),)))</f>
        <v/>
      </c>
      <c r="I338" s="34" t="str">
        <f t="array" aca="1" ref="I338" ca="1">IF(ISERROR(OFFSET(#REF!,SMALL(IF(#REF!=RM시즌체크판!C338,ROW(#REF!)-20),2),)),"",(OFFSET(#REF!,SMALL(IF(#REF!=RM시즌체크판!C338,ROW(#REF!)-20),2),)))</f>
        <v/>
      </c>
      <c r="J338" s="34" t="str">
        <f t="array" aca="1" ref="J338" ca="1">IF(ISERROR(OFFSET(#REF!,SMALL(IF(#REF!=RM시즌체크판!C338,ROW(#REF!)-20),3),)),"",(OFFSET(#REF!,SMALL(IF(#REF!=RM시즌체크판!C338,ROW(#REF!)-20),3),)))</f>
        <v/>
      </c>
      <c r="K338" s="34" t="str">
        <f t="array" aca="1" ref="K338" ca="1">IF(ISERROR(OFFSET(#REF!,SMALL(IF(#REF!=RM시즌체크판!C338,ROW(#REF!)-20),4),)),"",(OFFSET(#REF!,SMALL(IF(#REF!=RM시즌체크판!C338,ROW(#REF!)-20),4),)))</f>
        <v/>
      </c>
      <c r="L338" s="34" t="str">
        <f t="array" aca="1" ref="L338" ca="1">IF(ISERROR(OFFSET(#REF!,SMALL(IF(#REF!=RM시즌체크판!C338,ROW(#REF!)-20),5),)),"",(OFFSET(#REF!,SMALL(IF(#REF!=RM시즌체크판!C338,ROW(#REF!)-20),5),)))</f>
        <v/>
      </c>
      <c r="M338" s="35" t="str">
        <f t="array" aca="1" ref="M338" ca="1">IF(ISERROR(OFFSET(#REF!,SMALL(IF(#REF!=RM시즌체크판!C338,ROW(#REF!)-20),6),)),"",(OFFSET(#REF!,SMALL(IF(#REF!=RM시즌체크판!C338,ROW(#REF!)-20),6),)))</f>
        <v/>
      </c>
      <c r="N338" s="27" t="str">
        <f>IF(ISERROR(VLOOKUP(C338,모델촬영리스트!$C:$E,3,)),"",(VLOOKUP(C338,모델촬영리스트!$C:$E,3,)))</f>
        <v/>
      </c>
      <c r="O338" s="23" t="str">
        <f>IF(ISERROR(VLOOKUP(C338,배너촬영리스트!$C:$E,3,)),"",(VLOOKUP(C338,배너촬영리스트!$C:$E,3,)))</f>
        <v/>
      </c>
      <c r="P338" s="36" t="str">
        <f>IF(ISERROR(VLOOKUP(C338,배너촬영리스트!$C:$E,2,)),"",(VLOOKUP(C338,배너촬영리스트!$C:$E,2,)))</f>
        <v/>
      </c>
    </row>
    <row r="339" spans="2:16">
      <c r="B339" s="20" t="str">
        <f t="shared" si="5"/>
        <v>RM</v>
      </c>
      <c r="C339" s="11" t="s">
        <v>249</v>
      </c>
      <c r="D339" s="12" t="e">
        <f>VLOOKUP(C339,#REF!,2,0)</f>
        <v>#REF!</v>
      </c>
      <c r="E339" s="10" t="e">
        <f>VLOOKUP(C339,#REF!,4,0)</f>
        <v>#REF!</v>
      </c>
      <c r="F339" s="37" t="e">
        <f>VLOOKUP(C339,#REF!,8,0)</f>
        <v>#REF!</v>
      </c>
      <c r="G339" s="22" t="str">
        <f>IF(ISERROR(IF(VLOOKUP(C339,#REF!,2,0)&gt;0,"등록","")),"",(IF(VLOOKUP(C339,#REF!,2,0)&gt;0,"등록","")))</f>
        <v/>
      </c>
      <c r="H339" s="33" t="str">
        <f t="array" aca="1" ref="H339" ca="1">IF(ISERROR(OFFSET(#REF!,SMALL(IF(#REF!=RM시즌체크판!C339,ROW(#REF!)-20),1),)),"",(OFFSET(#REF!,SMALL(IF(#REF!=RM시즌체크판!C339,ROW(#REF!)-20),1),)))</f>
        <v/>
      </c>
      <c r="I339" s="34" t="str">
        <f t="array" aca="1" ref="I339" ca="1">IF(ISERROR(OFFSET(#REF!,SMALL(IF(#REF!=RM시즌체크판!C339,ROW(#REF!)-20),2),)),"",(OFFSET(#REF!,SMALL(IF(#REF!=RM시즌체크판!C339,ROW(#REF!)-20),2),)))</f>
        <v/>
      </c>
      <c r="J339" s="34" t="str">
        <f t="array" aca="1" ref="J339" ca="1">IF(ISERROR(OFFSET(#REF!,SMALL(IF(#REF!=RM시즌체크판!C339,ROW(#REF!)-20),3),)),"",(OFFSET(#REF!,SMALL(IF(#REF!=RM시즌체크판!C339,ROW(#REF!)-20),3),)))</f>
        <v/>
      </c>
      <c r="K339" s="34" t="str">
        <f t="array" aca="1" ref="K339" ca="1">IF(ISERROR(OFFSET(#REF!,SMALL(IF(#REF!=RM시즌체크판!C339,ROW(#REF!)-20),4),)),"",(OFFSET(#REF!,SMALL(IF(#REF!=RM시즌체크판!C339,ROW(#REF!)-20),4),)))</f>
        <v/>
      </c>
      <c r="L339" s="34" t="str">
        <f t="array" aca="1" ref="L339" ca="1">IF(ISERROR(OFFSET(#REF!,SMALL(IF(#REF!=RM시즌체크판!C339,ROW(#REF!)-20),5),)),"",(OFFSET(#REF!,SMALL(IF(#REF!=RM시즌체크판!C339,ROW(#REF!)-20),5),)))</f>
        <v/>
      </c>
      <c r="M339" s="35" t="str">
        <f t="array" aca="1" ref="M339" ca="1">IF(ISERROR(OFFSET(#REF!,SMALL(IF(#REF!=RM시즌체크판!C339,ROW(#REF!)-20),6),)),"",(OFFSET(#REF!,SMALL(IF(#REF!=RM시즌체크판!C339,ROW(#REF!)-20),6),)))</f>
        <v/>
      </c>
      <c r="N339" s="27" t="str">
        <f>IF(ISERROR(VLOOKUP(C339,모델촬영리스트!$C:$E,3,)),"",(VLOOKUP(C339,모델촬영리스트!$C:$E,3,)))</f>
        <v/>
      </c>
      <c r="O339" s="23" t="str">
        <f>IF(ISERROR(VLOOKUP(C339,배너촬영리스트!$C:$E,3,)),"",(VLOOKUP(C339,배너촬영리스트!$C:$E,3,)))</f>
        <v/>
      </c>
      <c r="P339" s="36" t="str">
        <f>IF(ISERROR(VLOOKUP(C339,배너촬영리스트!$C:$E,2,)),"",(VLOOKUP(C339,배너촬영리스트!$C:$E,2,)))</f>
        <v/>
      </c>
    </row>
    <row r="340" spans="2:16">
      <c r="B340" s="20" t="str">
        <f t="shared" si="5"/>
        <v>RM</v>
      </c>
      <c r="C340" s="11" t="s">
        <v>440</v>
      </c>
      <c r="D340" s="12" t="e">
        <f>VLOOKUP(C340,#REF!,2,0)</f>
        <v>#REF!</v>
      </c>
      <c r="E340" s="10" t="e">
        <f>VLOOKUP(C340,#REF!,4,0)</f>
        <v>#REF!</v>
      </c>
      <c r="F340" s="37" t="e">
        <f>VLOOKUP(C340,#REF!,8,0)</f>
        <v>#REF!</v>
      </c>
      <c r="G340" s="22" t="str">
        <f>IF(ISERROR(IF(VLOOKUP(C340,#REF!,2,0)&gt;0,"등록","")),"",(IF(VLOOKUP(C340,#REF!,2,0)&gt;0,"등록","")))</f>
        <v/>
      </c>
      <c r="H340" s="33" t="str">
        <f t="array" aca="1" ref="H340" ca="1">IF(ISERROR(OFFSET(#REF!,SMALL(IF(#REF!=RM시즌체크판!C340,ROW(#REF!)-20),1),)),"",(OFFSET(#REF!,SMALL(IF(#REF!=RM시즌체크판!C340,ROW(#REF!)-20),1),)))</f>
        <v/>
      </c>
      <c r="I340" s="34" t="str">
        <f t="array" aca="1" ref="I340" ca="1">IF(ISERROR(OFFSET(#REF!,SMALL(IF(#REF!=RM시즌체크판!C340,ROW(#REF!)-20),2),)),"",(OFFSET(#REF!,SMALL(IF(#REF!=RM시즌체크판!C340,ROW(#REF!)-20),2),)))</f>
        <v/>
      </c>
      <c r="J340" s="34" t="str">
        <f t="array" aca="1" ref="J340" ca="1">IF(ISERROR(OFFSET(#REF!,SMALL(IF(#REF!=RM시즌체크판!C340,ROW(#REF!)-20),3),)),"",(OFFSET(#REF!,SMALL(IF(#REF!=RM시즌체크판!C340,ROW(#REF!)-20),3),)))</f>
        <v/>
      </c>
      <c r="K340" s="34" t="str">
        <f t="array" aca="1" ref="K340" ca="1">IF(ISERROR(OFFSET(#REF!,SMALL(IF(#REF!=RM시즌체크판!C340,ROW(#REF!)-20),4),)),"",(OFFSET(#REF!,SMALL(IF(#REF!=RM시즌체크판!C340,ROW(#REF!)-20),4),)))</f>
        <v/>
      </c>
      <c r="L340" s="34" t="str">
        <f t="array" aca="1" ref="L340" ca="1">IF(ISERROR(OFFSET(#REF!,SMALL(IF(#REF!=RM시즌체크판!C340,ROW(#REF!)-20),5),)),"",(OFFSET(#REF!,SMALL(IF(#REF!=RM시즌체크판!C340,ROW(#REF!)-20),5),)))</f>
        <v/>
      </c>
      <c r="M340" s="35" t="str">
        <f t="array" aca="1" ref="M340" ca="1">IF(ISERROR(OFFSET(#REF!,SMALL(IF(#REF!=RM시즌체크판!C340,ROW(#REF!)-20),6),)),"",(OFFSET(#REF!,SMALL(IF(#REF!=RM시즌체크판!C340,ROW(#REF!)-20),6),)))</f>
        <v/>
      </c>
      <c r="N340" s="27" t="str">
        <f>IF(ISERROR(VLOOKUP(C340,모델촬영리스트!$C:$E,3,)),"",(VLOOKUP(C340,모델촬영리스트!$C:$E,3,)))</f>
        <v/>
      </c>
      <c r="O340" s="23" t="str">
        <f>IF(ISERROR(VLOOKUP(C340,배너촬영리스트!$C:$E,3,)),"",(VLOOKUP(C340,배너촬영리스트!$C:$E,3,)))</f>
        <v/>
      </c>
      <c r="P340" s="36" t="str">
        <f>IF(ISERROR(VLOOKUP(C340,배너촬영리스트!$C:$E,2,)),"",(VLOOKUP(C340,배너촬영리스트!$C:$E,2,)))</f>
        <v/>
      </c>
    </row>
    <row r="341" spans="2:16">
      <c r="B341" s="20" t="str">
        <f t="shared" si="5"/>
        <v>RM</v>
      </c>
      <c r="C341" s="11" t="s">
        <v>441</v>
      </c>
      <c r="D341" s="12" t="e">
        <f>VLOOKUP(C341,#REF!,2,0)</f>
        <v>#REF!</v>
      </c>
      <c r="E341" s="10" t="e">
        <f>VLOOKUP(C341,#REF!,4,0)</f>
        <v>#REF!</v>
      </c>
      <c r="F341" s="37" t="e">
        <f>VLOOKUP(C341,#REF!,8,0)</f>
        <v>#REF!</v>
      </c>
      <c r="G341" s="22" t="str">
        <f>IF(ISERROR(IF(VLOOKUP(C341,#REF!,2,0)&gt;0,"등록","")),"",(IF(VLOOKUP(C341,#REF!,2,0)&gt;0,"등록","")))</f>
        <v/>
      </c>
      <c r="H341" s="33" t="str">
        <f t="array" aca="1" ref="H341" ca="1">IF(ISERROR(OFFSET(#REF!,SMALL(IF(#REF!=RM시즌체크판!C341,ROW(#REF!)-20),1),)),"",(OFFSET(#REF!,SMALL(IF(#REF!=RM시즌체크판!C341,ROW(#REF!)-20),1),)))</f>
        <v/>
      </c>
      <c r="I341" s="34" t="str">
        <f t="array" aca="1" ref="I341" ca="1">IF(ISERROR(OFFSET(#REF!,SMALL(IF(#REF!=RM시즌체크판!C341,ROW(#REF!)-20),2),)),"",(OFFSET(#REF!,SMALL(IF(#REF!=RM시즌체크판!C341,ROW(#REF!)-20),2),)))</f>
        <v/>
      </c>
      <c r="J341" s="34" t="str">
        <f t="array" aca="1" ref="J341" ca="1">IF(ISERROR(OFFSET(#REF!,SMALL(IF(#REF!=RM시즌체크판!C341,ROW(#REF!)-20),3),)),"",(OFFSET(#REF!,SMALL(IF(#REF!=RM시즌체크판!C341,ROW(#REF!)-20),3),)))</f>
        <v/>
      </c>
      <c r="K341" s="34" t="str">
        <f t="array" aca="1" ref="K341" ca="1">IF(ISERROR(OFFSET(#REF!,SMALL(IF(#REF!=RM시즌체크판!C341,ROW(#REF!)-20),4),)),"",(OFFSET(#REF!,SMALL(IF(#REF!=RM시즌체크판!C341,ROW(#REF!)-20),4),)))</f>
        <v/>
      </c>
      <c r="L341" s="34" t="str">
        <f t="array" aca="1" ref="L341" ca="1">IF(ISERROR(OFFSET(#REF!,SMALL(IF(#REF!=RM시즌체크판!C341,ROW(#REF!)-20),5),)),"",(OFFSET(#REF!,SMALL(IF(#REF!=RM시즌체크판!C341,ROW(#REF!)-20),5),)))</f>
        <v/>
      </c>
      <c r="M341" s="35" t="str">
        <f t="array" aca="1" ref="M341" ca="1">IF(ISERROR(OFFSET(#REF!,SMALL(IF(#REF!=RM시즌체크판!C341,ROW(#REF!)-20),6),)),"",(OFFSET(#REF!,SMALL(IF(#REF!=RM시즌체크판!C341,ROW(#REF!)-20),6),)))</f>
        <v/>
      </c>
      <c r="N341" s="27" t="str">
        <f>IF(ISERROR(VLOOKUP(C341,모델촬영리스트!$C:$E,3,)),"",(VLOOKUP(C341,모델촬영리스트!$C:$E,3,)))</f>
        <v/>
      </c>
      <c r="O341" s="23" t="str">
        <f>IF(ISERROR(VLOOKUP(C341,배너촬영리스트!$C:$E,3,)),"",(VLOOKUP(C341,배너촬영리스트!$C:$E,3,)))</f>
        <v/>
      </c>
      <c r="P341" s="36" t="str">
        <f>IF(ISERROR(VLOOKUP(C341,배너촬영리스트!$C:$E,2,)),"",(VLOOKUP(C341,배너촬영리스트!$C:$E,2,)))</f>
        <v/>
      </c>
    </row>
    <row r="342" spans="2:16">
      <c r="B342" s="20" t="str">
        <f t="shared" si="5"/>
        <v>RM</v>
      </c>
      <c r="C342" s="11" t="s">
        <v>442</v>
      </c>
      <c r="D342" s="12" t="e">
        <f>VLOOKUP(C342,#REF!,2,0)</f>
        <v>#REF!</v>
      </c>
      <c r="E342" s="10" t="e">
        <f>VLOOKUP(C342,#REF!,4,0)</f>
        <v>#REF!</v>
      </c>
      <c r="F342" s="37" t="e">
        <f>VLOOKUP(C342,#REF!,8,0)</f>
        <v>#REF!</v>
      </c>
      <c r="G342" s="22" t="str">
        <f>IF(ISERROR(IF(VLOOKUP(C342,#REF!,2,0)&gt;0,"등록","")),"",(IF(VLOOKUP(C342,#REF!,2,0)&gt;0,"등록","")))</f>
        <v/>
      </c>
      <c r="H342" s="33" t="str">
        <f t="array" aca="1" ref="H342" ca="1">IF(ISERROR(OFFSET(#REF!,SMALL(IF(#REF!=RM시즌체크판!C342,ROW(#REF!)-20),1),)),"",(OFFSET(#REF!,SMALL(IF(#REF!=RM시즌체크판!C342,ROW(#REF!)-20),1),)))</f>
        <v/>
      </c>
      <c r="I342" s="34" t="str">
        <f t="array" aca="1" ref="I342" ca="1">IF(ISERROR(OFFSET(#REF!,SMALL(IF(#REF!=RM시즌체크판!C342,ROW(#REF!)-20),2),)),"",(OFFSET(#REF!,SMALL(IF(#REF!=RM시즌체크판!C342,ROW(#REF!)-20),2),)))</f>
        <v/>
      </c>
      <c r="J342" s="34" t="str">
        <f t="array" aca="1" ref="J342" ca="1">IF(ISERROR(OFFSET(#REF!,SMALL(IF(#REF!=RM시즌체크판!C342,ROW(#REF!)-20),3),)),"",(OFFSET(#REF!,SMALL(IF(#REF!=RM시즌체크판!C342,ROW(#REF!)-20),3),)))</f>
        <v/>
      </c>
      <c r="K342" s="34" t="str">
        <f t="array" aca="1" ref="K342" ca="1">IF(ISERROR(OFFSET(#REF!,SMALL(IF(#REF!=RM시즌체크판!C342,ROW(#REF!)-20),4),)),"",(OFFSET(#REF!,SMALL(IF(#REF!=RM시즌체크판!C342,ROW(#REF!)-20),4),)))</f>
        <v/>
      </c>
      <c r="L342" s="34" t="str">
        <f t="array" aca="1" ref="L342" ca="1">IF(ISERROR(OFFSET(#REF!,SMALL(IF(#REF!=RM시즌체크판!C342,ROW(#REF!)-20),5),)),"",(OFFSET(#REF!,SMALL(IF(#REF!=RM시즌체크판!C342,ROW(#REF!)-20),5),)))</f>
        <v/>
      </c>
      <c r="M342" s="35" t="str">
        <f t="array" aca="1" ref="M342" ca="1">IF(ISERROR(OFFSET(#REF!,SMALL(IF(#REF!=RM시즌체크판!C342,ROW(#REF!)-20),6),)),"",(OFFSET(#REF!,SMALL(IF(#REF!=RM시즌체크판!C342,ROW(#REF!)-20),6),)))</f>
        <v/>
      </c>
      <c r="N342" s="27" t="str">
        <f>IF(ISERROR(VLOOKUP(C342,모델촬영리스트!$C:$E,3,)),"",(VLOOKUP(C342,모델촬영리스트!$C:$E,3,)))</f>
        <v/>
      </c>
      <c r="O342" s="23" t="str">
        <f>IF(ISERROR(VLOOKUP(C342,배너촬영리스트!$C:$E,3,)),"",(VLOOKUP(C342,배너촬영리스트!$C:$E,3,)))</f>
        <v/>
      </c>
      <c r="P342" s="36" t="str">
        <f>IF(ISERROR(VLOOKUP(C342,배너촬영리스트!$C:$E,2,)),"",(VLOOKUP(C342,배너촬영리스트!$C:$E,2,)))</f>
        <v/>
      </c>
    </row>
    <row r="343" spans="2:16">
      <c r="B343" s="20" t="str">
        <f t="shared" si="5"/>
        <v>RM</v>
      </c>
      <c r="C343" s="11" t="s">
        <v>251</v>
      </c>
      <c r="D343" s="12" t="e">
        <f>VLOOKUP(C343,#REF!,2,0)</f>
        <v>#REF!</v>
      </c>
      <c r="E343" s="10" t="e">
        <f>VLOOKUP(C343,#REF!,4,0)</f>
        <v>#REF!</v>
      </c>
      <c r="F343" s="37" t="e">
        <f>VLOOKUP(C343,#REF!,8,0)</f>
        <v>#REF!</v>
      </c>
      <c r="G343" s="22" t="str">
        <f>IF(ISERROR(IF(VLOOKUP(C343,#REF!,2,0)&gt;0,"등록","")),"",(IF(VLOOKUP(C343,#REF!,2,0)&gt;0,"등록","")))</f>
        <v/>
      </c>
      <c r="H343" s="33" t="str">
        <f t="array" aca="1" ref="H343" ca="1">IF(ISERROR(OFFSET(#REF!,SMALL(IF(#REF!=RM시즌체크판!C343,ROW(#REF!)-20),1),)),"",(OFFSET(#REF!,SMALL(IF(#REF!=RM시즌체크판!C343,ROW(#REF!)-20),1),)))</f>
        <v/>
      </c>
      <c r="I343" s="34" t="str">
        <f t="array" aca="1" ref="I343" ca="1">IF(ISERROR(OFFSET(#REF!,SMALL(IF(#REF!=RM시즌체크판!C343,ROW(#REF!)-20),2),)),"",(OFFSET(#REF!,SMALL(IF(#REF!=RM시즌체크판!C343,ROW(#REF!)-20),2),)))</f>
        <v/>
      </c>
      <c r="J343" s="34" t="str">
        <f t="array" aca="1" ref="J343" ca="1">IF(ISERROR(OFFSET(#REF!,SMALL(IF(#REF!=RM시즌체크판!C343,ROW(#REF!)-20),3),)),"",(OFFSET(#REF!,SMALL(IF(#REF!=RM시즌체크판!C343,ROW(#REF!)-20),3),)))</f>
        <v/>
      </c>
      <c r="K343" s="34" t="str">
        <f t="array" aca="1" ref="K343" ca="1">IF(ISERROR(OFFSET(#REF!,SMALL(IF(#REF!=RM시즌체크판!C343,ROW(#REF!)-20),4),)),"",(OFFSET(#REF!,SMALL(IF(#REF!=RM시즌체크판!C343,ROW(#REF!)-20),4),)))</f>
        <v/>
      </c>
      <c r="L343" s="34" t="str">
        <f t="array" aca="1" ref="L343" ca="1">IF(ISERROR(OFFSET(#REF!,SMALL(IF(#REF!=RM시즌체크판!C343,ROW(#REF!)-20),5),)),"",(OFFSET(#REF!,SMALL(IF(#REF!=RM시즌체크판!C343,ROW(#REF!)-20),5),)))</f>
        <v/>
      </c>
      <c r="M343" s="35" t="str">
        <f t="array" aca="1" ref="M343" ca="1">IF(ISERROR(OFFSET(#REF!,SMALL(IF(#REF!=RM시즌체크판!C343,ROW(#REF!)-20),6),)),"",(OFFSET(#REF!,SMALL(IF(#REF!=RM시즌체크판!C343,ROW(#REF!)-20),6),)))</f>
        <v/>
      </c>
      <c r="N343" s="27" t="str">
        <f>IF(ISERROR(VLOOKUP(C343,모델촬영리스트!$C:$E,3,)),"",(VLOOKUP(C343,모델촬영리스트!$C:$E,3,)))</f>
        <v/>
      </c>
      <c r="O343" s="23" t="str">
        <f>IF(ISERROR(VLOOKUP(C343,배너촬영리스트!$C:$E,3,)),"",(VLOOKUP(C343,배너촬영리스트!$C:$E,3,)))</f>
        <v/>
      </c>
      <c r="P343" s="36" t="str">
        <f>IF(ISERROR(VLOOKUP(C343,배너촬영리스트!$C:$E,2,)),"",(VLOOKUP(C343,배너촬영리스트!$C:$E,2,)))</f>
        <v/>
      </c>
    </row>
    <row r="344" spans="2:16">
      <c r="B344" s="20" t="str">
        <f t="shared" si="5"/>
        <v>RM</v>
      </c>
      <c r="C344" s="11" t="s">
        <v>402</v>
      </c>
      <c r="D344" s="12" t="e">
        <f>VLOOKUP(C344,#REF!,2,0)</f>
        <v>#REF!</v>
      </c>
      <c r="E344" s="10" t="e">
        <f>VLOOKUP(C344,#REF!,4,0)</f>
        <v>#REF!</v>
      </c>
      <c r="F344" s="37" t="e">
        <f>VLOOKUP(C344,#REF!,8,0)</f>
        <v>#REF!</v>
      </c>
      <c r="G344" s="22" t="str">
        <f>IF(ISERROR(IF(VLOOKUP(C344,#REF!,2,0)&gt;0,"등록","")),"",(IF(VLOOKUP(C344,#REF!,2,0)&gt;0,"등록","")))</f>
        <v/>
      </c>
      <c r="H344" s="33" t="str">
        <f t="array" aca="1" ref="H344" ca="1">IF(ISERROR(OFFSET(#REF!,SMALL(IF(#REF!=RM시즌체크판!C344,ROW(#REF!)-20),1),)),"",(OFFSET(#REF!,SMALL(IF(#REF!=RM시즌체크판!C344,ROW(#REF!)-20),1),)))</f>
        <v/>
      </c>
      <c r="I344" s="34" t="str">
        <f t="array" aca="1" ref="I344" ca="1">IF(ISERROR(OFFSET(#REF!,SMALL(IF(#REF!=RM시즌체크판!C344,ROW(#REF!)-20),2),)),"",(OFFSET(#REF!,SMALL(IF(#REF!=RM시즌체크판!C344,ROW(#REF!)-20),2),)))</f>
        <v/>
      </c>
      <c r="J344" s="34" t="str">
        <f t="array" aca="1" ref="J344" ca="1">IF(ISERROR(OFFSET(#REF!,SMALL(IF(#REF!=RM시즌체크판!C344,ROW(#REF!)-20),3),)),"",(OFFSET(#REF!,SMALL(IF(#REF!=RM시즌체크판!C344,ROW(#REF!)-20),3),)))</f>
        <v/>
      </c>
      <c r="K344" s="34" t="str">
        <f t="array" aca="1" ref="K344" ca="1">IF(ISERROR(OFFSET(#REF!,SMALL(IF(#REF!=RM시즌체크판!C344,ROW(#REF!)-20),4),)),"",(OFFSET(#REF!,SMALL(IF(#REF!=RM시즌체크판!C344,ROW(#REF!)-20),4),)))</f>
        <v/>
      </c>
      <c r="L344" s="34" t="str">
        <f t="array" aca="1" ref="L344" ca="1">IF(ISERROR(OFFSET(#REF!,SMALL(IF(#REF!=RM시즌체크판!C344,ROW(#REF!)-20),5),)),"",(OFFSET(#REF!,SMALL(IF(#REF!=RM시즌체크판!C344,ROW(#REF!)-20),5),)))</f>
        <v/>
      </c>
      <c r="M344" s="35" t="str">
        <f t="array" aca="1" ref="M344" ca="1">IF(ISERROR(OFFSET(#REF!,SMALL(IF(#REF!=RM시즌체크판!C344,ROW(#REF!)-20),6),)),"",(OFFSET(#REF!,SMALL(IF(#REF!=RM시즌체크판!C344,ROW(#REF!)-20),6),)))</f>
        <v/>
      </c>
      <c r="N344" s="27" t="str">
        <f>IF(ISERROR(VLOOKUP(C344,모델촬영리스트!$C:$E,3,)),"",(VLOOKUP(C344,모델촬영리스트!$C:$E,3,)))</f>
        <v/>
      </c>
      <c r="O344" s="23" t="str">
        <f>IF(ISERROR(VLOOKUP(C344,배너촬영리스트!$C:$E,3,)),"",(VLOOKUP(C344,배너촬영리스트!$C:$E,3,)))</f>
        <v/>
      </c>
      <c r="P344" s="36" t="str">
        <f>IF(ISERROR(VLOOKUP(C344,배너촬영리스트!$C:$E,2,)),"",(VLOOKUP(C344,배너촬영리스트!$C:$E,2,)))</f>
        <v/>
      </c>
    </row>
    <row r="345" spans="2:16">
      <c r="B345" s="20" t="str">
        <f t="shared" si="5"/>
        <v>RM</v>
      </c>
      <c r="C345" s="11" t="s">
        <v>282</v>
      </c>
      <c r="D345" s="12" t="e">
        <f>VLOOKUP(C345,#REF!,2,0)</f>
        <v>#REF!</v>
      </c>
      <c r="E345" s="10" t="e">
        <f>VLOOKUP(C345,#REF!,4,0)</f>
        <v>#REF!</v>
      </c>
      <c r="F345" s="37" t="e">
        <f>VLOOKUP(C345,#REF!,8,0)</f>
        <v>#REF!</v>
      </c>
      <c r="G345" s="22" t="str">
        <f>IF(ISERROR(IF(VLOOKUP(C345,#REF!,2,0)&gt;0,"등록","")),"",(IF(VLOOKUP(C345,#REF!,2,0)&gt;0,"등록","")))</f>
        <v/>
      </c>
      <c r="H345" s="33" t="str">
        <f t="array" aca="1" ref="H345" ca="1">IF(ISERROR(OFFSET(#REF!,SMALL(IF(#REF!=RM시즌체크판!C345,ROW(#REF!)-20),1),)),"",(OFFSET(#REF!,SMALL(IF(#REF!=RM시즌체크판!C345,ROW(#REF!)-20),1),)))</f>
        <v/>
      </c>
      <c r="I345" s="34" t="str">
        <f t="array" aca="1" ref="I345" ca="1">IF(ISERROR(OFFSET(#REF!,SMALL(IF(#REF!=RM시즌체크판!C345,ROW(#REF!)-20),2),)),"",(OFFSET(#REF!,SMALL(IF(#REF!=RM시즌체크판!C345,ROW(#REF!)-20),2),)))</f>
        <v/>
      </c>
      <c r="J345" s="34" t="str">
        <f t="array" aca="1" ref="J345" ca="1">IF(ISERROR(OFFSET(#REF!,SMALL(IF(#REF!=RM시즌체크판!C345,ROW(#REF!)-20),3),)),"",(OFFSET(#REF!,SMALL(IF(#REF!=RM시즌체크판!C345,ROW(#REF!)-20),3),)))</f>
        <v/>
      </c>
      <c r="K345" s="34" t="str">
        <f t="array" aca="1" ref="K345" ca="1">IF(ISERROR(OFFSET(#REF!,SMALL(IF(#REF!=RM시즌체크판!C345,ROW(#REF!)-20),4),)),"",(OFFSET(#REF!,SMALL(IF(#REF!=RM시즌체크판!C345,ROW(#REF!)-20),4),)))</f>
        <v/>
      </c>
      <c r="L345" s="34" t="str">
        <f t="array" aca="1" ref="L345" ca="1">IF(ISERROR(OFFSET(#REF!,SMALL(IF(#REF!=RM시즌체크판!C345,ROW(#REF!)-20),5),)),"",(OFFSET(#REF!,SMALL(IF(#REF!=RM시즌체크판!C345,ROW(#REF!)-20),5),)))</f>
        <v/>
      </c>
      <c r="M345" s="35" t="str">
        <f t="array" aca="1" ref="M345" ca="1">IF(ISERROR(OFFSET(#REF!,SMALL(IF(#REF!=RM시즌체크판!C345,ROW(#REF!)-20),6),)),"",(OFFSET(#REF!,SMALL(IF(#REF!=RM시즌체크판!C345,ROW(#REF!)-20),6),)))</f>
        <v/>
      </c>
      <c r="N345" s="27" t="str">
        <f>IF(ISERROR(VLOOKUP(C345,모델촬영리스트!$C:$E,3,)),"",(VLOOKUP(C345,모델촬영리스트!$C:$E,3,)))</f>
        <v/>
      </c>
      <c r="O345" s="23" t="str">
        <f>IF(ISERROR(VLOOKUP(C345,배너촬영리스트!$C:$E,3,)),"",(VLOOKUP(C345,배너촬영리스트!$C:$E,3,)))</f>
        <v/>
      </c>
      <c r="P345" s="36" t="str">
        <f>IF(ISERROR(VLOOKUP(C345,배너촬영리스트!$C:$E,2,)),"",(VLOOKUP(C345,배너촬영리스트!$C:$E,2,)))</f>
        <v/>
      </c>
    </row>
    <row r="346" spans="2:16">
      <c r="B346" s="20" t="str">
        <f t="shared" si="5"/>
        <v>RM</v>
      </c>
      <c r="C346" s="11" t="s">
        <v>283</v>
      </c>
      <c r="D346" s="12" t="e">
        <f>VLOOKUP(C346,#REF!,2,0)</f>
        <v>#REF!</v>
      </c>
      <c r="E346" s="10" t="e">
        <f>VLOOKUP(C346,#REF!,4,0)</f>
        <v>#REF!</v>
      </c>
      <c r="F346" s="37" t="e">
        <f>VLOOKUP(C346,#REF!,8,0)</f>
        <v>#REF!</v>
      </c>
      <c r="G346" s="22" t="str">
        <f>IF(ISERROR(IF(VLOOKUP(C346,#REF!,2,0)&gt;0,"등록","")),"",(IF(VLOOKUP(C346,#REF!,2,0)&gt;0,"등록","")))</f>
        <v/>
      </c>
      <c r="H346" s="33" t="str">
        <f t="array" aca="1" ref="H346" ca="1">IF(ISERROR(OFFSET(#REF!,SMALL(IF(#REF!=RM시즌체크판!C346,ROW(#REF!)-20),1),)),"",(OFFSET(#REF!,SMALL(IF(#REF!=RM시즌체크판!C346,ROW(#REF!)-20),1),)))</f>
        <v/>
      </c>
      <c r="I346" s="34" t="str">
        <f t="array" aca="1" ref="I346" ca="1">IF(ISERROR(OFFSET(#REF!,SMALL(IF(#REF!=RM시즌체크판!C346,ROW(#REF!)-20),2),)),"",(OFFSET(#REF!,SMALL(IF(#REF!=RM시즌체크판!C346,ROW(#REF!)-20),2),)))</f>
        <v/>
      </c>
      <c r="J346" s="34" t="str">
        <f t="array" aca="1" ref="J346" ca="1">IF(ISERROR(OFFSET(#REF!,SMALL(IF(#REF!=RM시즌체크판!C346,ROW(#REF!)-20),3),)),"",(OFFSET(#REF!,SMALL(IF(#REF!=RM시즌체크판!C346,ROW(#REF!)-20),3),)))</f>
        <v/>
      </c>
      <c r="K346" s="34" t="str">
        <f t="array" aca="1" ref="K346" ca="1">IF(ISERROR(OFFSET(#REF!,SMALL(IF(#REF!=RM시즌체크판!C346,ROW(#REF!)-20),4),)),"",(OFFSET(#REF!,SMALL(IF(#REF!=RM시즌체크판!C346,ROW(#REF!)-20),4),)))</f>
        <v/>
      </c>
      <c r="L346" s="34" t="str">
        <f t="array" aca="1" ref="L346" ca="1">IF(ISERROR(OFFSET(#REF!,SMALL(IF(#REF!=RM시즌체크판!C346,ROW(#REF!)-20),5),)),"",(OFFSET(#REF!,SMALL(IF(#REF!=RM시즌체크판!C346,ROW(#REF!)-20),5),)))</f>
        <v/>
      </c>
      <c r="M346" s="35" t="str">
        <f t="array" aca="1" ref="M346" ca="1">IF(ISERROR(OFFSET(#REF!,SMALL(IF(#REF!=RM시즌체크판!C346,ROW(#REF!)-20),6),)),"",(OFFSET(#REF!,SMALL(IF(#REF!=RM시즌체크판!C346,ROW(#REF!)-20),6),)))</f>
        <v/>
      </c>
      <c r="N346" s="27" t="str">
        <f>IF(ISERROR(VLOOKUP(C346,모델촬영리스트!$C:$E,3,)),"",(VLOOKUP(C346,모델촬영리스트!$C:$E,3,)))</f>
        <v/>
      </c>
      <c r="O346" s="23" t="str">
        <f>IF(ISERROR(VLOOKUP(C346,배너촬영리스트!$C:$E,3,)),"",(VLOOKUP(C346,배너촬영리스트!$C:$E,3,)))</f>
        <v/>
      </c>
      <c r="P346" s="36" t="str">
        <f>IF(ISERROR(VLOOKUP(C346,배너촬영리스트!$C:$E,2,)),"",(VLOOKUP(C346,배너촬영리스트!$C:$E,2,)))</f>
        <v/>
      </c>
    </row>
    <row r="347" spans="2:16">
      <c r="B347" s="20" t="str">
        <f t="shared" si="5"/>
        <v>RM</v>
      </c>
      <c r="C347" s="11" t="s">
        <v>449</v>
      </c>
      <c r="D347" s="12" t="e">
        <f>VLOOKUP(C347,#REF!,2,0)</f>
        <v>#REF!</v>
      </c>
      <c r="E347" s="10" t="e">
        <f>VLOOKUP(C347,#REF!,4,0)</f>
        <v>#REF!</v>
      </c>
      <c r="F347" s="37" t="e">
        <f>VLOOKUP(C347,#REF!,8,0)</f>
        <v>#REF!</v>
      </c>
      <c r="G347" s="22" t="str">
        <f>IF(ISERROR(IF(VLOOKUP(C347,#REF!,2,0)&gt;0,"등록","")),"",(IF(VLOOKUP(C347,#REF!,2,0)&gt;0,"등록","")))</f>
        <v/>
      </c>
      <c r="H347" s="33" t="str">
        <f t="array" aca="1" ref="H347" ca="1">IF(ISERROR(OFFSET(#REF!,SMALL(IF(#REF!=RM시즌체크판!C347,ROW(#REF!)-20),1),)),"",(OFFSET(#REF!,SMALL(IF(#REF!=RM시즌체크판!C347,ROW(#REF!)-20),1),)))</f>
        <v/>
      </c>
      <c r="I347" s="34" t="str">
        <f t="array" aca="1" ref="I347" ca="1">IF(ISERROR(OFFSET(#REF!,SMALL(IF(#REF!=RM시즌체크판!C347,ROW(#REF!)-20),2),)),"",(OFFSET(#REF!,SMALL(IF(#REF!=RM시즌체크판!C347,ROW(#REF!)-20),2),)))</f>
        <v/>
      </c>
      <c r="J347" s="34" t="str">
        <f t="array" aca="1" ref="J347" ca="1">IF(ISERROR(OFFSET(#REF!,SMALL(IF(#REF!=RM시즌체크판!C347,ROW(#REF!)-20),3),)),"",(OFFSET(#REF!,SMALL(IF(#REF!=RM시즌체크판!C347,ROW(#REF!)-20),3),)))</f>
        <v/>
      </c>
      <c r="K347" s="34" t="str">
        <f t="array" aca="1" ref="K347" ca="1">IF(ISERROR(OFFSET(#REF!,SMALL(IF(#REF!=RM시즌체크판!C347,ROW(#REF!)-20),4),)),"",(OFFSET(#REF!,SMALL(IF(#REF!=RM시즌체크판!C347,ROW(#REF!)-20),4),)))</f>
        <v/>
      </c>
      <c r="L347" s="34" t="str">
        <f t="array" aca="1" ref="L347" ca="1">IF(ISERROR(OFFSET(#REF!,SMALL(IF(#REF!=RM시즌체크판!C347,ROW(#REF!)-20),5),)),"",(OFFSET(#REF!,SMALL(IF(#REF!=RM시즌체크판!C347,ROW(#REF!)-20),5),)))</f>
        <v/>
      </c>
      <c r="M347" s="35" t="str">
        <f t="array" aca="1" ref="M347" ca="1">IF(ISERROR(OFFSET(#REF!,SMALL(IF(#REF!=RM시즌체크판!C347,ROW(#REF!)-20),6),)),"",(OFFSET(#REF!,SMALL(IF(#REF!=RM시즌체크판!C347,ROW(#REF!)-20),6),)))</f>
        <v/>
      </c>
      <c r="N347" s="27" t="str">
        <f>IF(ISERROR(VLOOKUP(C347,모델촬영리스트!$C:$E,3,)),"",(VLOOKUP(C347,모델촬영리스트!$C:$E,3,)))</f>
        <v/>
      </c>
      <c r="O347" s="23" t="str">
        <f>IF(ISERROR(VLOOKUP(C347,배너촬영리스트!$C:$E,3,)),"",(VLOOKUP(C347,배너촬영리스트!$C:$E,3,)))</f>
        <v/>
      </c>
      <c r="P347" s="36" t="str">
        <f>IF(ISERROR(VLOOKUP(C347,배너촬영리스트!$C:$E,2,)),"",(VLOOKUP(C347,배너촬영리스트!$C:$E,2,)))</f>
        <v/>
      </c>
    </row>
    <row r="348" spans="2:16">
      <c r="B348" s="20" t="str">
        <f t="shared" si="5"/>
        <v>RM</v>
      </c>
      <c r="C348" s="11" t="s">
        <v>284</v>
      </c>
      <c r="D348" s="12" t="e">
        <f>VLOOKUP(C348,#REF!,2,0)</f>
        <v>#REF!</v>
      </c>
      <c r="E348" s="10" t="e">
        <f>VLOOKUP(C348,#REF!,4,0)</f>
        <v>#REF!</v>
      </c>
      <c r="F348" s="37" t="e">
        <f>VLOOKUP(C348,#REF!,8,0)</f>
        <v>#REF!</v>
      </c>
      <c r="G348" s="22" t="str">
        <f>IF(ISERROR(IF(VLOOKUP(C348,#REF!,2,0)&gt;0,"등록","")),"",(IF(VLOOKUP(C348,#REF!,2,0)&gt;0,"등록","")))</f>
        <v/>
      </c>
      <c r="H348" s="33" t="str">
        <f t="array" aca="1" ref="H348" ca="1">IF(ISERROR(OFFSET(#REF!,SMALL(IF(#REF!=RM시즌체크판!C348,ROW(#REF!)-20),1),)),"",(OFFSET(#REF!,SMALL(IF(#REF!=RM시즌체크판!C348,ROW(#REF!)-20),1),)))</f>
        <v/>
      </c>
      <c r="I348" s="34" t="str">
        <f t="array" aca="1" ref="I348" ca="1">IF(ISERROR(OFFSET(#REF!,SMALL(IF(#REF!=RM시즌체크판!C348,ROW(#REF!)-20),2),)),"",(OFFSET(#REF!,SMALL(IF(#REF!=RM시즌체크판!C348,ROW(#REF!)-20),2),)))</f>
        <v/>
      </c>
      <c r="J348" s="34" t="str">
        <f t="array" aca="1" ref="J348" ca="1">IF(ISERROR(OFFSET(#REF!,SMALL(IF(#REF!=RM시즌체크판!C348,ROW(#REF!)-20),3),)),"",(OFFSET(#REF!,SMALL(IF(#REF!=RM시즌체크판!C348,ROW(#REF!)-20),3),)))</f>
        <v/>
      </c>
      <c r="K348" s="34" t="str">
        <f t="array" aca="1" ref="K348" ca="1">IF(ISERROR(OFFSET(#REF!,SMALL(IF(#REF!=RM시즌체크판!C348,ROW(#REF!)-20),4),)),"",(OFFSET(#REF!,SMALL(IF(#REF!=RM시즌체크판!C348,ROW(#REF!)-20),4),)))</f>
        <v/>
      </c>
      <c r="L348" s="34" t="str">
        <f t="array" aca="1" ref="L348" ca="1">IF(ISERROR(OFFSET(#REF!,SMALL(IF(#REF!=RM시즌체크판!C348,ROW(#REF!)-20),5),)),"",(OFFSET(#REF!,SMALL(IF(#REF!=RM시즌체크판!C348,ROW(#REF!)-20),5),)))</f>
        <v/>
      </c>
      <c r="M348" s="35" t="str">
        <f t="array" aca="1" ref="M348" ca="1">IF(ISERROR(OFFSET(#REF!,SMALL(IF(#REF!=RM시즌체크판!C348,ROW(#REF!)-20),6),)),"",(OFFSET(#REF!,SMALL(IF(#REF!=RM시즌체크판!C348,ROW(#REF!)-20),6),)))</f>
        <v/>
      </c>
      <c r="N348" s="27" t="str">
        <f>IF(ISERROR(VLOOKUP(C348,모델촬영리스트!$C:$E,3,)),"",(VLOOKUP(C348,모델촬영리스트!$C:$E,3,)))</f>
        <v/>
      </c>
      <c r="O348" s="23" t="str">
        <f>IF(ISERROR(VLOOKUP(C348,배너촬영리스트!$C:$E,3,)),"",(VLOOKUP(C348,배너촬영리스트!$C:$E,3,)))</f>
        <v/>
      </c>
      <c r="P348" s="36" t="str">
        <f>IF(ISERROR(VLOOKUP(C348,배너촬영리스트!$C:$E,2,)),"",(VLOOKUP(C348,배너촬영리스트!$C:$E,2,)))</f>
        <v/>
      </c>
    </row>
    <row r="349" spans="2:16">
      <c r="B349" s="20" t="str">
        <f t="shared" si="5"/>
        <v>RM</v>
      </c>
      <c r="C349" s="11" t="s">
        <v>285</v>
      </c>
      <c r="D349" s="12" t="e">
        <f>VLOOKUP(C349,#REF!,2,0)</f>
        <v>#REF!</v>
      </c>
      <c r="E349" s="10" t="e">
        <f>VLOOKUP(C349,#REF!,4,0)</f>
        <v>#REF!</v>
      </c>
      <c r="F349" s="37" t="e">
        <f>VLOOKUP(C349,#REF!,8,0)</f>
        <v>#REF!</v>
      </c>
      <c r="G349" s="22" t="str">
        <f>IF(ISERROR(IF(VLOOKUP(C349,#REF!,2,0)&gt;0,"등록","")),"",(IF(VLOOKUP(C349,#REF!,2,0)&gt;0,"등록","")))</f>
        <v/>
      </c>
      <c r="H349" s="33" t="str">
        <f t="array" aca="1" ref="H349" ca="1">IF(ISERROR(OFFSET(#REF!,SMALL(IF(#REF!=RM시즌체크판!C349,ROW(#REF!)-20),1),)),"",(OFFSET(#REF!,SMALL(IF(#REF!=RM시즌체크판!C349,ROW(#REF!)-20),1),)))</f>
        <v/>
      </c>
      <c r="I349" s="34" t="str">
        <f t="array" aca="1" ref="I349" ca="1">IF(ISERROR(OFFSET(#REF!,SMALL(IF(#REF!=RM시즌체크판!C349,ROW(#REF!)-20),2),)),"",(OFFSET(#REF!,SMALL(IF(#REF!=RM시즌체크판!C349,ROW(#REF!)-20),2),)))</f>
        <v/>
      </c>
      <c r="J349" s="34" t="str">
        <f t="array" aca="1" ref="J349" ca="1">IF(ISERROR(OFFSET(#REF!,SMALL(IF(#REF!=RM시즌체크판!C349,ROW(#REF!)-20),3),)),"",(OFFSET(#REF!,SMALL(IF(#REF!=RM시즌체크판!C349,ROW(#REF!)-20),3),)))</f>
        <v/>
      </c>
      <c r="K349" s="34" t="str">
        <f t="array" aca="1" ref="K349" ca="1">IF(ISERROR(OFFSET(#REF!,SMALL(IF(#REF!=RM시즌체크판!C349,ROW(#REF!)-20),4),)),"",(OFFSET(#REF!,SMALL(IF(#REF!=RM시즌체크판!C349,ROW(#REF!)-20),4),)))</f>
        <v/>
      </c>
      <c r="L349" s="34" t="str">
        <f t="array" aca="1" ref="L349" ca="1">IF(ISERROR(OFFSET(#REF!,SMALL(IF(#REF!=RM시즌체크판!C349,ROW(#REF!)-20),5),)),"",(OFFSET(#REF!,SMALL(IF(#REF!=RM시즌체크판!C349,ROW(#REF!)-20),5),)))</f>
        <v/>
      </c>
      <c r="M349" s="35" t="str">
        <f t="array" aca="1" ref="M349" ca="1">IF(ISERROR(OFFSET(#REF!,SMALL(IF(#REF!=RM시즌체크판!C349,ROW(#REF!)-20),6),)),"",(OFFSET(#REF!,SMALL(IF(#REF!=RM시즌체크판!C349,ROW(#REF!)-20),6),)))</f>
        <v/>
      </c>
      <c r="N349" s="27" t="str">
        <f>IF(ISERROR(VLOOKUP(C349,모델촬영리스트!$C:$E,3,)),"",(VLOOKUP(C349,모델촬영리스트!$C:$E,3,)))</f>
        <v/>
      </c>
      <c r="O349" s="23" t="str">
        <f>IF(ISERROR(VLOOKUP(C349,배너촬영리스트!$C:$E,3,)),"",(VLOOKUP(C349,배너촬영리스트!$C:$E,3,)))</f>
        <v/>
      </c>
      <c r="P349" s="36" t="str">
        <f>IF(ISERROR(VLOOKUP(C349,배너촬영리스트!$C:$E,2,)),"",(VLOOKUP(C349,배너촬영리스트!$C:$E,2,)))</f>
        <v/>
      </c>
    </row>
    <row r="350" spans="2:16">
      <c r="B350" s="20" t="str">
        <f t="shared" si="5"/>
        <v>RM</v>
      </c>
      <c r="C350" s="11" t="s">
        <v>286</v>
      </c>
      <c r="D350" s="12" t="e">
        <f>VLOOKUP(C350,#REF!,2,0)</f>
        <v>#REF!</v>
      </c>
      <c r="E350" s="10" t="e">
        <f>VLOOKUP(C350,#REF!,4,0)</f>
        <v>#REF!</v>
      </c>
      <c r="F350" s="37" t="e">
        <f>VLOOKUP(C350,#REF!,8,0)</f>
        <v>#REF!</v>
      </c>
      <c r="G350" s="22" t="str">
        <f>IF(ISERROR(IF(VLOOKUP(C350,#REF!,2,0)&gt;0,"등록","")),"",(IF(VLOOKUP(C350,#REF!,2,0)&gt;0,"등록","")))</f>
        <v/>
      </c>
      <c r="H350" s="33" t="str">
        <f t="array" aca="1" ref="H350" ca="1">IF(ISERROR(OFFSET(#REF!,SMALL(IF(#REF!=RM시즌체크판!C350,ROW(#REF!)-20),1),)),"",(OFFSET(#REF!,SMALL(IF(#REF!=RM시즌체크판!C350,ROW(#REF!)-20),1),)))</f>
        <v/>
      </c>
      <c r="I350" s="34" t="str">
        <f t="array" aca="1" ref="I350" ca="1">IF(ISERROR(OFFSET(#REF!,SMALL(IF(#REF!=RM시즌체크판!C350,ROW(#REF!)-20),2),)),"",(OFFSET(#REF!,SMALL(IF(#REF!=RM시즌체크판!C350,ROW(#REF!)-20),2),)))</f>
        <v/>
      </c>
      <c r="J350" s="34" t="str">
        <f t="array" aca="1" ref="J350" ca="1">IF(ISERROR(OFFSET(#REF!,SMALL(IF(#REF!=RM시즌체크판!C350,ROW(#REF!)-20),3),)),"",(OFFSET(#REF!,SMALL(IF(#REF!=RM시즌체크판!C350,ROW(#REF!)-20),3),)))</f>
        <v/>
      </c>
      <c r="K350" s="34" t="str">
        <f t="array" aca="1" ref="K350" ca="1">IF(ISERROR(OFFSET(#REF!,SMALL(IF(#REF!=RM시즌체크판!C350,ROW(#REF!)-20),4),)),"",(OFFSET(#REF!,SMALL(IF(#REF!=RM시즌체크판!C350,ROW(#REF!)-20),4),)))</f>
        <v/>
      </c>
      <c r="L350" s="34" t="str">
        <f t="array" aca="1" ref="L350" ca="1">IF(ISERROR(OFFSET(#REF!,SMALL(IF(#REF!=RM시즌체크판!C350,ROW(#REF!)-20),5),)),"",(OFFSET(#REF!,SMALL(IF(#REF!=RM시즌체크판!C350,ROW(#REF!)-20),5),)))</f>
        <v/>
      </c>
      <c r="M350" s="35" t="str">
        <f t="array" aca="1" ref="M350" ca="1">IF(ISERROR(OFFSET(#REF!,SMALL(IF(#REF!=RM시즌체크판!C350,ROW(#REF!)-20),6),)),"",(OFFSET(#REF!,SMALL(IF(#REF!=RM시즌체크판!C350,ROW(#REF!)-20),6),)))</f>
        <v/>
      </c>
      <c r="N350" s="27" t="str">
        <f>IF(ISERROR(VLOOKUP(C350,모델촬영리스트!$C:$E,3,)),"",(VLOOKUP(C350,모델촬영리스트!$C:$E,3,)))</f>
        <v/>
      </c>
      <c r="O350" s="23" t="str">
        <f>IF(ISERROR(VLOOKUP(C350,배너촬영리스트!$C:$E,3,)),"",(VLOOKUP(C350,배너촬영리스트!$C:$E,3,)))</f>
        <v/>
      </c>
      <c r="P350" s="36" t="str">
        <f>IF(ISERROR(VLOOKUP(C350,배너촬영리스트!$C:$E,2,)),"",(VLOOKUP(C350,배너촬영리스트!$C:$E,2,)))</f>
        <v/>
      </c>
    </row>
    <row r="351" spans="2:16">
      <c r="B351" s="20" t="str">
        <f t="shared" si="5"/>
        <v>RM</v>
      </c>
      <c r="C351" s="11" t="s">
        <v>415</v>
      </c>
      <c r="D351" s="12" t="e">
        <f>VLOOKUP(C351,#REF!,2,0)</f>
        <v>#REF!</v>
      </c>
      <c r="E351" s="10" t="e">
        <f>VLOOKUP(C351,#REF!,4,0)</f>
        <v>#REF!</v>
      </c>
      <c r="F351" s="37" t="e">
        <f>VLOOKUP(C351,#REF!,8,0)</f>
        <v>#REF!</v>
      </c>
      <c r="G351" s="22" t="str">
        <f>IF(ISERROR(IF(VLOOKUP(C351,#REF!,2,0)&gt;0,"등록","")),"",(IF(VLOOKUP(C351,#REF!,2,0)&gt;0,"등록","")))</f>
        <v/>
      </c>
      <c r="H351" s="33" t="str">
        <f t="array" aca="1" ref="H351" ca="1">IF(ISERROR(OFFSET(#REF!,SMALL(IF(#REF!=RM시즌체크판!C351,ROW(#REF!)-20),1),)),"",(OFFSET(#REF!,SMALL(IF(#REF!=RM시즌체크판!C351,ROW(#REF!)-20),1),)))</f>
        <v/>
      </c>
      <c r="I351" s="34" t="str">
        <f t="array" aca="1" ref="I351" ca="1">IF(ISERROR(OFFSET(#REF!,SMALL(IF(#REF!=RM시즌체크판!C351,ROW(#REF!)-20),2),)),"",(OFFSET(#REF!,SMALL(IF(#REF!=RM시즌체크판!C351,ROW(#REF!)-20),2),)))</f>
        <v/>
      </c>
      <c r="J351" s="34" t="str">
        <f t="array" aca="1" ref="J351" ca="1">IF(ISERROR(OFFSET(#REF!,SMALL(IF(#REF!=RM시즌체크판!C351,ROW(#REF!)-20),3),)),"",(OFFSET(#REF!,SMALL(IF(#REF!=RM시즌체크판!C351,ROW(#REF!)-20),3),)))</f>
        <v/>
      </c>
      <c r="K351" s="34" t="str">
        <f t="array" aca="1" ref="K351" ca="1">IF(ISERROR(OFFSET(#REF!,SMALL(IF(#REF!=RM시즌체크판!C351,ROW(#REF!)-20),4),)),"",(OFFSET(#REF!,SMALL(IF(#REF!=RM시즌체크판!C351,ROW(#REF!)-20),4),)))</f>
        <v/>
      </c>
      <c r="L351" s="34" t="str">
        <f t="array" aca="1" ref="L351" ca="1">IF(ISERROR(OFFSET(#REF!,SMALL(IF(#REF!=RM시즌체크판!C351,ROW(#REF!)-20),5),)),"",(OFFSET(#REF!,SMALL(IF(#REF!=RM시즌체크판!C351,ROW(#REF!)-20),5),)))</f>
        <v/>
      </c>
      <c r="M351" s="35" t="str">
        <f t="array" aca="1" ref="M351" ca="1">IF(ISERROR(OFFSET(#REF!,SMALL(IF(#REF!=RM시즌체크판!C351,ROW(#REF!)-20),6),)),"",(OFFSET(#REF!,SMALL(IF(#REF!=RM시즌체크판!C351,ROW(#REF!)-20),6),)))</f>
        <v/>
      </c>
      <c r="N351" s="27" t="str">
        <f>IF(ISERROR(VLOOKUP(C351,모델촬영리스트!$C:$E,3,)),"",(VLOOKUP(C351,모델촬영리스트!$C:$E,3,)))</f>
        <v/>
      </c>
      <c r="O351" s="23" t="str">
        <f>IF(ISERROR(VLOOKUP(C351,배너촬영리스트!$C:$E,3,)),"",(VLOOKUP(C351,배너촬영리스트!$C:$E,3,)))</f>
        <v/>
      </c>
      <c r="P351" s="36" t="str">
        <f>IF(ISERROR(VLOOKUP(C351,배너촬영리스트!$C:$E,2,)),"",(VLOOKUP(C351,배너촬영리스트!$C:$E,2,)))</f>
        <v/>
      </c>
    </row>
    <row r="352" spans="2:16">
      <c r="B352" s="20" t="str">
        <f t="shared" si="5"/>
        <v>RM</v>
      </c>
      <c r="C352" s="11" t="s">
        <v>416</v>
      </c>
      <c r="D352" s="12" t="e">
        <f>VLOOKUP(C352,#REF!,2,0)</f>
        <v>#REF!</v>
      </c>
      <c r="E352" s="10" t="e">
        <f>VLOOKUP(C352,#REF!,4,0)</f>
        <v>#REF!</v>
      </c>
      <c r="F352" s="37" t="e">
        <f>VLOOKUP(C352,#REF!,8,0)</f>
        <v>#REF!</v>
      </c>
      <c r="G352" s="22" t="str">
        <f>IF(ISERROR(IF(VLOOKUP(C352,#REF!,2,0)&gt;0,"등록","")),"",(IF(VLOOKUP(C352,#REF!,2,0)&gt;0,"등록","")))</f>
        <v/>
      </c>
      <c r="H352" s="33" t="str">
        <f t="array" aca="1" ref="H352" ca="1">IF(ISERROR(OFFSET(#REF!,SMALL(IF(#REF!=RM시즌체크판!C352,ROW(#REF!)-20),1),)),"",(OFFSET(#REF!,SMALL(IF(#REF!=RM시즌체크판!C352,ROW(#REF!)-20),1),)))</f>
        <v/>
      </c>
      <c r="I352" s="34" t="str">
        <f t="array" aca="1" ref="I352" ca="1">IF(ISERROR(OFFSET(#REF!,SMALL(IF(#REF!=RM시즌체크판!C352,ROW(#REF!)-20),2),)),"",(OFFSET(#REF!,SMALL(IF(#REF!=RM시즌체크판!C352,ROW(#REF!)-20),2),)))</f>
        <v/>
      </c>
      <c r="J352" s="34" t="str">
        <f t="array" aca="1" ref="J352" ca="1">IF(ISERROR(OFFSET(#REF!,SMALL(IF(#REF!=RM시즌체크판!C352,ROW(#REF!)-20),3),)),"",(OFFSET(#REF!,SMALL(IF(#REF!=RM시즌체크판!C352,ROW(#REF!)-20),3),)))</f>
        <v/>
      </c>
      <c r="K352" s="34" t="str">
        <f t="array" aca="1" ref="K352" ca="1">IF(ISERROR(OFFSET(#REF!,SMALL(IF(#REF!=RM시즌체크판!C352,ROW(#REF!)-20),4),)),"",(OFFSET(#REF!,SMALL(IF(#REF!=RM시즌체크판!C352,ROW(#REF!)-20),4),)))</f>
        <v/>
      </c>
      <c r="L352" s="34" t="str">
        <f t="array" aca="1" ref="L352" ca="1">IF(ISERROR(OFFSET(#REF!,SMALL(IF(#REF!=RM시즌체크판!C352,ROW(#REF!)-20),5),)),"",(OFFSET(#REF!,SMALL(IF(#REF!=RM시즌체크판!C352,ROW(#REF!)-20),5),)))</f>
        <v/>
      </c>
      <c r="M352" s="35" t="str">
        <f t="array" aca="1" ref="M352" ca="1">IF(ISERROR(OFFSET(#REF!,SMALL(IF(#REF!=RM시즌체크판!C352,ROW(#REF!)-20),6),)),"",(OFFSET(#REF!,SMALL(IF(#REF!=RM시즌체크판!C352,ROW(#REF!)-20),6),)))</f>
        <v/>
      </c>
      <c r="N352" s="27" t="str">
        <f>IF(ISERROR(VLOOKUP(C352,모델촬영리스트!$C:$E,3,)),"",(VLOOKUP(C352,모델촬영리스트!$C:$E,3,)))</f>
        <v/>
      </c>
      <c r="O352" s="23" t="str">
        <f>IF(ISERROR(VLOOKUP(C352,배너촬영리스트!$C:$E,3,)),"",(VLOOKUP(C352,배너촬영리스트!$C:$E,3,)))</f>
        <v/>
      </c>
      <c r="P352" s="36" t="str">
        <f>IF(ISERROR(VLOOKUP(C352,배너촬영리스트!$C:$E,2,)),"",(VLOOKUP(C352,배너촬영리스트!$C:$E,2,)))</f>
        <v/>
      </c>
    </row>
    <row r="353" spans="2:16">
      <c r="B353" s="20" t="str">
        <f t="shared" si="5"/>
        <v>RM</v>
      </c>
      <c r="C353" s="11" t="s">
        <v>417</v>
      </c>
      <c r="D353" s="12" t="e">
        <f>VLOOKUP(C353,#REF!,2,0)</f>
        <v>#REF!</v>
      </c>
      <c r="E353" s="10" t="e">
        <f>VLOOKUP(C353,#REF!,4,0)</f>
        <v>#REF!</v>
      </c>
      <c r="F353" s="37" t="e">
        <f>VLOOKUP(C353,#REF!,8,0)</f>
        <v>#REF!</v>
      </c>
      <c r="G353" s="22" t="str">
        <f>IF(ISERROR(IF(VLOOKUP(C353,#REF!,2,0)&gt;0,"등록","")),"",(IF(VLOOKUP(C353,#REF!,2,0)&gt;0,"등록","")))</f>
        <v/>
      </c>
      <c r="H353" s="33" t="str">
        <f t="array" aca="1" ref="H353" ca="1">IF(ISERROR(OFFSET(#REF!,SMALL(IF(#REF!=RM시즌체크판!C353,ROW(#REF!)-20),1),)),"",(OFFSET(#REF!,SMALL(IF(#REF!=RM시즌체크판!C353,ROW(#REF!)-20),1),)))</f>
        <v/>
      </c>
      <c r="I353" s="34" t="str">
        <f t="array" aca="1" ref="I353" ca="1">IF(ISERROR(OFFSET(#REF!,SMALL(IF(#REF!=RM시즌체크판!C353,ROW(#REF!)-20),2),)),"",(OFFSET(#REF!,SMALL(IF(#REF!=RM시즌체크판!C353,ROW(#REF!)-20),2),)))</f>
        <v/>
      </c>
      <c r="J353" s="34" t="str">
        <f t="array" aca="1" ref="J353" ca="1">IF(ISERROR(OFFSET(#REF!,SMALL(IF(#REF!=RM시즌체크판!C353,ROW(#REF!)-20),3),)),"",(OFFSET(#REF!,SMALL(IF(#REF!=RM시즌체크판!C353,ROW(#REF!)-20),3),)))</f>
        <v/>
      </c>
      <c r="K353" s="34" t="str">
        <f t="array" aca="1" ref="K353" ca="1">IF(ISERROR(OFFSET(#REF!,SMALL(IF(#REF!=RM시즌체크판!C353,ROW(#REF!)-20),4),)),"",(OFFSET(#REF!,SMALL(IF(#REF!=RM시즌체크판!C353,ROW(#REF!)-20),4),)))</f>
        <v/>
      </c>
      <c r="L353" s="34" t="str">
        <f t="array" aca="1" ref="L353" ca="1">IF(ISERROR(OFFSET(#REF!,SMALL(IF(#REF!=RM시즌체크판!C353,ROW(#REF!)-20),5),)),"",(OFFSET(#REF!,SMALL(IF(#REF!=RM시즌체크판!C353,ROW(#REF!)-20),5),)))</f>
        <v/>
      </c>
      <c r="M353" s="35" t="str">
        <f t="array" aca="1" ref="M353" ca="1">IF(ISERROR(OFFSET(#REF!,SMALL(IF(#REF!=RM시즌체크판!C353,ROW(#REF!)-20),6),)),"",(OFFSET(#REF!,SMALL(IF(#REF!=RM시즌체크판!C353,ROW(#REF!)-20),6),)))</f>
        <v/>
      </c>
      <c r="N353" s="27" t="str">
        <f>IF(ISERROR(VLOOKUP(C353,모델촬영리스트!$C:$E,3,)),"",(VLOOKUP(C353,모델촬영리스트!$C:$E,3,)))</f>
        <v/>
      </c>
      <c r="O353" s="23" t="str">
        <f>IF(ISERROR(VLOOKUP(C353,배너촬영리스트!$C:$E,3,)),"",(VLOOKUP(C353,배너촬영리스트!$C:$E,3,)))</f>
        <v/>
      </c>
      <c r="P353" s="36" t="str">
        <f>IF(ISERROR(VLOOKUP(C353,배너촬영리스트!$C:$E,2,)),"",(VLOOKUP(C353,배너촬영리스트!$C:$E,2,)))</f>
        <v/>
      </c>
    </row>
    <row r="354" spans="2:16">
      <c r="B354" s="20" t="str">
        <f t="shared" si="5"/>
        <v>RM</v>
      </c>
      <c r="C354" s="11" t="s">
        <v>418</v>
      </c>
      <c r="D354" s="12" t="e">
        <f>VLOOKUP(C354,#REF!,2,0)</f>
        <v>#REF!</v>
      </c>
      <c r="E354" s="10" t="e">
        <f>VLOOKUP(C354,#REF!,4,0)</f>
        <v>#REF!</v>
      </c>
      <c r="F354" s="37" t="e">
        <f>VLOOKUP(C354,#REF!,8,0)</f>
        <v>#REF!</v>
      </c>
      <c r="G354" s="22" t="str">
        <f>IF(ISERROR(IF(VLOOKUP(C354,#REF!,2,0)&gt;0,"등록","")),"",(IF(VLOOKUP(C354,#REF!,2,0)&gt;0,"등록","")))</f>
        <v/>
      </c>
      <c r="H354" s="33" t="str">
        <f t="array" aca="1" ref="H354" ca="1">IF(ISERROR(OFFSET(#REF!,SMALL(IF(#REF!=RM시즌체크판!C354,ROW(#REF!)-20),1),)),"",(OFFSET(#REF!,SMALL(IF(#REF!=RM시즌체크판!C354,ROW(#REF!)-20),1),)))</f>
        <v/>
      </c>
      <c r="I354" s="34" t="str">
        <f t="array" aca="1" ref="I354" ca="1">IF(ISERROR(OFFSET(#REF!,SMALL(IF(#REF!=RM시즌체크판!C354,ROW(#REF!)-20),2),)),"",(OFFSET(#REF!,SMALL(IF(#REF!=RM시즌체크판!C354,ROW(#REF!)-20),2),)))</f>
        <v/>
      </c>
      <c r="J354" s="34" t="str">
        <f t="array" aca="1" ref="J354" ca="1">IF(ISERROR(OFFSET(#REF!,SMALL(IF(#REF!=RM시즌체크판!C354,ROW(#REF!)-20),3),)),"",(OFFSET(#REF!,SMALL(IF(#REF!=RM시즌체크판!C354,ROW(#REF!)-20),3),)))</f>
        <v/>
      </c>
      <c r="K354" s="34" t="str">
        <f t="array" aca="1" ref="K354" ca="1">IF(ISERROR(OFFSET(#REF!,SMALL(IF(#REF!=RM시즌체크판!C354,ROW(#REF!)-20),4),)),"",(OFFSET(#REF!,SMALL(IF(#REF!=RM시즌체크판!C354,ROW(#REF!)-20),4),)))</f>
        <v/>
      </c>
      <c r="L354" s="34" t="str">
        <f t="array" aca="1" ref="L354" ca="1">IF(ISERROR(OFFSET(#REF!,SMALL(IF(#REF!=RM시즌체크판!C354,ROW(#REF!)-20),5),)),"",(OFFSET(#REF!,SMALL(IF(#REF!=RM시즌체크판!C354,ROW(#REF!)-20),5),)))</f>
        <v/>
      </c>
      <c r="M354" s="35" t="str">
        <f t="array" aca="1" ref="M354" ca="1">IF(ISERROR(OFFSET(#REF!,SMALL(IF(#REF!=RM시즌체크판!C354,ROW(#REF!)-20),6),)),"",(OFFSET(#REF!,SMALL(IF(#REF!=RM시즌체크판!C354,ROW(#REF!)-20),6),)))</f>
        <v/>
      </c>
      <c r="N354" s="27" t="str">
        <f>IF(ISERROR(VLOOKUP(C354,모델촬영리스트!$C:$E,3,)),"",(VLOOKUP(C354,모델촬영리스트!$C:$E,3,)))</f>
        <v/>
      </c>
      <c r="O354" s="23" t="str">
        <f>IF(ISERROR(VLOOKUP(C354,배너촬영리스트!$C:$E,3,)),"",(VLOOKUP(C354,배너촬영리스트!$C:$E,3,)))</f>
        <v/>
      </c>
      <c r="P354" s="36" t="str">
        <f>IF(ISERROR(VLOOKUP(C354,배너촬영리스트!$C:$E,2,)),"",(VLOOKUP(C354,배너촬영리스트!$C:$E,2,)))</f>
        <v/>
      </c>
    </row>
    <row r="355" spans="2:16">
      <c r="B355" s="20" t="str">
        <f t="shared" si="5"/>
        <v>RM</v>
      </c>
      <c r="C355" s="11" t="s">
        <v>419</v>
      </c>
      <c r="D355" s="12" t="e">
        <f>VLOOKUP(C355,#REF!,2,0)</f>
        <v>#REF!</v>
      </c>
      <c r="E355" s="10" t="e">
        <f>VLOOKUP(C355,#REF!,4,0)</f>
        <v>#REF!</v>
      </c>
      <c r="F355" s="37" t="e">
        <f>VLOOKUP(C355,#REF!,8,0)</f>
        <v>#REF!</v>
      </c>
      <c r="G355" s="22" t="str">
        <f>IF(ISERROR(IF(VLOOKUP(C355,#REF!,2,0)&gt;0,"등록","")),"",(IF(VLOOKUP(C355,#REF!,2,0)&gt;0,"등록","")))</f>
        <v/>
      </c>
      <c r="H355" s="33" t="str">
        <f t="array" aca="1" ref="H355" ca="1">IF(ISERROR(OFFSET(#REF!,SMALL(IF(#REF!=RM시즌체크판!C355,ROW(#REF!)-20),1),)),"",(OFFSET(#REF!,SMALL(IF(#REF!=RM시즌체크판!C355,ROW(#REF!)-20),1),)))</f>
        <v/>
      </c>
      <c r="I355" s="34" t="str">
        <f t="array" aca="1" ref="I355" ca="1">IF(ISERROR(OFFSET(#REF!,SMALL(IF(#REF!=RM시즌체크판!C355,ROW(#REF!)-20),2),)),"",(OFFSET(#REF!,SMALL(IF(#REF!=RM시즌체크판!C355,ROW(#REF!)-20),2),)))</f>
        <v/>
      </c>
      <c r="J355" s="34" t="str">
        <f t="array" aca="1" ref="J355" ca="1">IF(ISERROR(OFFSET(#REF!,SMALL(IF(#REF!=RM시즌체크판!C355,ROW(#REF!)-20),3),)),"",(OFFSET(#REF!,SMALL(IF(#REF!=RM시즌체크판!C355,ROW(#REF!)-20),3),)))</f>
        <v/>
      </c>
      <c r="K355" s="34" t="str">
        <f t="array" aca="1" ref="K355" ca="1">IF(ISERROR(OFFSET(#REF!,SMALL(IF(#REF!=RM시즌체크판!C355,ROW(#REF!)-20),4),)),"",(OFFSET(#REF!,SMALL(IF(#REF!=RM시즌체크판!C355,ROW(#REF!)-20),4),)))</f>
        <v/>
      </c>
      <c r="L355" s="34" t="str">
        <f t="array" aca="1" ref="L355" ca="1">IF(ISERROR(OFFSET(#REF!,SMALL(IF(#REF!=RM시즌체크판!C355,ROW(#REF!)-20),5),)),"",(OFFSET(#REF!,SMALL(IF(#REF!=RM시즌체크판!C355,ROW(#REF!)-20),5),)))</f>
        <v/>
      </c>
      <c r="M355" s="35" t="str">
        <f t="array" aca="1" ref="M355" ca="1">IF(ISERROR(OFFSET(#REF!,SMALL(IF(#REF!=RM시즌체크판!C355,ROW(#REF!)-20),6),)),"",(OFFSET(#REF!,SMALL(IF(#REF!=RM시즌체크판!C355,ROW(#REF!)-20),6),)))</f>
        <v/>
      </c>
      <c r="N355" s="27" t="str">
        <f>IF(ISERROR(VLOOKUP(C355,모델촬영리스트!$C:$E,3,)),"",(VLOOKUP(C355,모델촬영리스트!$C:$E,3,)))</f>
        <v/>
      </c>
      <c r="O355" s="23" t="str">
        <f>IF(ISERROR(VLOOKUP(C355,배너촬영리스트!$C:$E,3,)),"",(VLOOKUP(C355,배너촬영리스트!$C:$E,3,)))</f>
        <v/>
      </c>
      <c r="P355" s="36" t="str">
        <f>IF(ISERROR(VLOOKUP(C355,배너촬영리스트!$C:$E,2,)),"",(VLOOKUP(C355,배너촬영리스트!$C:$E,2,)))</f>
        <v/>
      </c>
    </row>
    <row r="356" spans="2:16">
      <c r="B356" s="20" t="str">
        <f t="shared" si="5"/>
        <v>RM</v>
      </c>
      <c r="C356" s="11" t="s">
        <v>427</v>
      </c>
      <c r="D356" s="12" t="e">
        <f>VLOOKUP(C356,#REF!,2,0)</f>
        <v>#REF!</v>
      </c>
      <c r="E356" s="10" t="e">
        <f>VLOOKUP(C356,#REF!,4,0)</f>
        <v>#REF!</v>
      </c>
      <c r="F356" s="37" t="e">
        <f>VLOOKUP(C356,#REF!,8,0)</f>
        <v>#REF!</v>
      </c>
      <c r="G356" s="22" t="str">
        <f>IF(ISERROR(IF(VLOOKUP(C356,#REF!,2,0)&gt;0,"등록","")),"",(IF(VLOOKUP(C356,#REF!,2,0)&gt;0,"등록","")))</f>
        <v/>
      </c>
      <c r="H356" s="33" t="str">
        <f t="array" aca="1" ref="H356" ca="1">IF(ISERROR(OFFSET(#REF!,SMALL(IF(#REF!=RM시즌체크판!C356,ROW(#REF!)-20),1),)),"",(OFFSET(#REF!,SMALL(IF(#REF!=RM시즌체크판!C356,ROW(#REF!)-20),1),)))</f>
        <v/>
      </c>
      <c r="I356" s="34" t="str">
        <f t="array" aca="1" ref="I356" ca="1">IF(ISERROR(OFFSET(#REF!,SMALL(IF(#REF!=RM시즌체크판!C356,ROW(#REF!)-20),2),)),"",(OFFSET(#REF!,SMALL(IF(#REF!=RM시즌체크판!C356,ROW(#REF!)-20),2),)))</f>
        <v/>
      </c>
      <c r="J356" s="34" t="str">
        <f t="array" aca="1" ref="J356" ca="1">IF(ISERROR(OFFSET(#REF!,SMALL(IF(#REF!=RM시즌체크판!C356,ROW(#REF!)-20),3),)),"",(OFFSET(#REF!,SMALL(IF(#REF!=RM시즌체크판!C356,ROW(#REF!)-20),3),)))</f>
        <v/>
      </c>
      <c r="K356" s="34" t="str">
        <f t="array" aca="1" ref="K356" ca="1">IF(ISERROR(OFFSET(#REF!,SMALL(IF(#REF!=RM시즌체크판!C356,ROW(#REF!)-20),4),)),"",(OFFSET(#REF!,SMALL(IF(#REF!=RM시즌체크판!C356,ROW(#REF!)-20),4),)))</f>
        <v/>
      </c>
      <c r="L356" s="34" t="str">
        <f t="array" aca="1" ref="L356" ca="1">IF(ISERROR(OFFSET(#REF!,SMALL(IF(#REF!=RM시즌체크판!C356,ROW(#REF!)-20),5),)),"",(OFFSET(#REF!,SMALL(IF(#REF!=RM시즌체크판!C356,ROW(#REF!)-20),5),)))</f>
        <v/>
      </c>
      <c r="M356" s="35" t="str">
        <f t="array" aca="1" ref="M356" ca="1">IF(ISERROR(OFFSET(#REF!,SMALL(IF(#REF!=RM시즌체크판!C356,ROW(#REF!)-20),6),)),"",(OFFSET(#REF!,SMALL(IF(#REF!=RM시즌체크판!C356,ROW(#REF!)-20),6),)))</f>
        <v/>
      </c>
      <c r="N356" s="27" t="str">
        <f>IF(ISERROR(VLOOKUP(C356,모델촬영리스트!$C:$E,3,)),"",(VLOOKUP(C356,모델촬영리스트!$C:$E,3,)))</f>
        <v/>
      </c>
      <c r="O356" s="23" t="str">
        <f>IF(ISERROR(VLOOKUP(C356,배너촬영리스트!$C:$E,3,)),"",(VLOOKUP(C356,배너촬영리스트!$C:$E,3,)))</f>
        <v/>
      </c>
      <c r="P356" s="36" t="str">
        <f>IF(ISERROR(VLOOKUP(C356,배너촬영리스트!$C:$E,2,)),"",(VLOOKUP(C356,배너촬영리스트!$C:$E,2,)))</f>
        <v/>
      </c>
    </row>
    <row r="357" spans="2:16">
      <c r="B357" s="20" t="str">
        <f t="shared" si="5"/>
        <v>RM</v>
      </c>
      <c r="C357" s="11" t="s">
        <v>450</v>
      </c>
      <c r="D357" s="12" t="e">
        <f>VLOOKUP(C357,#REF!,2,0)</f>
        <v>#REF!</v>
      </c>
      <c r="E357" s="10" t="e">
        <f>VLOOKUP(C357,#REF!,4,0)</f>
        <v>#REF!</v>
      </c>
      <c r="F357" s="37" t="e">
        <f>VLOOKUP(C357,#REF!,8,0)</f>
        <v>#REF!</v>
      </c>
      <c r="G357" s="22" t="str">
        <f>IF(ISERROR(IF(VLOOKUP(C357,#REF!,2,0)&gt;0,"등록","")),"",(IF(VLOOKUP(C357,#REF!,2,0)&gt;0,"등록","")))</f>
        <v/>
      </c>
      <c r="H357" s="33" t="str">
        <f t="array" aca="1" ref="H357" ca="1">IF(ISERROR(OFFSET(#REF!,SMALL(IF(#REF!=RM시즌체크판!C357,ROW(#REF!)-20),1),)),"",(OFFSET(#REF!,SMALL(IF(#REF!=RM시즌체크판!C357,ROW(#REF!)-20),1),)))</f>
        <v/>
      </c>
      <c r="I357" s="34" t="str">
        <f t="array" aca="1" ref="I357" ca="1">IF(ISERROR(OFFSET(#REF!,SMALL(IF(#REF!=RM시즌체크판!C357,ROW(#REF!)-20),2),)),"",(OFFSET(#REF!,SMALL(IF(#REF!=RM시즌체크판!C357,ROW(#REF!)-20),2),)))</f>
        <v/>
      </c>
      <c r="J357" s="34" t="str">
        <f t="array" aca="1" ref="J357" ca="1">IF(ISERROR(OFFSET(#REF!,SMALL(IF(#REF!=RM시즌체크판!C357,ROW(#REF!)-20),3),)),"",(OFFSET(#REF!,SMALL(IF(#REF!=RM시즌체크판!C357,ROW(#REF!)-20),3),)))</f>
        <v/>
      </c>
      <c r="K357" s="34" t="str">
        <f t="array" aca="1" ref="K357" ca="1">IF(ISERROR(OFFSET(#REF!,SMALL(IF(#REF!=RM시즌체크판!C357,ROW(#REF!)-20),4),)),"",(OFFSET(#REF!,SMALL(IF(#REF!=RM시즌체크판!C357,ROW(#REF!)-20),4),)))</f>
        <v/>
      </c>
      <c r="L357" s="34" t="str">
        <f t="array" aca="1" ref="L357" ca="1">IF(ISERROR(OFFSET(#REF!,SMALL(IF(#REF!=RM시즌체크판!C357,ROW(#REF!)-20),5),)),"",(OFFSET(#REF!,SMALL(IF(#REF!=RM시즌체크판!C357,ROW(#REF!)-20),5),)))</f>
        <v/>
      </c>
      <c r="M357" s="35" t="str">
        <f t="array" aca="1" ref="M357" ca="1">IF(ISERROR(OFFSET(#REF!,SMALL(IF(#REF!=RM시즌체크판!C357,ROW(#REF!)-20),6),)),"",(OFFSET(#REF!,SMALL(IF(#REF!=RM시즌체크판!C357,ROW(#REF!)-20),6),)))</f>
        <v/>
      </c>
      <c r="N357" s="27" t="str">
        <f>IF(ISERROR(VLOOKUP(C357,모델촬영리스트!$C:$E,3,)),"",(VLOOKUP(C357,모델촬영리스트!$C:$E,3,)))</f>
        <v/>
      </c>
      <c r="O357" s="23" t="str">
        <f>IF(ISERROR(VLOOKUP(C357,배너촬영리스트!$C:$E,3,)),"",(VLOOKUP(C357,배너촬영리스트!$C:$E,3,)))</f>
        <v/>
      </c>
      <c r="P357" s="36" t="str">
        <f>IF(ISERROR(VLOOKUP(C357,배너촬영리스트!$C:$E,2,)),"",(VLOOKUP(C357,배너촬영리스트!$C:$E,2,)))</f>
        <v/>
      </c>
    </row>
    <row r="358" spans="2:16">
      <c r="B358" s="20" t="str">
        <f t="shared" si="5"/>
        <v>RM</v>
      </c>
      <c r="C358" s="11" t="s">
        <v>306</v>
      </c>
      <c r="D358" s="12" t="e">
        <f>VLOOKUP(C358,#REF!,2,0)</f>
        <v>#REF!</v>
      </c>
      <c r="E358" s="10" t="e">
        <f>VLOOKUP(C358,#REF!,4,0)</f>
        <v>#REF!</v>
      </c>
      <c r="F358" s="37" t="e">
        <f>VLOOKUP(C358,#REF!,8,0)</f>
        <v>#REF!</v>
      </c>
      <c r="G358" s="22" t="str">
        <f>IF(ISERROR(IF(VLOOKUP(C358,#REF!,2,0)&gt;0,"등록","")),"",(IF(VLOOKUP(C358,#REF!,2,0)&gt;0,"등록","")))</f>
        <v/>
      </c>
      <c r="H358" s="33" t="str">
        <f t="array" aca="1" ref="H358" ca="1">IF(ISERROR(OFFSET(#REF!,SMALL(IF(#REF!=RM시즌체크판!C358,ROW(#REF!)-20),1),)),"",(OFFSET(#REF!,SMALL(IF(#REF!=RM시즌체크판!C358,ROW(#REF!)-20),1),)))</f>
        <v/>
      </c>
      <c r="I358" s="34" t="str">
        <f t="array" aca="1" ref="I358" ca="1">IF(ISERROR(OFFSET(#REF!,SMALL(IF(#REF!=RM시즌체크판!C358,ROW(#REF!)-20),2),)),"",(OFFSET(#REF!,SMALL(IF(#REF!=RM시즌체크판!C358,ROW(#REF!)-20),2),)))</f>
        <v/>
      </c>
      <c r="J358" s="34" t="str">
        <f t="array" aca="1" ref="J358" ca="1">IF(ISERROR(OFFSET(#REF!,SMALL(IF(#REF!=RM시즌체크판!C358,ROW(#REF!)-20),3),)),"",(OFFSET(#REF!,SMALL(IF(#REF!=RM시즌체크판!C358,ROW(#REF!)-20),3),)))</f>
        <v/>
      </c>
      <c r="K358" s="34" t="str">
        <f t="array" aca="1" ref="K358" ca="1">IF(ISERROR(OFFSET(#REF!,SMALL(IF(#REF!=RM시즌체크판!C358,ROW(#REF!)-20),4),)),"",(OFFSET(#REF!,SMALL(IF(#REF!=RM시즌체크판!C358,ROW(#REF!)-20),4),)))</f>
        <v/>
      </c>
      <c r="L358" s="34" t="str">
        <f t="array" aca="1" ref="L358" ca="1">IF(ISERROR(OFFSET(#REF!,SMALL(IF(#REF!=RM시즌체크판!C358,ROW(#REF!)-20),5),)),"",(OFFSET(#REF!,SMALL(IF(#REF!=RM시즌체크판!C358,ROW(#REF!)-20),5),)))</f>
        <v/>
      </c>
      <c r="M358" s="35" t="str">
        <f t="array" aca="1" ref="M358" ca="1">IF(ISERROR(OFFSET(#REF!,SMALL(IF(#REF!=RM시즌체크판!C358,ROW(#REF!)-20),6),)),"",(OFFSET(#REF!,SMALL(IF(#REF!=RM시즌체크판!C358,ROW(#REF!)-20),6),)))</f>
        <v/>
      </c>
      <c r="N358" s="27" t="str">
        <f>IF(ISERROR(VLOOKUP(C358,모델촬영리스트!$C:$E,3,)),"",(VLOOKUP(C358,모델촬영리스트!$C:$E,3,)))</f>
        <v/>
      </c>
      <c r="O358" s="23" t="str">
        <f>IF(ISERROR(VLOOKUP(C358,배너촬영리스트!$C:$E,3,)),"",(VLOOKUP(C358,배너촬영리스트!$C:$E,3,)))</f>
        <v/>
      </c>
      <c r="P358" s="36" t="str">
        <f>IF(ISERROR(VLOOKUP(C358,배너촬영리스트!$C:$E,2,)),"",(VLOOKUP(C358,배너촬영리스트!$C:$E,2,)))</f>
        <v/>
      </c>
    </row>
    <row r="359" spans="2:16">
      <c r="B359" s="20" t="str">
        <f t="shared" si="5"/>
        <v>RM</v>
      </c>
      <c r="C359" s="11" t="s">
        <v>307</v>
      </c>
      <c r="D359" s="12" t="e">
        <f>VLOOKUP(C359,#REF!,2,0)</f>
        <v>#REF!</v>
      </c>
      <c r="E359" s="10" t="e">
        <f>VLOOKUP(C359,#REF!,4,0)</f>
        <v>#REF!</v>
      </c>
      <c r="F359" s="37" t="e">
        <f>VLOOKUP(C359,#REF!,8,0)</f>
        <v>#REF!</v>
      </c>
      <c r="G359" s="22" t="str">
        <f>IF(ISERROR(IF(VLOOKUP(C359,#REF!,2,0)&gt;0,"등록","")),"",(IF(VLOOKUP(C359,#REF!,2,0)&gt;0,"등록","")))</f>
        <v/>
      </c>
      <c r="H359" s="33" t="str">
        <f t="array" aca="1" ref="H359" ca="1">IF(ISERROR(OFFSET(#REF!,SMALL(IF(#REF!=RM시즌체크판!C359,ROW(#REF!)-20),1),)),"",(OFFSET(#REF!,SMALL(IF(#REF!=RM시즌체크판!C359,ROW(#REF!)-20),1),)))</f>
        <v/>
      </c>
      <c r="I359" s="34" t="str">
        <f t="array" aca="1" ref="I359" ca="1">IF(ISERROR(OFFSET(#REF!,SMALL(IF(#REF!=RM시즌체크판!C359,ROW(#REF!)-20),2),)),"",(OFFSET(#REF!,SMALL(IF(#REF!=RM시즌체크판!C359,ROW(#REF!)-20),2),)))</f>
        <v/>
      </c>
      <c r="J359" s="34" t="str">
        <f t="array" aca="1" ref="J359" ca="1">IF(ISERROR(OFFSET(#REF!,SMALL(IF(#REF!=RM시즌체크판!C359,ROW(#REF!)-20),3),)),"",(OFFSET(#REF!,SMALL(IF(#REF!=RM시즌체크판!C359,ROW(#REF!)-20),3),)))</f>
        <v/>
      </c>
      <c r="K359" s="34" t="str">
        <f t="array" aca="1" ref="K359" ca="1">IF(ISERROR(OFFSET(#REF!,SMALL(IF(#REF!=RM시즌체크판!C359,ROW(#REF!)-20),4),)),"",(OFFSET(#REF!,SMALL(IF(#REF!=RM시즌체크판!C359,ROW(#REF!)-20),4),)))</f>
        <v/>
      </c>
      <c r="L359" s="34" t="str">
        <f t="array" aca="1" ref="L359" ca="1">IF(ISERROR(OFFSET(#REF!,SMALL(IF(#REF!=RM시즌체크판!C359,ROW(#REF!)-20),5),)),"",(OFFSET(#REF!,SMALL(IF(#REF!=RM시즌체크판!C359,ROW(#REF!)-20),5),)))</f>
        <v/>
      </c>
      <c r="M359" s="35" t="str">
        <f t="array" aca="1" ref="M359" ca="1">IF(ISERROR(OFFSET(#REF!,SMALL(IF(#REF!=RM시즌체크판!C359,ROW(#REF!)-20),6),)),"",(OFFSET(#REF!,SMALL(IF(#REF!=RM시즌체크판!C359,ROW(#REF!)-20),6),)))</f>
        <v/>
      </c>
      <c r="N359" s="27" t="str">
        <f>IF(ISERROR(VLOOKUP(C359,모델촬영리스트!$C:$E,3,)),"",(VLOOKUP(C359,모델촬영리스트!$C:$E,3,)))</f>
        <v/>
      </c>
      <c r="O359" s="23" t="str">
        <f>IF(ISERROR(VLOOKUP(C359,배너촬영리스트!$C:$E,3,)),"",(VLOOKUP(C359,배너촬영리스트!$C:$E,3,)))</f>
        <v/>
      </c>
      <c r="P359" s="36" t="str">
        <f>IF(ISERROR(VLOOKUP(C359,배너촬영리스트!$C:$E,2,)),"",(VLOOKUP(C359,배너촬영리스트!$C:$E,2,)))</f>
        <v/>
      </c>
    </row>
    <row r="360" spans="2:16">
      <c r="B360" s="20" t="str">
        <f t="shared" si="5"/>
        <v>RM</v>
      </c>
      <c r="C360" s="11" t="s">
        <v>308</v>
      </c>
      <c r="D360" s="12" t="e">
        <f>VLOOKUP(C360,#REF!,2,0)</f>
        <v>#REF!</v>
      </c>
      <c r="E360" s="10" t="e">
        <f>VLOOKUP(C360,#REF!,4,0)</f>
        <v>#REF!</v>
      </c>
      <c r="F360" s="37" t="e">
        <f>VLOOKUP(C360,#REF!,8,0)</f>
        <v>#REF!</v>
      </c>
      <c r="G360" s="22" t="str">
        <f>IF(ISERROR(IF(VLOOKUP(C360,#REF!,2,0)&gt;0,"등록","")),"",(IF(VLOOKUP(C360,#REF!,2,0)&gt;0,"등록","")))</f>
        <v/>
      </c>
      <c r="H360" s="33" t="str">
        <f t="array" aca="1" ref="H360" ca="1">IF(ISERROR(OFFSET(#REF!,SMALL(IF(#REF!=RM시즌체크판!C360,ROW(#REF!)-20),1),)),"",(OFFSET(#REF!,SMALL(IF(#REF!=RM시즌체크판!C360,ROW(#REF!)-20),1),)))</f>
        <v/>
      </c>
      <c r="I360" s="34" t="str">
        <f t="array" aca="1" ref="I360" ca="1">IF(ISERROR(OFFSET(#REF!,SMALL(IF(#REF!=RM시즌체크판!C360,ROW(#REF!)-20),2),)),"",(OFFSET(#REF!,SMALL(IF(#REF!=RM시즌체크판!C360,ROW(#REF!)-20),2),)))</f>
        <v/>
      </c>
      <c r="J360" s="34" t="str">
        <f t="array" aca="1" ref="J360" ca="1">IF(ISERROR(OFFSET(#REF!,SMALL(IF(#REF!=RM시즌체크판!C360,ROW(#REF!)-20),3),)),"",(OFFSET(#REF!,SMALL(IF(#REF!=RM시즌체크판!C360,ROW(#REF!)-20),3),)))</f>
        <v/>
      </c>
      <c r="K360" s="34" t="str">
        <f t="array" aca="1" ref="K360" ca="1">IF(ISERROR(OFFSET(#REF!,SMALL(IF(#REF!=RM시즌체크판!C360,ROW(#REF!)-20),4),)),"",(OFFSET(#REF!,SMALL(IF(#REF!=RM시즌체크판!C360,ROW(#REF!)-20),4),)))</f>
        <v/>
      </c>
      <c r="L360" s="34" t="str">
        <f t="array" aca="1" ref="L360" ca="1">IF(ISERROR(OFFSET(#REF!,SMALL(IF(#REF!=RM시즌체크판!C360,ROW(#REF!)-20),5),)),"",(OFFSET(#REF!,SMALL(IF(#REF!=RM시즌체크판!C360,ROW(#REF!)-20),5),)))</f>
        <v/>
      </c>
      <c r="M360" s="35" t="str">
        <f t="array" aca="1" ref="M360" ca="1">IF(ISERROR(OFFSET(#REF!,SMALL(IF(#REF!=RM시즌체크판!C360,ROW(#REF!)-20),6),)),"",(OFFSET(#REF!,SMALL(IF(#REF!=RM시즌체크판!C360,ROW(#REF!)-20),6),)))</f>
        <v/>
      </c>
      <c r="N360" s="27" t="str">
        <f>IF(ISERROR(VLOOKUP(C360,모델촬영리스트!$C:$E,3,)),"",(VLOOKUP(C360,모델촬영리스트!$C:$E,3,)))</f>
        <v/>
      </c>
      <c r="O360" s="23" t="str">
        <f>IF(ISERROR(VLOOKUP(C360,배너촬영리스트!$C:$E,3,)),"",(VLOOKUP(C360,배너촬영리스트!$C:$E,3,)))</f>
        <v/>
      </c>
      <c r="P360" s="36" t="str">
        <f>IF(ISERROR(VLOOKUP(C360,배너촬영리스트!$C:$E,2,)),"",(VLOOKUP(C360,배너촬영리스트!$C:$E,2,)))</f>
        <v/>
      </c>
    </row>
    <row r="361" spans="2:16">
      <c r="B361" s="20" t="str">
        <f t="shared" si="5"/>
        <v>RM</v>
      </c>
      <c r="C361" s="11" t="s">
        <v>309</v>
      </c>
      <c r="D361" s="12" t="e">
        <f>VLOOKUP(C361,#REF!,2,0)</f>
        <v>#REF!</v>
      </c>
      <c r="E361" s="10" t="e">
        <f>VLOOKUP(C361,#REF!,4,0)</f>
        <v>#REF!</v>
      </c>
      <c r="F361" s="37" t="e">
        <f>VLOOKUP(C361,#REF!,8,0)</f>
        <v>#REF!</v>
      </c>
      <c r="G361" s="22" t="str">
        <f>IF(ISERROR(IF(VLOOKUP(C361,#REF!,2,0)&gt;0,"등록","")),"",(IF(VLOOKUP(C361,#REF!,2,0)&gt;0,"등록","")))</f>
        <v/>
      </c>
      <c r="H361" s="33" t="str">
        <f t="array" aca="1" ref="H361" ca="1">IF(ISERROR(OFFSET(#REF!,SMALL(IF(#REF!=RM시즌체크판!C361,ROW(#REF!)-20),1),)),"",(OFFSET(#REF!,SMALL(IF(#REF!=RM시즌체크판!C361,ROW(#REF!)-20),1),)))</f>
        <v/>
      </c>
      <c r="I361" s="34" t="str">
        <f t="array" aca="1" ref="I361" ca="1">IF(ISERROR(OFFSET(#REF!,SMALL(IF(#REF!=RM시즌체크판!C361,ROW(#REF!)-20),2),)),"",(OFFSET(#REF!,SMALL(IF(#REF!=RM시즌체크판!C361,ROW(#REF!)-20),2),)))</f>
        <v/>
      </c>
      <c r="J361" s="34" t="str">
        <f t="array" aca="1" ref="J361" ca="1">IF(ISERROR(OFFSET(#REF!,SMALL(IF(#REF!=RM시즌체크판!C361,ROW(#REF!)-20),3),)),"",(OFFSET(#REF!,SMALL(IF(#REF!=RM시즌체크판!C361,ROW(#REF!)-20),3),)))</f>
        <v/>
      </c>
      <c r="K361" s="34" t="str">
        <f t="array" aca="1" ref="K361" ca="1">IF(ISERROR(OFFSET(#REF!,SMALL(IF(#REF!=RM시즌체크판!C361,ROW(#REF!)-20),4),)),"",(OFFSET(#REF!,SMALL(IF(#REF!=RM시즌체크판!C361,ROW(#REF!)-20),4),)))</f>
        <v/>
      </c>
      <c r="L361" s="34" t="str">
        <f t="array" aca="1" ref="L361" ca="1">IF(ISERROR(OFFSET(#REF!,SMALL(IF(#REF!=RM시즌체크판!C361,ROW(#REF!)-20),5),)),"",(OFFSET(#REF!,SMALL(IF(#REF!=RM시즌체크판!C361,ROW(#REF!)-20),5),)))</f>
        <v/>
      </c>
      <c r="M361" s="35" t="str">
        <f t="array" aca="1" ref="M361" ca="1">IF(ISERROR(OFFSET(#REF!,SMALL(IF(#REF!=RM시즌체크판!C361,ROW(#REF!)-20),6),)),"",(OFFSET(#REF!,SMALL(IF(#REF!=RM시즌체크판!C361,ROW(#REF!)-20),6),)))</f>
        <v/>
      </c>
      <c r="N361" s="27" t="str">
        <f>IF(ISERROR(VLOOKUP(C361,모델촬영리스트!$C:$E,3,)),"",(VLOOKUP(C361,모델촬영리스트!$C:$E,3,)))</f>
        <v/>
      </c>
      <c r="O361" s="23" t="str">
        <f>IF(ISERROR(VLOOKUP(C361,배너촬영리스트!$C:$E,3,)),"",(VLOOKUP(C361,배너촬영리스트!$C:$E,3,)))</f>
        <v/>
      </c>
      <c r="P361" s="36" t="str">
        <f>IF(ISERROR(VLOOKUP(C361,배너촬영리스트!$C:$E,2,)),"",(VLOOKUP(C361,배너촬영리스트!$C:$E,2,)))</f>
        <v/>
      </c>
    </row>
    <row r="362" spans="2:16">
      <c r="B362" s="20" t="str">
        <f t="shared" si="5"/>
        <v>RM</v>
      </c>
      <c r="C362" s="11" t="s">
        <v>403</v>
      </c>
      <c r="D362" s="12" t="e">
        <f>VLOOKUP(C362,#REF!,2,0)</f>
        <v>#REF!</v>
      </c>
      <c r="E362" s="10" t="e">
        <f>VLOOKUP(C362,#REF!,4,0)</f>
        <v>#REF!</v>
      </c>
      <c r="F362" s="37" t="e">
        <f>VLOOKUP(C362,#REF!,8,0)</f>
        <v>#REF!</v>
      </c>
      <c r="G362" s="22" t="str">
        <f>IF(ISERROR(IF(VLOOKUP(C362,#REF!,2,0)&gt;0,"등록","")),"",(IF(VLOOKUP(C362,#REF!,2,0)&gt;0,"등록","")))</f>
        <v/>
      </c>
      <c r="H362" s="33" t="str">
        <f t="array" aca="1" ref="H362" ca="1">IF(ISERROR(OFFSET(#REF!,SMALL(IF(#REF!=RM시즌체크판!C362,ROW(#REF!)-20),1),)),"",(OFFSET(#REF!,SMALL(IF(#REF!=RM시즌체크판!C362,ROW(#REF!)-20),1),)))</f>
        <v/>
      </c>
      <c r="I362" s="34" t="str">
        <f t="array" aca="1" ref="I362" ca="1">IF(ISERROR(OFFSET(#REF!,SMALL(IF(#REF!=RM시즌체크판!C362,ROW(#REF!)-20),2),)),"",(OFFSET(#REF!,SMALL(IF(#REF!=RM시즌체크판!C362,ROW(#REF!)-20),2),)))</f>
        <v/>
      </c>
      <c r="J362" s="34" t="str">
        <f t="array" aca="1" ref="J362" ca="1">IF(ISERROR(OFFSET(#REF!,SMALL(IF(#REF!=RM시즌체크판!C362,ROW(#REF!)-20),3),)),"",(OFFSET(#REF!,SMALL(IF(#REF!=RM시즌체크판!C362,ROW(#REF!)-20),3),)))</f>
        <v/>
      </c>
      <c r="K362" s="34" t="str">
        <f t="array" aca="1" ref="K362" ca="1">IF(ISERROR(OFFSET(#REF!,SMALL(IF(#REF!=RM시즌체크판!C362,ROW(#REF!)-20),4),)),"",(OFFSET(#REF!,SMALL(IF(#REF!=RM시즌체크판!C362,ROW(#REF!)-20),4),)))</f>
        <v/>
      </c>
      <c r="L362" s="34" t="str">
        <f t="array" aca="1" ref="L362" ca="1">IF(ISERROR(OFFSET(#REF!,SMALL(IF(#REF!=RM시즌체크판!C362,ROW(#REF!)-20),5),)),"",(OFFSET(#REF!,SMALL(IF(#REF!=RM시즌체크판!C362,ROW(#REF!)-20),5),)))</f>
        <v/>
      </c>
      <c r="M362" s="35" t="str">
        <f t="array" aca="1" ref="M362" ca="1">IF(ISERROR(OFFSET(#REF!,SMALL(IF(#REF!=RM시즌체크판!C362,ROW(#REF!)-20),6),)),"",(OFFSET(#REF!,SMALL(IF(#REF!=RM시즌체크판!C362,ROW(#REF!)-20),6),)))</f>
        <v/>
      </c>
      <c r="N362" s="27" t="str">
        <f>IF(ISERROR(VLOOKUP(C362,모델촬영리스트!$C:$E,3,)),"",(VLOOKUP(C362,모델촬영리스트!$C:$E,3,)))</f>
        <v/>
      </c>
      <c r="O362" s="23" t="str">
        <f>IF(ISERROR(VLOOKUP(C362,배너촬영리스트!$C:$E,3,)),"",(VLOOKUP(C362,배너촬영리스트!$C:$E,3,)))</f>
        <v/>
      </c>
      <c r="P362" s="36" t="str">
        <f>IF(ISERROR(VLOOKUP(C362,배너촬영리스트!$C:$E,2,)),"",(VLOOKUP(C362,배너촬영리스트!$C:$E,2,)))</f>
        <v/>
      </c>
    </row>
    <row r="363" spans="2:16">
      <c r="B363" s="20" t="str">
        <f t="shared" si="5"/>
        <v>RM</v>
      </c>
      <c r="C363" s="11" t="s">
        <v>451</v>
      </c>
      <c r="D363" s="12" t="e">
        <f>VLOOKUP(C363,#REF!,2,0)</f>
        <v>#REF!</v>
      </c>
      <c r="E363" s="10" t="e">
        <f>VLOOKUP(C363,#REF!,4,0)</f>
        <v>#REF!</v>
      </c>
      <c r="F363" s="37" t="e">
        <f>VLOOKUP(C363,#REF!,8,0)</f>
        <v>#REF!</v>
      </c>
      <c r="G363" s="22" t="str">
        <f>IF(ISERROR(IF(VLOOKUP(C363,#REF!,2,0)&gt;0,"등록","")),"",(IF(VLOOKUP(C363,#REF!,2,0)&gt;0,"등록","")))</f>
        <v/>
      </c>
      <c r="H363" s="33" t="str">
        <f t="array" aca="1" ref="H363" ca="1">IF(ISERROR(OFFSET(#REF!,SMALL(IF(#REF!=RM시즌체크판!C363,ROW(#REF!)-20),1),)),"",(OFFSET(#REF!,SMALL(IF(#REF!=RM시즌체크판!C363,ROW(#REF!)-20),1),)))</f>
        <v/>
      </c>
      <c r="I363" s="34" t="str">
        <f t="array" aca="1" ref="I363" ca="1">IF(ISERROR(OFFSET(#REF!,SMALL(IF(#REF!=RM시즌체크판!C363,ROW(#REF!)-20),2),)),"",(OFFSET(#REF!,SMALL(IF(#REF!=RM시즌체크판!C363,ROW(#REF!)-20),2),)))</f>
        <v/>
      </c>
      <c r="J363" s="34" t="str">
        <f t="array" aca="1" ref="J363" ca="1">IF(ISERROR(OFFSET(#REF!,SMALL(IF(#REF!=RM시즌체크판!C363,ROW(#REF!)-20),3),)),"",(OFFSET(#REF!,SMALL(IF(#REF!=RM시즌체크판!C363,ROW(#REF!)-20),3),)))</f>
        <v/>
      </c>
      <c r="K363" s="34" t="str">
        <f t="array" aca="1" ref="K363" ca="1">IF(ISERROR(OFFSET(#REF!,SMALL(IF(#REF!=RM시즌체크판!C363,ROW(#REF!)-20),4),)),"",(OFFSET(#REF!,SMALL(IF(#REF!=RM시즌체크판!C363,ROW(#REF!)-20),4),)))</f>
        <v/>
      </c>
      <c r="L363" s="34" t="str">
        <f t="array" aca="1" ref="L363" ca="1">IF(ISERROR(OFFSET(#REF!,SMALL(IF(#REF!=RM시즌체크판!C363,ROW(#REF!)-20),5),)),"",(OFFSET(#REF!,SMALL(IF(#REF!=RM시즌체크판!C363,ROW(#REF!)-20),5),)))</f>
        <v/>
      </c>
      <c r="M363" s="35" t="str">
        <f t="array" aca="1" ref="M363" ca="1">IF(ISERROR(OFFSET(#REF!,SMALL(IF(#REF!=RM시즌체크판!C363,ROW(#REF!)-20),6),)),"",(OFFSET(#REF!,SMALL(IF(#REF!=RM시즌체크판!C363,ROW(#REF!)-20),6),)))</f>
        <v/>
      </c>
      <c r="N363" s="27" t="str">
        <f>IF(ISERROR(VLOOKUP(C363,모델촬영리스트!$C:$E,3,)),"",(VLOOKUP(C363,모델촬영리스트!$C:$E,3,)))</f>
        <v/>
      </c>
      <c r="O363" s="23" t="str">
        <f>IF(ISERROR(VLOOKUP(C363,배너촬영리스트!$C:$E,3,)),"",(VLOOKUP(C363,배너촬영리스트!$C:$E,3,)))</f>
        <v/>
      </c>
      <c r="P363" s="36" t="str">
        <f>IF(ISERROR(VLOOKUP(C363,배너촬영리스트!$C:$E,2,)),"",(VLOOKUP(C363,배너촬영리스트!$C:$E,2,)))</f>
        <v/>
      </c>
    </row>
    <row r="364" spans="2:16">
      <c r="B364" s="20" t="str">
        <f t="shared" si="5"/>
        <v>RM</v>
      </c>
      <c r="C364" s="11" t="s">
        <v>313</v>
      </c>
      <c r="D364" s="12" t="e">
        <f>VLOOKUP(C364,#REF!,2,0)</f>
        <v>#REF!</v>
      </c>
      <c r="E364" s="10" t="e">
        <f>VLOOKUP(C364,#REF!,4,0)</f>
        <v>#REF!</v>
      </c>
      <c r="F364" s="37" t="e">
        <f>VLOOKUP(C364,#REF!,8,0)</f>
        <v>#REF!</v>
      </c>
      <c r="G364" s="22" t="str">
        <f>IF(ISERROR(IF(VLOOKUP(C364,#REF!,2,0)&gt;0,"등록","")),"",(IF(VLOOKUP(C364,#REF!,2,0)&gt;0,"등록","")))</f>
        <v/>
      </c>
      <c r="H364" s="33" t="str">
        <f t="array" aca="1" ref="H364" ca="1">IF(ISERROR(OFFSET(#REF!,SMALL(IF(#REF!=RM시즌체크판!C364,ROW(#REF!)-20),1),)),"",(OFFSET(#REF!,SMALL(IF(#REF!=RM시즌체크판!C364,ROW(#REF!)-20),1),)))</f>
        <v/>
      </c>
      <c r="I364" s="34" t="str">
        <f t="array" aca="1" ref="I364" ca="1">IF(ISERROR(OFFSET(#REF!,SMALL(IF(#REF!=RM시즌체크판!C364,ROW(#REF!)-20),2),)),"",(OFFSET(#REF!,SMALL(IF(#REF!=RM시즌체크판!C364,ROW(#REF!)-20),2),)))</f>
        <v/>
      </c>
      <c r="J364" s="34" t="str">
        <f t="array" aca="1" ref="J364" ca="1">IF(ISERROR(OFFSET(#REF!,SMALL(IF(#REF!=RM시즌체크판!C364,ROW(#REF!)-20),3),)),"",(OFFSET(#REF!,SMALL(IF(#REF!=RM시즌체크판!C364,ROW(#REF!)-20),3),)))</f>
        <v/>
      </c>
      <c r="K364" s="34" t="str">
        <f t="array" aca="1" ref="K364" ca="1">IF(ISERROR(OFFSET(#REF!,SMALL(IF(#REF!=RM시즌체크판!C364,ROW(#REF!)-20),4),)),"",(OFFSET(#REF!,SMALL(IF(#REF!=RM시즌체크판!C364,ROW(#REF!)-20),4),)))</f>
        <v/>
      </c>
      <c r="L364" s="34" t="str">
        <f t="array" aca="1" ref="L364" ca="1">IF(ISERROR(OFFSET(#REF!,SMALL(IF(#REF!=RM시즌체크판!C364,ROW(#REF!)-20),5),)),"",(OFFSET(#REF!,SMALL(IF(#REF!=RM시즌체크판!C364,ROW(#REF!)-20),5),)))</f>
        <v/>
      </c>
      <c r="M364" s="35" t="str">
        <f t="array" aca="1" ref="M364" ca="1">IF(ISERROR(OFFSET(#REF!,SMALL(IF(#REF!=RM시즌체크판!C364,ROW(#REF!)-20),6),)),"",(OFFSET(#REF!,SMALL(IF(#REF!=RM시즌체크판!C364,ROW(#REF!)-20),6),)))</f>
        <v/>
      </c>
      <c r="N364" s="27" t="str">
        <f>IF(ISERROR(VLOOKUP(C364,모델촬영리스트!$C:$E,3,)),"",(VLOOKUP(C364,모델촬영리스트!$C:$E,3,)))</f>
        <v/>
      </c>
      <c r="O364" s="23" t="str">
        <f>IF(ISERROR(VLOOKUP(C364,배너촬영리스트!$C:$E,3,)),"",(VLOOKUP(C364,배너촬영리스트!$C:$E,3,)))</f>
        <v/>
      </c>
      <c r="P364" s="36" t="str">
        <f>IF(ISERROR(VLOOKUP(C364,배너촬영리스트!$C:$E,2,)),"",(VLOOKUP(C364,배너촬영리스트!$C:$E,2,)))</f>
        <v/>
      </c>
    </row>
    <row r="365" spans="2:16">
      <c r="B365" s="20" t="str">
        <f t="shared" si="5"/>
        <v>RM</v>
      </c>
      <c r="C365" s="11" t="s">
        <v>421</v>
      </c>
      <c r="D365" s="12" t="e">
        <f>VLOOKUP(C365,#REF!,2,0)</f>
        <v>#REF!</v>
      </c>
      <c r="E365" s="10" t="e">
        <f>VLOOKUP(C365,#REF!,4,0)</f>
        <v>#REF!</v>
      </c>
      <c r="F365" s="37" t="e">
        <f>VLOOKUP(C365,#REF!,8,0)</f>
        <v>#REF!</v>
      </c>
      <c r="G365" s="22" t="str">
        <f>IF(ISERROR(IF(VLOOKUP(C365,#REF!,2,0)&gt;0,"등록","")),"",(IF(VLOOKUP(C365,#REF!,2,0)&gt;0,"등록","")))</f>
        <v/>
      </c>
      <c r="H365" s="33" t="str">
        <f t="array" aca="1" ref="H365" ca="1">IF(ISERROR(OFFSET(#REF!,SMALL(IF(#REF!=RM시즌체크판!C365,ROW(#REF!)-20),1),)),"",(OFFSET(#REF!,SMALL(IF(#REF!=RM시즌체크판!C365,ROW(#REF!)-20),1),)))</f>
        <v/>
      </c>
      <c r="I365" s="34" t="str">
        <f t="array" aca="1" ref="I365" ca="1">IF(ISERROR(OFFSET(#REF!,SMALL(IF(#REF!=RM시즌체크판!C365,ROW(#REF!)-20),2),)),"",(OFFSET(#REF!,SMALL(IF(#REF!=RM시즌체크판!C365,ROW(#REF!)-20),2),)))</f>
        <v/>
      </c>
      <c r="J365" s="34" t="str">
        <f t="array" aca="1" ref="J365" ca="1">IF(ISERROR(OFFSET(#REF!,SMALL(IF(#REF!=RM시즌체크판!C365,ROW(#REF!)-20),3),)),"",(OFFSET(#REF!,SMALL(IF(#REF!=RM시즌체크판!C365,ROW(#REF!)-20),3),)))</f>
        <v/>
      </c>
      <c r="K365" s="34" t="str">
        <f t="array" aca="1" ref="K365" ca="1">IF(ISERROR(OFFSET(#REF!,SMALL(IF(#REF!=RM시즌체크판!C365,ROW(#REF!)-20),4),)),"",(OFFSET(#REF!,SMALL(IF(#REF!=RM시즌체크판!C365,ROW(#REF!)-20),4),)))</f>
        <v/>
      </c>
      <c r="L365" s="34" t="str">
        <f t="array" aca="1" ref="L365" ca="1">IF(ISERROR(OFFSET(#REF!,SMALL(IF(#REF!=RM시즌체크판!C365,ROW(#REF!)-20),5),)),"",(OFFSET(#REF!,SMALL(IF(#REF!=RM시즌체크판!C365,ROW(#REF!)-20),5),)))</f>
        <v/>
      </c>
      <c r="M365" s="35" t="str">
        <f t="array" aca="1" ref="M365" ca="1">IF(ISERROR(OFFSET(#REF!,SMALL(IF(#REF!=RM시즌체크판!C365,ROW(#REF!)-20),6),)),"",(OFFSET(#REF!,SMALL(IF(#REF!=RM시즌체크판!C365,ROW(#REF!)-20),6),)))</f>
        <v/>
      </c>
      <c r="N365" s="27" t="str">
        <f>IF(ISERROR(VLOOKUP(C365,모델촬영리스트!$C:$E,3,)),"",(VLOOKUP(C365,모델촬영리스트!$C:$E,3,)))</f>
        <v/>
      </c>
      <c r="O365" s="23" t="str">
        <f>IF(ISERROR(VLOOKUP(C365,배너촬영리스트!$C:$E,3,)),"",(VLOOKUP(C365,배너촬영리스트!$C:$E,3,)))</f>
        <v/>
      </c>
      <c r="P365" s="36" t="str">
        <f>IF(ISERROR(VLOOKUP(C365,배너촬영리스트!$C:$E,2,)),"",(VLOOKUP(C365,배너촬영리스트!$C:$E,2,)))</f>
        <v/>
      </c>
    </row>
    <row r="366" spans="2:16">
      <c r="B366" s="20" t="str">
        <f t="shared" si="5"/>
        <v>RM</v>
      </c>
      <c r="C366" s="11" t="s">
        <v>346</v>
      </c>
      <c r="D366" s="12" t="e">
        <f>VLOOKUP(C366,#REF!,2,0)</f>
        <v>#REF!</v>
      </c>
      <c r="E366" s="10" t="e">
        <f>VLOOKUP(C366,#REF!,4,0)</f>
        <v>#REF!</v>
      </c>
      <c r="F366" s="37" t="e">
        <f>VLOOKUP(C366,#REF!,8,0)</f>
        <v>#REF!</v>
      </c>
      <c r="G366" s="22" t="str">
        <f>IF(ISERROR(IF(VLOOKUP(C366,#REF!,2,0)&gt;0,"등록","")),"",(IF(VLOOKUP(C366,#REF!,2,0)&gt;0,"등록","")))</f>
        <v/>
      </c>
      <c r="H366" s="33" t="str">
        <f t="array" aca="1" ref="H366" ca="1">IF(ISERROR(OFFSET(#REF!,SMALL(IF(#REF!=RM시즌체크판!C366,ROW(#REF!)-20),1),)),"",(OFFSET(#REF!,SMALL(IF(#REF!=RM시즌체크판!C366,ROW(#REF!)-20),1),)))</f>
        <v/>
      </c>
      <c r="I366" s="34" t="str">
        <f t="array" aca="1" ref="I366" ca="1">IF(ISERROR(OFFSET(#REF!,SMALL(IF(#REF!=RM시즌체크판!C366,ROW(#REF!)-20),2),)),"",(OFFSET(#REF!,SMALL(IF(#REF!=RM시즌체크판!C366,ROW(#REF!)-20),2),)))</f>
        <v/>
      </c>
      <c r="J366" s="34" t="str">
        <f t="array" aca="1" ref="J366" ca="1">IF(ISERROR(OFFSET(#REF!,SMALL(IF(#REF!=RM시즌체크판!C366,ROW(#REF!)-20),3),)),"",(OFFSET(#REF!,SMALL(IF(#REF!=RM시즌체크판!C366,ROW(#REF!)-20),3),)))</f>
        <v/>
      </c>
      <c r="K366" s="34" t="str">
        <f t="array" aca="1" ref="K366" ca="1">IF(ISERROR(OFFSET(#REF!,SMALL(IF(#REF!=RM시즌체크판!C366,ROW(#REF!)-20),4),)),"",(OFFSET(#REF!,SMALL(IF(#REF!=RM시즌체크판!C366,ROW(#REF!)-20),4),)))</f>
        <v/>
      </c>
      <c r="L366" s="34" t="str">
        <f t="array" aca="1" ref="L366" ca="1">IF(ISERROR(OFFSET(#REF!,SMALL(IF(#REF!=RM시즌체크판!C366,ROW(#REF!)-20),5),)),"",(OFFSET(#REF!,SMALL(IF(#REF!=RM시즌체크판!C366,ROW(#REF!)-20),5),)))</f>
        <v/>
      </c>
      <c r="M366" s="35" t="str">
        <f t="array" aca="1" ref="M366" ca="1">IF(ISERROR(OFFSET(#REF!,SMALL(IF(#REF!=RM시즌체크판!C366,ROW(#REF!)-20),6),)),"",(OFFSET(#REF!,SMALL(IF(#REF!=RM시즌체크판!C366,ROW(#REF!)-20),6),)))</f>
        <v/>
      </c>
      <c r="N366" s="27" t="str">
        <f>IF(ISERROR(VLOOKUP(C366,모델촬영리스트!$C:$E,3,)),"",(VLOOKUP(C366,모델촬영리스트!$C:$E,3,)))</f>
        <v/>
      </c>
      <c r="O366" s="23" t="str">
        <f>IF(ISERROR(VLOOKUP(C366,배너촬영리스트!$C:$E,3,)),"",(VLOOKUP(C366,배너촬영리스트!$C:$E,3,)))</f>
        <v/>
      </c>
      <c r="P366" s="36" t="str">
        <f>IF(ISERROR(VLOOKUP(C366,배너촬영리스트!$C:$E,2,)),"",(VLOOKUP(C366,배너촬영리스트!$C:$E,2,)))</f>
        <v/>
      </c>
    </row>
    <row r="367" spans="2:16">
      <c r="B367" s="20" t="str">
        <f t="shared" si="5"/>
        <v>RM</v>
      </c>
      <c r="C367" s="11" t="s">
        <v>347</v>
      </c>
      <c r="D367" s="12" t="e">
        <f>VLOOKUP(C367,#REF!,2,0)</f>
        <v>#REF!</v>
      </c>
      <c r="E367" s="10" t="e">
        <f>VLOOKUP(C367,#REF!,4,0)</f>
        <v>#REF!</v>
      </c>
      <c r="F367" s="37" t="e">
        <f>VLOOKUP(C367,#REF!,8,0)</f>
        <v>#REF!</v>
      </c>
      <c r="G367" s="22" t="str">
        <f>IF(ISERROR(IF(VLOOKUP(C367,#REF!,2,0)&gt;0,"등록","")),"",(IF(VLOOKUP(C367,#REF!,2,0)&gt;0,"등록","")))</f>
        <v/>
      </c>
      <c r="H367" s="33" t="str">
        <f t="array" aca="1" ref="H367" ca="1">IF(ISERROR(OFFSET(#REF!,SMALL(IF(#REF!=RM시즌체크판!C367,ROW(#REF!)-20),1),)),"",(OFFSET(#REF!,SMALL(IF(#REF!=RM시즌체크판!C367,ROW(#REF!)-20),1),)))</f>
        <v/>
      </c>
      <c r="I367" s="34" t="str">
        <f t="array" aca="1" ref="I367" ca="1">IF(ISERROR(OFFSET(#REF!,SMALL(IF(#REF!=RM시즌체크판!C367,ROW(#REF!)-20),2),)),"",(OFFSET(#REF!,SMALL(IF(#REF!=RM시즌체크판!C367,ROW(#REF!)-20),2),)))</f>
        <v/>
      </c>
      <c r="J367" s="34" t="str">
        <f t="array" aca="1" ref="J367" ca="1">IF(ISERROR(OFFSET(#REF!,SMALL(IF(#REF!=RM시즌체크판!C367,ROW(#REF!)-20),3),)),"",(OFFSET(#REF!,SMALL(IF(#REF!=RM시즌체크판!C367,ROW(#REF!)-20),3),)))</f>
        <v/>
      </c>
      <c r="K367" s="34" t="str">
        <f t="array" aca="1" ref="K367" ca="1">IF(ISERROR(OFFSET(#REF!,SMALL(IF(#REF!=RM시즌체크판!C367,ROW(#REF!)-20),4),)),"",(OFFSET(#REF!,SMALL(IF(#REF!=RM시즌체크판!C367,ROW(#REF!)-20),4),)))</f>
        <v/>
      </c>
      <c r="L367" s="34" t="str">
        <f t="array" aca="1" ref="L367" ca="1">IF(ISERROR(OFFSET(#REF!,SMALL(IF(#REF!=RM시즌체크판!C367,ROW(#REF!)-20),5),)),"",(OFFSET(#REF!,SMALL(IF(#REF!=RM시즌체크판!C367,ROW(#REF!)-20),5),)))</f>
        <v/>
      </c>
      <c r="M367" s="35" t="str">
        <f t="array" aca="1" ref="M367" ca="1">IF(ISERROR(OFFSET(#REF!,SMALL(IF(#REF!=RM시즌체크판!C367,ROW(#REF!)-20),6),)),"",(OFFSET(#REF!,SMALL(IF(#REF!=RM시즌체크판!C367,ROW(#REF!)-20),6),)))</f>
        <v/>
      </c>
      <c r="N367" s="27" t="str">
        <f>IF(ISERROR(VLOOKUP(C367,모델촬영리스트!$C:$E,3,)),"",(VLOOKUP(C367,모델촬영리스트!$C:$E,3,)))</f>
        <v/>
      </c>
      <c r="O367" s="23" t="str">
        <f>IF(ISERROR(VLOOKUP(C367,배너촬영리스트!$C:$E,3,)),"",(VLOOKUP(C367,배너촬영리스트!$C:$E,3,)))</f>
        <v/>
      </c>
      <c r="P367" s="36" t="str">
        <f>IF(ISERROR(VLOOKUP(C367,배너촬영리스트!$C:$E,2,)),"",(VLOOKUP(C367,배너촬영리스트!$C:$E,2,)))</f>
        <v/>
      </c>
    </row>
    <row r="368" spans="2:16">
      <c r="B368" s="20" t="str">
        <f t="shared" si="5"/>
        <v>RM</v>
      </c>
      <c r="C368" s="11" t="s">
        <v>348</v>
      </c>
      <c r="D368" s="12" t="e">
        <f>VLOOKUP(C368,#REF!,2,0)</f>
        <v>#REF!</v>
      </c>
      <c r="E368" s="10" t="e">
        <f>VLOOKUP(C368,#REF!,4,0)</f>
        <v>#REF!</v>
      </c>
      <c r="F368" s="37" t="e">
        <f>VLOOKUP(C368,#REF!,8,0)</f>
        <v>#REF!</v>
      </c>
      <c r="G368" s="22" t="str">
        <f>IF(ISERROR(IF(VLOOKUP(C368,#REF!,2,0)&gt;0,"등록","")),"",(IF(VLOOKUP(C368,#REF!,2,0)&gt;0,"등록","")))</f>
        <v/>
      </c>
      <c r="H368" s="33" t="str">
        <f t="array" aca="1" ref="H368" ca="1">IF(ISERROR(OFFSET(#REF!,SMALL(IF(#REF!=RM시즌체크판!C368,ROW(#REF!)-20),1),)),"",(OFFSET(#REF!,SMALL(IF(#REF!=RM시즌체크판!C368,ROW(#REF!)-20),1),)))</f>
        <v/>
      </c>
      <c r="I368" s="34" t="str">
        <f t="array" aca="1" ref="I368" ca="1">IF(ISERROR(OFFSET(#REF!,SMALL(IF(#REF!=RM시즌체크판!C368,ROW(#REF!)-20),2),)),"",(OFFSET(#REF!,SMALL(IF(#REF!=RM시즌체크판!C368,ROW(#REF!)-20),2),)))</f>
        <v/>
      </c>
      <c r="J368" s="34" t="str">
        <f t="array" aca="1" ref="J368" ca="1">IF(ISERROR(OFFSET(#REF!,SMALL(IF(#REF!=RM시즌체크판!C368,ROW(#REF!)-20),3),)),"",(OFFSET(#REF!,SMALL(IF(#REF!=RM시즌체크판!C368,ROW(#REF!)-20),3),)))</f>
        <v/>
      </c>
      <c r="K368" s="34" t="str">
        <f t="array" aca="1" ref="K368" ca="1">IF(ISERROR(OFFSET(#REF!,SMALL(IF(#REF!=RM시즌체크판!C368,ROW(#REF!)-20),4),)),"",(OFFSET(#REF!,SMALL(IF(#REF!=RM시즌체크판!C368,ROW(#REF!)-20),4),)))</f>
        <v/>
      </c>
      <c r="L368" s="34" t="str">
        <f t="array" aca="1" ref="L368" ca="1">IF(ISERROR(OFFSET(#REF!,SMALL(IF(#REF!=RM시즌체크판!C368,ROW(#REF!)-20),5),)),"",(OFFSET(#REF!,SMALL(IF(#REF!=RM시즌체크판!C368,ROW(#REF!)-20),5),)))</f>
        <v/>
      </c>
      <c r="M368" s="35" t="str">
        <f t="array" aca="1" ref="M368" ca="1">IF(ISERROR(OFFSET(#REF!,SMALL(IF(#REF!=RM시즌체크판!C368,ROW(#REF!)-20),6),)),"",(OFFSET(#REF!,SMALL(IF(#REF!=RM시즌체크판!C368,ROW(#REF!)-20),6),)))</f>
        <v/>
      </c>
      <c r="N368" s="27" t="str">
        <f>IF(ISERROR(VLOOKUP(C368,모델촬영리스트!$C:$E,3,)),"",(VLOOKUP(C368,모델촬영리스트!$C:$E,3,)))</f>
        <v/>
      </c>
      <c r="O368" s="23" t="str">
        <f>IF(ISERROR(VLOOKUP(C368,배너촬영리스트!$C:$E,3,)),"",(VLOOKUP(C368,배너촬영리스트!$C:$E,3,)))</f>
        <v/>
      </c>
      <c r="P368" s="36" t="str">
        <f>IF(ISERROR(VLOOKUP(C368,배너촬영리스트!$C:$E,2,)),"",(VLOOKUP(C368,배너촬영리스트!$C:$E,2,)))</f>
        <v/>
      </c>
    </row>
    <row r="369" spans="2:16">
      <c r="B369" s="20" t="str">
        <f t="shared" si="5"/>
        <v>RM</v>
      </c>
      <c r="C369" s="11" t="s">
        <v>428</v>
      </c>
      <c r="D369" s="12" t="e">
        <f>VLOOKUP(C369,#REF!,2,0)</f>
        <v>#REF!</v>
      </c>
      <c r="E369" s="10" t="e">
        <f>VLOOKUP(C369,#REF!,4,0)</f>
        <v>#REF!</v>
      </c>
      <c r="F369" s="37" t="e">
        <f>VLOOKUP(C369,#REF!,8,0)</f>
        <v>#REF!</v>
      </c>
      <c r="G369" s="22" t="str">
        <f>IF(ISERROR(IF(VLOOKUP(C369,#REF!,2,0)&gt;0,"등록","")),"",(IF(VLOOKUP(C369,#REF!,2,0)&gt;0,"등록","")))</f>
        <v/>
      </c>
      <c r="H369" s="33" t="str">
        <f t="array" aca="1" ref="H369" ca="1">IF(ISERROR(OFFSET(#REF!,SMALL(IF(#REF!=RM시즌체크판!C369,ROW(#REF!)-20),1),)),"",(OFFSET(#REF!,SMALL(IF(#REF!=RM시즌체크판!C369,ROW(#REF!)-20),1),)))</f>
        <v/>
      </c>
      <c r="I369" s="34" t="str">
        <f t="array" aca="1" ref="I369" ca="1">IF(ISERROR(OFFSET(#REF!,SMALL(IF(#REF!=RM시즌체크판!C369,ROW(#REF!)-20),2),)),"",(OFFSET(#REF!,SMALL(IF(#REF!=RM시즌체크판!C369,ROW(#REF!)-20),2),)))</f>
        <v/>
      </c>
      <c r="J369" s="34" t="str">
        <f t="array" aca="1" ref="J369" ca="1">IF(ISERROR(OFFSET(#REF!,SMALL(IF(#REF!=RM시즌체크판!C369,ROW(#REF!)-20),3),)),"",(OFFSET(#REF!,SMALL(IF(#REF!=RM시즌체크판!C369,ROW(#REF!)-20),3),)))</f>
        <v/>
      </c>
      <c r="K369" s="34" t="str">
        <f t="array" aca="1" ref="K369" ca="1">IF(ISERROR(OFFSET(#REF!,SMALL(IF(#REF!=RM시즌체크판!C369,ROW(#REF!)-20),4),)),"",(OFFSET(#REF!,SMALL(IF(#REF!=RM시즌체크판!C369,ROW(#REF!)-20),4),)))</f>
        <v/>
      </c>
      <c r="L369" s="34" t="str">
        <f t="array" aca="1" ref="L369" ca="1">IF(ISERROR(OFFSET(#REF!,SMALL(IF(#REF!=RM시즌체크판!C369,ROW(#REF!)-20),5),)),"",(OFFSET(#REF!,SMALL(IF(#REF!=RM시즌체크판!C369,ROW(#REF!)-20),5),)))</f>
        <v/>
      </c>
      <c r="M369" s="35" t="str">
        <f t="array" aca="1" ref="M369" ca="1">IF(ISERROR(OFFSET(#REF!,SMALL(IF(#REF!=RM시즌체크판!C369,ROW(#REF!)-20),6),)),"",(OFFSET(#REF!,SMALL(IF(#REF!=RM시즌체크판!C369,ROW(#REF!)-20),6),)))</f>
        <v/>
      </c>
      <c r="N369" s="27" t="str">
        <f>IF(ISERROR(VLOOKUP(C369,모델촬영리스트!$C:$E,3,)),"",(VLOOKUP(C369,모델촬영리스트!$C:$E,3,)))</f>
        <v/>
      </c>
      <c r="O369" s="23" t="str">
        <f>IF(ISERROR(VLOOKUP(C369,배너촬영리스트!$C:$E,3,)),"",(VLOOKUP(C369,배너촬영리스트!$C:$E,3,)))</f>
        <v/>
      </c>
      <c r="P369" s="36" t="str">
        <f>IF(ISERROR(VLOOKUP(C369,배너촬영리스트!$C:$E,2,)),"",(VLOOKUP(C369,배너촬영리스트!$C:$E,2,)))</f>
        <v/>
      </c>
    </row>
    <row r="370" spans="2:16">
      <c r="B370" s="20" t="str">
        <f t="shared" ref="B370:B425" si="6">MID(C370,1,2)</f>
        <v>RM</v>
      </c>
      <c r="C370" s="11" t="s">
        <v>349</v>
      </c>
      <c r="D370" s="12" t="e">
        <f>VLOOKUP(C370,#REF!,2,0)</f>
        <v>#REF!</v>
      </c>
      <c r="E370" s="10" t="e">
        <f>VLOOKUP(C370,#REF!,4,0)</f>
        <v>#REF!</v>
      </c>
      <c r="F370" s="37" t="e">
        <f>VLOOKUP(C370,#REF!,8,0)</f>
        <v>#REF!</v>
      </c>
      <c r="G370" s="22" t="str">
        <f>IF(ISERROR(IF(VLOOKUP(C370,#REF!,2,0)&gt;0,"등록","")),"",(IF(VLOOKUP(C370,#REF!,2,0)&gt;0,"등록","")))</f>
        <v/>
      </c>
      <c r="H370" s="33" t="str">
        <f t="array" aca="1" ref="H370" ca="1">IF(ISERROR(OFFSET(#REF!,SMALL(IF(#REF!=RM시즌체크판!C370,ROW(#REF!)-20),1),)),"",(OFFSET(#REF!,SMALL(IF(#REF!=RM시즌체크판!C370,ROW(#REF!)-20),1),)))</f>
        <v/>
      </c>
      <c r="I370" s="34" t="str">
        <f t="array" aca="1" ref="I370" ca="1">IF(ISERROR(OFFSET(#REF!,SMALL(IF(#REF!=RM시즌체크판!C370,ROW(#REF!)-20),2),)),"",(OFFSET(#REF!,SMALL(IF(#REF!=RM시즌체크판!C370,ROW(#REF!)-20),2),)))</f>
        <v/>
      </c>
      <c r="J370" s="34" t="str">
        <f t="array" aca="1" ref="J370" ca="1">IF(ISERROR(OFFSET(#REF!,SMALL(IF(#REF!=RM시즌체크판!C370,ROW(#REF!)-20),3),)),"",(OFFSET(#REF!,SMALL(IF(#REF!=RM시즌체크판!C370,ROW(#REF!)-20),3),)))</f>
        <v/>
      </c>
      <c r="K370" s="34" t="str">
        <f t="array" aca="1" ref="K370" ca="1">IF(ISERROR(OFFSET(#REF!,SMALL(IF(#REF!=RM시즌체크판!C370,ROW(#REF!)-20),4),)),"",(OFFSET(#REF!,SMALL(IF(#REF!=RM시즌체크판!C370,ROW(#REF!)-20),4),)))</f>
        <v/>
      </c>
      <c r="L370" s="34" t="str">
        <f t="array" aca="1" ref="L370" ca="1">IF(ISERROR(OFFSET(#REF!,SMALL(IF(#REF!=RM시즌체크판!C370,ROW(#REF!)-20),5),)),"",(OFFSET(#REF!,SMALL(IF(#REF!=RM시즌체크판!C370,ROW(#REF!)-20),5),)))</f>
        <v/>
      </c>
      <c r="M370" s="35" t="str">
        <f t="array" aca="1" ref="M370" ca="1">IF(ISERROR(OFFSET(#REF!,SMALL(IF(#REF!=RM시즌체크판!C370,ROW(#REF!)-20),6),)),"",(OFFSET(#REF!,SMALL(IF(#REF!=RM시즌체크판!C370,ROW(#REF!)-20),6),)))</f>
        <v/>
      </c>
      <c r="N370" s="27" t="str">
        <f>IF(ISERROR(VLOOKUP(C370,모델촬영리스트!$C:$E,3,)),"",(VLOOKUP(C370,모델촬영리스트!$C:$E,3,)))</f>
        <v/>
      </c>
      <c r="O370" s="23" t="str">
        <f>IF(ISERROR(VLOOKUP(C370,배너촬영리스트!$C:$E,3,)),"",(VLOOKUP(C370,배너촬영리스트!$C:$E,3,)))</f>
        <v/>
      </c>
      <c r="P370" s="36" t="str">
        <f>IF(ISERROR(VLOOKUP(C370,배너촬영리스트!$C:$E,2,)),"",(VLOOKUP(C370,배너촬영리스트!$C:$E,2,)))</f>
        <v/>
      </c>
    </row>
    <row r="371" spans="2:16">
      <c r="B371" s="20" t="str">
        <f t="shared" si="6"/>
        <v>RM</v>
      </c>
      <c r="C371" s="11" t="s">
        <v>350</v>
      </c>
      <c r="D371" s="12" t="e">
        <f>VLOOKUP(C371,#REF!,2,0)</f>
        <v>#REF!</v>
      </c>
      <c r="E371" s="10" t="e">
        <f>VLOOKUP(C371,#REF!,4,0)</f>
        <v>#REF!</v>
      </c>
      <c r="F371" s="37" t="e">
        <f>VLOOKUP(C371,#REF!,8,0)</f>
        <v>#REF!</v>
      </c>
      <c r="G371" s="22" t="str">
        <f>IF(ISERROR(IF(VLOOKUP(C371,#REF!,2,0)&gt;0,"등록","")),"",(IF(VLOOKUP(C371,#REF!,2,0)&gt;0,"등록","")))</f>
        <v/>
      </c>
      <c r="H371" s="33" t="str">
        <f t="array" aca="1" ref="H371" ca="1">IF(ISERROR(OFFSET(#REF!,SMALL(IF(#REF!=RM시즌체크판!C371,ROW(#REF!)-20),1),)),"",(OFFSET(#REF!,SMALL(IF(#REF!=RM시즌체크판!C371,ROW(#REF!)-20),1),)))</f>
        <v/>
      </c>
      <c r="I371" s="34" t="str">
        <f t="array" aca="1" ref="I371" ca="1">IF(ISERROR(OFFSET(#REF!,SMALL(IF(#REF!=RM시즌체크판!C371,ROW(#REF!)-20),2),)),"",(OFFSET(#REF!,SMALL(IF(#REF!=RM시즌체크판!C371,ROW(#REF!)-20),2),)))</f>
        <v/>
      </c>
      <c r="J371" s="34" t="str">
        <f t="array" aca="1" ref="J371" ca="1">IF(ISERROR(OFFSET(#REF!,SMALL(IF(#REF!=RM시즌체크판!C371,ROW(#REF!)-20),3),)),"",(OFFSET(#REF!,SMALL(IF(#REF!=RM시즌체크판!C371,ROW(#REF!)-20),3),)))</f>
        <v/>
      </c>
      <c r="K371" s="34" t="str">
        <f t="array" aca="1" ref="K371" ca="1">IF(ISERROR(OFFSET(#REF!,SMALL(IF(#REF!=RM시즌체크판!C371,ROW(#REF!)-20),4),)),"",(OFFSET(#REF!,SMALL(IF(#REF!=RM시즌체크판!C371,ROW(#REF!)-20),4),)))</f>
        <v/>
      </c>
      <c r="L371" s="34" t="str">
        <f t="array" aca="1" ref="L371" ca="1">IF(ISERROR(OFFSET(#REF!,SMALL(IF(#REF!=RM시즌체크판!C371,ROW(#REF!)-20),5),)),"",(OFFSET(#REF!,SMALL(IF(#REF!=RM시즌체크판!C371,ROW(#REF!)-20),5),)))</f>
        <v/>
      </c>
      <c r="M371" s="35" t="str">
        <f t="array" aca="1" ref="M371" ca="1">IF(ISERROR(OFFSET(#REF!,SMALL(IF(#REF!=RM시즌체크판!C371,ROW(#REF!)-20),6),)),"",(OFFSET(#REF!,SMALL(IF(#REF!=RM시즌체크판!C371,ROW(#REF!)-20),6),)))</f>
        <v/>
      </c>
      <c r="N371" s="27" t="str">
        <f>IF(ISERROR(VLOOKUP(C371,모델촬영리스트!$C:$E,3,)),"",(VLOOKUP(C371,모델촬영리스트!$C:$E,3,)))</f>
        <v/>
      </c>
      <c r="O371" s="23" t="str">
        <f>IF(ISERROR(VLOOKUP(C371,배너촬영리스트!$C:$E,3,)),"",(VLOOKUP(C371,배너촬영리스트!$C:$E,3,)))</f>
        <v/>
      </c>
      <c r="P371" s="36" t="str">
        <f>IF(ISERROR(VLOOKUP(C371,배너촬영리스트!$C:$E,2,)),"",(VLOOKUP(C371,배너촬영리스트!$C:$E,2,)))</f>
        <v/>
      </c>
    </row>
    <row r="372" spans="2:16">
      <c r="B372" s="20" t="str">
        <f t="shared" si="6"/>
        <v>RM</v>
      </c>
      <c r="C372" s="11" t="s">
        <v>404</v>
      </c>
      <c r="D372" s="12" t="e">
        <f>VLOOKUP(C372,#REF!,2,0)</f>
        <v>#REF!</v>
      </c>
      <c r="E372" s="10" t="e">
        <f>VLOOKUP(C372,#REF!,4,0)</f>
        <v>#REF!</v>
      </c>
      <c r="F372" s="37" t="e">
        <f>VLOOKUP(C372,#REF!,8,0)</f>
        <v>#REF!</v>
      </c>
      <c r="G372" s="22" t="str">
        <f>IF(ISERROR(IF(VLOOKUP(C372,#REF!,2,0)&gt;0,"등록","")),"",(IF(VLOOKUP(C372,#REF!,2,0)&gt;0,"등록","")))</f>
        <v/>
      </c>
      <c r="H372" s="33" t="str">
        <f t="array" aca="1" ref="H372" ca="1">IF(ISERROR(OFFSET(#REF!,SMALL(IF(#REF!=RM시즌체크판!C372,ROW(#REF!)-20),1),)),"",(OFFSET(#REF!,SMALL(IF(#REF!=RM시즌체크판!C372,ROW(#REF!)-20),1),)))</f>
        <v/>
      </c>
      <c r="I372" s="34" t="str">
        <f t="array" aca="1" ref="I372" ca="1">IF(ISERROR(OFFSET(#REF!,SMALL(IF(#REF!=RM시즌체크판!C372,ROW(#REF!)-20),2),)),"",(OFFSET(#REF!,SMALL(IF(#REF!=RM시즌체크판!C372,ROW(#REF!)-20),2),)))</f>
        <v/>
      </c>
      <c r="J372" s="34" t="str">
        <f t="array" aca="1" ref="J372" ca="1">IF(ISERROR(OFFSET(#REF!,SMALL(IF(#REF!=RM시즌체크판!C372,ROW(#REF!)-20),3),)),"",(OFFSET(#REF!,SMALL(IF(#REF!=RM시즌체크판!C372,ROW(#REF!)-20),3),)))</f>
        <v/>
      </c>
      <c r="K372" s="34" t="str">
        <f t="array" aca="1" ref="K372" ca="1">IF(ISERROR(OFFSET(#REF!,SMALL(IF(#REF!=RM시즌체크판!C372,ROW(#REF!)-20),4),)),"",(OFFSET(#REF!,SMALL(IF(#REF!=RM시즌체크판!C372,ROW(#REF!)-20),4),)))</f>
        <v/>
      </c>
      <c r="L372" s="34" t="str">
        <f t="array" aca="1" ref="L372" ca="1">IF(ISERROR(OFFSET(#REF!,SMALL(IF(#REF!=RM시즌체크판!C372,ROW(#REF!)-20),5),)),"",(OFFSET(#REF!,SMALL(IF(#REF!=RM시즌체크판!C372,ROW(#REF!)-20),5),)))</f>
        <v/>
      </c>
      <c r="M372" s="35" t="str">
        <f t="array" aca="1" ref="M372" ca="1">IF(ISERROR(OFFSET(#REF!,SMALL(IF(#REF!=RM시즌체크판!C372,ROW(#REF!)-20),6),)),"",(OFFSET(#REF!,SMALL(IF(#REF!=RM시즌체크판!C372,ROW(#REF!)-20),6),)))</f>
        <v/>
      </c>
      <c r="N372" s="27" t="str">
        <f>IF(ISERROR(VLOOKUP(C372,모델촬영리스트!$C:$E,3,)),"",(VLOOKUP(C372,모델촬영리스트!$C:$E,3,)))</f>
        <v/>
      </c>
      <c r="O372" s="23" t="str">
        <f>IF(ISERROR(VLOOKUP(C372,배너촬영리스트!$C:$E,3,)),"",(VLOOKUP(C372,배너촬영리스트!$C:$E,3,)))</f>
        <v/>
      </c>
      <c r="P372" s="36" t="str">
        <f>IF(ISERROR(VLOOKUP(C372,배너촬영리스트!$C:$E,2,)),"",(VLOOKUP(C372,배너촬영리스트!$C:$E,2,)))</f>
        <v/>
      </c>
    </row>
    <row r="373" spans="2:16">
      <c r="B373" s="20" t="str">
        <f t="shared" si="6"/>
        <v>RM</v>
      </c>
      <c r="C373" s="11" t="s">
        <v>422</v>
      </c>
      <c r="D373" s="12" t="e">
        <f>VLOOKUP(C373,#REF!,2,0)</f>
        <v>#REF!</v>
      </c>
      <c r="E373" s="10" t="e">
        <f>VLOOKUP(C373,#REF!,4,0)</f>
        <v>#REF!</v>
      </c>
      <c r="F373" s="37" t="e">
        <f>VLOOKUP(C373,#REF!,8,0)</f>
        <v>#REF!</v>
      </c>
      <c r="G373" s="22" t="str">
        <f>IF(ISERROR(IF(VLOOKUP(C373,#REF!,2,0)&gt;0,"등록","")),"",(IF(VLOOKUP(C373,#REF!,2,0)&gt;0,"등록","")))</f>
        <v/>
      </c>
      <c r="H373" s="33" t="str">
        <f t="array" aca="1" ref="H373" ca="1">IF(ISERROR(OFFSET(#REF!,SMALL(IF(#REF!=RM시즌체크판!C373,ROW(#REF!)-20),1),)),"",(OFFSET(#REF!,SMALL(IF(#REF!=RM시즌체크판!C373,ROW(#REF!)-20),1),)))</f>
        <v/>
      </c>
      <c r="I373" s="34" t="str">
        <f t="array" aca="1" ref="I373" ca="1">IF(ISERROR(OFFSET(#REF!,SMALL(IF(#REF!=RM시즌체크판!C373,ROW(#REF!)-20),2),)),"",(OFFSET(#REF!,SMALL(IF(#REF!=RM시즌체크판!C373,ROW(#REF!)-20),2),)))</f>
        <v/>
      </c>
      <c r="J373" s="34" t="str">
        <f t="array" aca="1" ref="J373" ca="1">IF(ISERROR(OFFSET(#REF!,SMALL(IF(#REF!=RM시즌체크판!C373,ROW(#REF!)-20),3),)),"",(OFFSET(#REF!,SMALL(IF(#REF!=RM시즌체크판!C373,ROW(#REF!)-20),3),)))</f>
        <v/>
      </c>
      <c r="K373" s="34" t="str">
        <f t="array" aca="1" ref="K373" ca="1">IF(ISERROR(OFFSET(#REF!,SMALL(IF(#REF!=RM시즌체크판!C373,ROW(#REF!)-20),4),)),"",(OFFSET(#REF!,SMALL(IF(#REF!=RM시즌체크판!C373,ROW(#REF!)-20),4),)))</f>
        <v/>
      </c>
      <c r="L373" s="34" t="str">
        <f t="array" aca="1" ref="L373" ca="1">IF(ISERROR(OFFSET(#REF!,SMALL(IF(#REF!=RM시즌체크판!C373,ROW(#REF!)-20),5),)),"",(OFFSET(#REF!,SMALL(IF(#REF!=RM시즌체크판!C373,ROW(#REF!)-20),5),)))</f>
        <v/>
      </c>
      <c r="M373" s="35" t="str">
        <f t="array" aca="1" ref="M373" ca="1">IF(ISERROR(OFFSET(#REF!,SMALL(IF(#REF!=RM시즌체크판!C373,ROW(#REF!)-20),6),)),"",(OFFSET(#REF!,SMALL(IF(#REF!=RM시즌체크판!C373,ROW(#REF!)-20),6),)))</f>
        <v/>
      </c>
      <c r="N373" s="27" t="str">
        <f>IF(ISERROR(VLOOKUP(C373,모델촬영리스트!$C:$E,3,)),"",(VLOOKUP(C373,모델촬영리스트!$C:$E,3,)))</f>
        <v/>
      </c>
      <c r="O373" s="23" t="str">
        <f>IF(ISERROR(VLOOKUP(C373,배너촬영리스트!$C:$E,3,)),"",(VLOOKUP(C373,배너촬영리스트!$C:$E,3,)))</f>
        <v/>
      </c>
      <c r="P373" s="36" t="str">
        <f>IF(ISERROR(VLOOKUP(C373,배너촬영리스트!$C:$E,2,)),"",(VLOOKUP(C373,배너촬영리스트!$C:$E,2,)))</f>
        <v/>
      </c>
    </row>
    <row r="374" spans="2:16">
      <c r="B374" s="20" t="str">
        <f t="shared" si="6"/>
        <v>RM</v>
      </c>
      <c r="C374" s="11" t="s">
        <v>453</v>
      </c>
      <c r="D374" s="12" t="e">
        <f>VLOOKUP(C374,#REF!,2,0)</f>
        <v>#REF!</v>
      </c>
      <c r="E374" s="10" t="e">
        <f>VLOOKUP(C374,#REF!,4,0)</f>
        <v>#REF!</v>
      </c>
      <c r="F374" s="37" t="e">
        <f>VLOOKUP(C374,#REF!,8,0)</f>
        <v>#REF!</v>
      </c>
      <c r="G374" s="22" t="str">
        <f>IF(ISERROR(IF(VLOOKUP(C374,#REF!,2,0)&gt;0,"등록","")),"",(IF(VLOOKUP(C374,#REF!,2,0)&gt;0,"등록","")))</f>
        <v/>
      </c>
      <c r="H374" s="33" t="str">
        <f t="array" aca="1" ref="H374" ca="1">IF(ISERROR(OFFSET(#REF!,SMALL(IF(#REF!=RM시즌체크판!C374,ROW(#REF!)-20),1),)),"",(OFFSET(#REF!,SMALL(IF(#REF!=RM시즌체크판!C374,ROW(#REF!)-20),1),)))</f>
        <v/>
      </c>
      <c r="I374" s="34" t="str">
        <f t="array" aca="1" ref="I374" ca="1">IF(ISERROR(OFFSET(#REF!,SMALL(IF(#REF!=RM시즌체크판!C374,ROW(#REF!)-20),2),)),"",(OFFSET(#REF!,SMALL(IF(#REF!=RM시즌체크판!C374,ROW(#REF!)-20),2),)))</f>
        <v/>
      </c>
      <c r="J374" s="34" t="str">
        <f t="array" aca="1" ref="J374" ca="1">IF(ISERROR(OFFSET(#REF!,SMALL(IF(#REF!=RM시즌체크판!C374,ROW(#REF!)-20),3),)),"",(OFFSET(#REF!,SMALL(IF(#REF!=RM시즌체크판!C374,ROW(#REF!)-20),3),)))</f>
        <v/>
      </c>
      <c r="K374" s="34" t="str">
        <f t="array" aca="1" ref="K374" ca="1">IF(ISERROR(OFFSET(#REF!,SMALL(IF(#REF!=RM시즌체크판!C374,ROW(#REF!)-20),4),)),"",(OFFSET(#REF!,SMALL(IF(#REF!=RM시즌체크판!C374,ROW(#REF!)-20),4),)))</f>
        <v/>
      </c>
      <c r="L374" s="34" t="str">
        <f t="array" aca="1" ref="L374" ca="1">IF(ISERROR(OFFSET(#REF!,SMALL(IF(#REF!=RM시즌체크판!C374,ROW(#REF!)-20),5),)),"",(OFFSET(#REF!,SMALL(IF(#REF!=RM시즌체크판!C374,ROW(#REF!)-20),5),)))</f>
        <v/>
      </c>
      <c r="M374" s="35" t="str">
        <f t="array" aca="1" ref="M374" ca="1">IF(ISERROR(OFFSET(#REF!,SMALL(IF(#REF!=RM시즌체크판!C374,ROW(#REF!)-20),6),)),"",(OFFSET(#REF!,SMALL(IF(#REF!=RM시즌체크판!C374,ROW(#REF!)-20),6),)))</f>
        <v/>
      </c>
      <c r="N374" s="27" t="str">
        <f>IF(ISERROR(VLOOKUP(C374,모델촬영리스트!$C:$E,3,)),"",(VLOOKUP(C374,모델촬영리스트!$C:$E,3,)))</f>
        <v/>
      </c>
      <c r="O374" s="23" t="str">
        <f>IF(ISERROR(VLOOKUP(C374,배너촬영리스트!$C:$E,3,)),"",(VLOOKUP(C374,배너촬영리스트!$C:$E,3,)))</f>
        <v/>
      </c>
      <c r="P374" s="36" t="str">
        <f>IF(ISERROR(VLOOKUP(C374,배너촬영리스트!$C:$E,2,)),"",(VLOOKUP(C374,배너촬영리스트!$C:$E,2,)))</f>
        <v/>
      </c>
    </row>
    <row r="375" spans="2:16">
      <c r="B375" s="20" t="str">
        <f t="shared" si="6"/>
        <v>RM</v>
      </c>
      <c r="C375" s="11" t="s">
        <v>351</v>
      </c>
      <c r="D375" s="12" t="e">
        <f>VLOOKUP(C375,#REF!,2,0)</f>
        <v>#REF!</v>
      </c>
      <c r="E375" s="10" t="e">
        <f>VLOOKUP(C375,#REF!,4,0)</f>
        <v>#REF!</v>
      </c>
      <c r="F375" s="37" t="e">
        <f>VLOOKUP(C375,#REF!,8,0)</f>
        <v>#REF!</v>
      </c>
      <c r="G375" s="22" t="str">
        <f>IF(ISERROR(IF(VLOOKUP(C375,#REF!,2,0)&gt;0,"등록","")),"",(IF(VLOOKUP(C375,#REF!,2,0)&gt;0,"등록","")))</f>
        <v/>
      </c>
      <c r="H375" s="33" t="str">
        <f t="array" aca="1" ref="H375" ca="1">IF(ISERROR(OFFSET(#REF!,SMALL(IF(#REF!=RM시즌체크판!C375,ROW(#REF!)-20),1),)),"",(OFFSET(#REF!,SMALL(IF(#REF!=RM시즌체크판!C375,ROW(#REF!)-20),1),)))</f>
        <v/>
      </c>
      <c r="I375" s="34" t="str">
        <f t="array" aca="1" ref="I375" ca="1">IF(ISERROR(OFFSET(#REF!,SMALL(IF(#REF!=RM시즌체크판!C375,ROW(#REF!)-20),2),)),"",(OFFSET(#REF!,SMALL(IF(#REF!=RM시즌체크판!C375,ROW(#REF!)-20),2),)))</f>
        <v/>
      </c>
      <c r="J375" s="34" t="str">
        <f t="array" aca="1" ref="J375" ca="1">IF(ISERROR(OFFSET(#REF!,SMALL(IF(#REF!=RM시즌체크판!C375,ROW(#REF!)-20),3),)),"",(OFFSET(#REF!,SMALL(IF(#REF!=RM시즌체크판!C375,ROW(#REF!)-20),3),)))</f>
        <v/>
      </c>
      <c r="K375" s="34" t="str">
        <f t="array" aca="1" ref="K375" ca="1">IF(ISERROR(OFFSET(#REF!,SMALL(IF(#REF!=RM시즌체크판!C375,ROW(#REF!)-20),4),)),"",(OFFSET(#REF!,SMALL(IF(#REF!=RM시즌체크판!C375,ROW(#REF!)-20),4),)))</f>
        <v/>
      </c>
      <c r="L375" s="34" t="str">
        <f t="array" aca="1" ref="L375" ca="1">IF(ISERROR(OFFSET(#REF!,SMALL(IF(#REF!=RM시즌체크판!C375,ROW(#REF!)-20),5),)),"",(OFFSET(#REF!,SMALL(IF(#REF!=RM시즌체크판!C375,ROW(#REF!)-20),5),)))</f>
        <v/>
      </c>
      <c r="M375" s="35" t="str">
        <f t="array" aca="1" ref="M375" ca="1">IF(ISERROR(OFFSET(#REF!,SMALL(IF(#REF!=RM시즌체크판!C375,ROW(#REF!)-20),6),)),"",(OFFSET(#REF!,SMALL(IF(#REF!=RM시즌체크판!C375,ROW(#REF!)-20),6),)))</f>
        <v/>
      </c>
      <c r="N375" s="27" t="str">
        <f>IF(ISERROR(VLOOKUP(C375,모델촬영리스트!$C:$E,3,)),"",(VLOOKUP(C375,모델촬영리스트!$C:$E,3,)))</f>
        <v/>
      </c>
      <c r="O375" s="23" t="str">
        <f>IF(ISERROR(VLOOKUP(C375,배너촬영리스트!$C:$E,3,)),"",(VLOOKUP(C375,배너촬영리스트!$C:$E,3,)))</f>
        <v/>
      </c>
      <c r="P375" s="36" t="str">
        <f>IF(ISERROR(VLOOKUP(C375,배너촬영리스트!$C:$E,2,)),"",(VLOOKUP(C375,배너촬영리스트!$C:$E,2,)))</f>
        <v/>
      </c>
    </row>
    <row r="376" spans="2:16">
      <c r="B376" s="20" t="str">
        <f t="shared" si="6"/>
        <v>RM</v>
      </c>
      <c r="C376" s="11" t="s">
        <v>423</v>
      </c>
      <c r="D376" s="12" t="e">
        <f>VLOOKUP(C376,#REF!,2,0)</f>
        <v>#REF!</v>
      </c>
      <c r="E376" s="10" t="e">
        <f>VLOOKUP(C376,#REF!,4,0)</f>
        <v>#REF!</v>
      </c>
      <c r="F376" s="37" t="e">
        <f>VLOOKUP(C376,#REF!,8,0)</f>
        <v>#REF!</v>
      </c>
      <c r="G376" s="22" t="str">
        <f>IF(ISERROR(IF(VLOOKUP(C376,#REF!,2,0)&gt;0,"등록","")),"",(IF(VLOOKUP(C376,#REF!,2,0)&gt;0,"등록","")))</f>
        <v/>
      </c>
      <c r="H376" s="33" t="str">
        <f t="array" aca="1" ref="H376" ca="1">IF(ISERROR(OFFSET(#REF!,SMALL(IF(#REF!=RM시즌체크판!C376,ROW(#REF!)-20),1),)),"",(OFFSET(#REF!,SMALL(IF(#REF!=RM시즌체크판!C376,ROW(#REF!)-20),1),)))</f>
        <v/>
      </c>
      <c r="I376" s="34" t="str">
        <f t="array" aca="1" ref="I376" ca="1">IF(ISERROR(OFFSET(#REF!,SMALL(IF(#REF!=RM시즌체크판!C376,ROW(#REF!)-20),2),)),"",(OFFSET(#REF!,SMALL(IF(#REF!=RM시즌체크판!C376,ROW(#REF!)-20),2),)))</f>
        <v/>
      </c>
      <c r="J376" s="34" t="str">
        <f t="array" aca="1" ref="J376" ca="1">IF(ISERROR(OFFSET(#REF!,SMALL(IF(#REF!=RM시즌체크판!C376,ROW(#REF!)-20),3),)),"",(OFFSET(#REF!,SMALL(IF(#REF!=RM시즌체크판!C376,ROW(#REF!)-20),3),)))</f>
        <v/>
      </c>
      <c r="K376" s="34" t="str">
        <f t="array" aca="1" ref="K376" ca="1">IF(ISERROR(OFFSET(#REF!,SMALL(IF(#REF!=RM시즌체크판!C376,ROW(#REF!)-20),4),)),"",(OFFSET(#REF!,SMALL(IF(#REF!=RM시즌체크판!C376,ROW(#REF!)-20),4),)))</f>
        <v/>
      </c>
      <c r="L376" s="34" t="str">
        <f t="array" aca="1" ref="L376" ca="1">IF(ISERROR(OFFSET(#REF!,SMALL(IF(#REF!=RM시즌체크판!C376,ROW(#REF!)-20),5),)),"",(OFFSET(#REF!,SMALL(IF(#REF!=RM시즌체크판!C376,ROW(#REF!)-20),5),)))</f>
        <v/>
      </c>
      <c r="M376" s="35" t="str">
        <f t="array" aca="1" ref="M376" ca="1">IF(ISERROR(OFFSET(#REF!,SMALL(IF(#REF!=RM시즌체크판!C376,ROW(#REF!)-20),6),)),"",(OFFSET(#REF!,SMALL(IF(#REF!=RM시즌체크판!C376,ROW(#REF!)-20),6),)))</f>
        <v/>
      </c>
      <c r="N376" s="27" t="str">
        <f>IF(ISERROR(VLOOKUP(C376,모델촬영리스트!$C:$E,3,)),"",(VLOOKUP(C376,모델촬영리스트!$C:$E,3,)))</f>
        <v/>
      </c>
      <c r="O376" s="23" t="str">
        <f>IF(ISERROR(VLOOKUP(C376,배너촬영리스트!$C:$E,3,)),"",(VLOOKUP(C376,배너촬영리스트!$C:$E,3,)))</f>
        <v/>
      </c>
      <c r="P376" s="36" t="str">
        <f>IF(ISERROR(VLOOKUP(C376,배너촬영리스트!$C:$E,2,)),"",(VLOOKUP(C376,배너촬영리스트!$C:$E,2,)))</f>
        <v/>
      </c>
    </row>
    <row r="377" spans="2:16">
      <c r="B377" s="20" t="str">
        <f t="shared" si="6"/>
        <v>RM</v>
      </c>
      <c r="C377" s="11" t="s">
        <v>454</v>
      </c>
      <c r="D377" s="12" t="e">
        <f>VLOOKUP(C377,#REF!,2,0)</f>
        <v>#REF!</v>
      </c>
      <c r="E377" s="10" t="e">
        <f>VLOOKUP(C377,#REF!,4,0)</f>
        <v>#REF!</v>
      </c>
      <c r="F377" s="37" t="e">
        <f>VLOOKUP(C377,#REF!,8,0)</f>
        <v>#REF!</v>
      </c>
      <c r="G377" s="22" t="str">
        <f>IF(ISERROR(IF(VLOOKUP(C377,#REF!,2,0)&gt;0,"등록","")),"",(IF(VLOOKUP(C377,#REF!,2,0)&gt;0,"등록","")))</f>
        <v/>
      </c>
      <c r="H377" s="33" t="str">
        <f t="array" aca="1" ref="H377" ca="1">IF(ISERROR(OFFSET(#REF!,SMALL(IF(#REF!=RM시즌체크판!C377,ROW(#REF!)-20),1),)),"",(OFFSET(#REF!,SMALL(IF(#REF!=RM시즌체크판!C377,ROW(#REF!)-20),1),)))</f>
        <v/>
      </c>
      <c r="I377" s="34" t="str">
        <f t="array" aca="1" ref="I377" ca="1">IF(ISERROR(OFFSET(#REF!,SMALL(IF(#REF!=RM시즌체크판!C377,ROW(#REF!)-20),2),)),"",(OFFSET(#REF!,SMALL(IF(#REF!=RM시즌체크판!C377,ROW(#REF!)-20),2),)))</f>
        <v/>
      </c>
      <c r="J377" s="34" t="str">
        <f t="array" aca="1" ref="J377" ca="1">IF(ISERROR(OFFSET(#REF!,SMALL(IF(#REF!=RM시즌체크판!C377,ROW(#REF!)-20),3),)),"",(OFFSET(#REF!,SMALL(IF(#REF!=RM시즌체크판!C377,ROW(#REF!)-20),3),)))</f>
        <v/>
      </c>
      <c r="K377" s="34" t="str">
        <f t="array" aca="1" ref="K377" ca="1">IF(ISERROR(OFFSET(#REF!,SMALL(IF(#REF!=RM시즌체크판!C377,ROW(#REF!)-20),4),)),"",(OFFSET(#REF!,SMALL(IF(#REF!=RM시즌체크판!C377,ROW(#REF!)-20),4),)))</f>
        <v/>
      </c>
      <c r="L377" s="34" t="str">
        <f t="array" aca="1" ref="L377" ca="1">IF(ISERROR(OFFSET(#REF!,SMALL(IF(#REF!=RM시즌체크판!C377,ROW(#REF!)-20),5),)),"",(OFFSET(#REF!,SMALL(IF(#REF!=RM시즌체크판!C377,ROW(#REF!)-20),5),)))</f>
        <v/>
      </c>
      <c r="M377" s="35" t="str">
        <f t="array" aca="1" ref="M377" ca="1">IF(ISERROR(OFFSET(#REF!,SMALL(IF(#REF!=RM시즌체크판!C377,ROW(#REF!)-20),6),)),"",(OFFSET(#REF!,SMALL(IF(#REF!=RM시즌체크판!C377,ROW(#REF!)-20),6),)))</f>
        <v/>
      </c>
      <c r="N377" s="27" t="str">
        <f>IF(ISERROR(VLOOKUP(C377,모델촬영리스트!$C:$E,3,)),"",(VLOOKUP(C377,모델촬영리스트!$C:$E,3,)))</f>
        <v/>
      </c>
      <c r="O377" s="23" t="str">
        <f>IF(ISERROR(VLOOKUP(C377,배너촬영리스트!$C:$E,3,)),"",(VLOOKUP(C377,배너촬영리스트!$C:$E,3,)))</f>
        <v/>
      </c>
      <c r="P377" s="36" t="str">
        <f>IF(ISERROR(VLOOKUP(C377,배너촬영리스트!$C:$E,2,)),"",(VLOOKUP(C377,배너촬영리스트!$C:$E,2,)))</f>
        <v/>
      </c>
    </row>
    <row r="378" spans="2:16">
      <c r="B378" s="20" t="str">
        <f t="shared" si="6"/>
        <v>RM</v>
      </c>
      <c r="C378" s="11" t="s">
        <v>354</v>
      </c>
      <c r="D378" s="12" t="e">
        <f>VLOOKUP(C378,#REF!,2,0)</f>
        <v>#REF!</v>
      </c>
      <c r="E378" s="10" t="e">
        <f>VLOOKUP(C378,#REF!,4,0)</f>
        <v>#REF!</v>
      </c>
      <c r="F378" s="37" t="e">
        <f>VLOOKUP(C378,#REF!,8,0)</f>
        <v>#REF!</v>
      </c>
      <c r="G378" s="22" t="str">
        <f>IF(ISERROR(IF(VLOOKUP(C378,#REF!,2,0)&gt;0,"등록","")),"",(IF(VLOOKUP(C378,#REF!,2,0)&gt;0,"등록","")))</f>
        <v/>
      </c>
      <c r="H378" s="33" t="str">
        <f t="array" aca="1" ref="H378" ca="1">IF(ISERROR(OFFSET(#REF!,SMALL(IF(#REF!=RM시즌체크판!C378,ROW(#REF!)-20),1),)),"",(OFFSET(#REF!,SMALL(IF(#REF!=RM시즌체크판!C378,ROW(#REF!)-20),1),)))</f>
        <v/>
      </c>
      <c r="I378" s="34" t="str">
        <f t="array" aca="1" ref="I378" ca="1">IF(ISERROR(OFFSET(#REF!,SMALL(IF(#REF!=RM시즌체크판!C378,ROW(#REF!)-20),2),)),"",(OFFSET(#REF!,SMALL(IF(#REF!=RM시즌체크판!C378,ROW(#REF!)-20),2),)))</f>
        <v/>
      </c>
      <c r="J378" s="34" t="str">
        <f t="array" aca="1" ref="J378" ca="1">IF(ISERROR(OFFSET(#REF!,SMALL(IF(#REF!=RM시즌체크판!C378,ROW(#REF!)-20),3),)),"",(OFFSET(#REF!,SMALL(IF(#REF!=RM시즌체크판!C378,ROW(#REF!)-20),3),)))</f>
        <v/>
      </c>
      <c r="K378" s="34" t="str">
        <f t="array" aca="1" ref="K378" ca="1">IF(ISERROR(OFFSET(#REF!,SMALL(IF(#REF!=RM시즌체크판!C378,ROW(#REF!)-20),4),)),"",(OFFSET(#REF!,SMALL(IF(#REF!=RM시즌체크판!C378,ROW(#REF!)-20),4),)))</f>
        <v/>
      </c>
      <c r="L378" s="34" t="str">
        <f t="array" aca="1" ref="L378" ca="1">IF(ISERROR(OFFSET(#REF!,SMALL(IF(#REF!=RM시즌체크판!C378,ROW(#REF!)-20),5),)),"",(OFFSET(#REF!,SMALL(IF(#REF!=RM시즌체크판!C378,ROW(#REF!)-20),5),)))</f>
        <v/>
      </c>
      <c r="M378" s="35" t="str">
        <f t="array" aca="1" ref="M378" ca="1">IF(ISERROR(OFFSET(#REF!,SMALL(IF(#REF!=RM시즌체크판!C378,ROW(#REF!)-20),6),)),"",(OFFSET(#REF!,SMALL(IF(#REF!=RM시즌체크판!C378,ROW(#REF!)-20),6),)))</f>
        <v/>
      </c>
      <c r="N378" s="27" t="str">
        <f>IF(ISERROR(VLOOKUP(C378,모델촬영리스트!$C:$E,3,)),"",(VLOOKUP(C378,모델촬영리스트!$C:$E,3,)))</f>
        <v/>
      </c>
      <c r="O378" s="23" t="str">
        <f>IF(ISERROR(VLOOKUP(C378,배너촬영리스트!$C:$E,3,)),"",(VLOOKUP(C378,배너촬영리스트!$C:$E,3,)))</f>
        <v/>
      </c>
      <c r="P378" s="36" t="str">
        <f>IF(ISERROR(VLOOKUP(C378,배너촬영리스트!$C:$E,2,)),"",(VLOOKUP(C378,배너촬영리스트!$C:$E,2,)))</f>
        <v/>
      </c>
    </row>
    <row r="379" spans="2:16">
      <c r="B379" s="20" t="str">
        <f t="shared" si="6"/>
        <v>RM</v>
      </c>
      <c r="C379" s="11" t="s">
        <v>424</v>
      </c>
      <c r="D379" s="12" t="e">
        <f>VLOOKUP(C379,#REF!,2,0)</f>
        <v>#REF!</v>
      </c>
      <c r="E379" s="10" t="e">
        <f>VLOOKUP(C379,#REF!,4,0)</f>
        <v>#REF!</v>
      </c>
      <c r="F379" s="37" t="e">
        <f>VLOOKUP(C379,#REF!,8,0)</f>
        <v>#REF!</v>
      </c>
      <c r="G379" s="22" t="str">
        <f>IF(ISERROR(IF(VLOOKUP(C379,#REF!,2,0)&gt;0,"등록","")),"",(IF(VLOOKUP(C379,#REF!,2,0)&gt;0,"등록","")))</f>
        <v/>
      </c>
      <c r="H379" s="33" t="str">
        <f t="array" aca="1" ref="H379" ca="1">IF(ISERROR(OFFSET(#REF!,SMALL(IF(#REF!=RM시즌체크판!C379,ROW(#REF!)-20),1),)),"",(OFFSET(#REF!,SMALL(IF(#REF!=RM시즌체크판!C379,ROW(#REF!)-20),1),)))</f>
        <v/>
      </c>
      <c r="I379" s="34" t="str">
        <f t="array" aca="1" ref="I379" ca="1">IF(ISERROR(OFFSET(#REF!,SMALL(IF(#REF!=RM시즌체크판!C379,ROW(#REF!)-20),2),)),"",(OFFSET(#REF!,SMALL(IF(#REF!=RM시즌체크판!C379,ROW(#REF!)-20),2),)))</f>
        <v/>
      </c>
      <c r="J379" s="34" t="str">
        <f t="array" aca="1" ref="J379" ca="1">IF(ISERROR(OFFSET(#REF!,SMALL(IF(#REF!=RM시즌체크판!C379,ROW(#REF!)-20),3),)),"",(OFFSET(#REF!,SMALL(IF(#REF!=RM시즌체크판!C379,ROW(#REF!)-20),3),)))</f>
        <v/>
      </c>
      <c r="K379" s="34" t="str">
        <f t="array" aca="1" ref="K379" ca="1">IF(ISERROR(OFFSET(#REF!,SMALL(IF(#REF!=RM시즌체크판!C379,ROW(#REF!)-20),4),)),"",(OFFSET(#REF!,SMALL(IF(#REF!=RM시즌체크판!C379,ROW(#REF!)-20),4),)))</f>
        <v/>
      </c>
      <c r="L379" s="34" t="str">
        <f t="array" aca="1" ref="L379" ca="1">IF(ISERROR(OFFSET(#REF!,SMALL(IF(#REF!=RM시즌체크판!C379,ROW(#REF!)-20),5),)),"",(OFFSET(#REF!,SMALL(IF(#REF!=RM시즌체크판!C379,ROW(#REF!)-20),5),)))</f>
        <v/>
      </c>
      <c r="M379" s="35" t="str">
        <f t="array" aca="1" ref="M379" ca="1">IF(ISERROR(OFFSET(#REF!,SMALL(IF(#REF!=RM시즌체크판!C379,ROW(#REF!)-20),6),)),"",(OFFSET(#REF!,SMALL(IF(#REF!=RM시즌체크판!C379,ROW(#REF!)-20),6),)))</f>
        <v/>
      </c>
      <c r="N379" s="27" t="str">
        <f>IF(ISERROR(VLOOKUP(C379,모델촬영리스트!$C:$E,3,)),"",(VLOOKUP(C379,모델촬영리스트!$C:$E,3,)))</f>
        <v/>
      </c>
      <c r="O379" s="23" t="str">
        <f>IF(ISERROR(VLOOKUP(C379,배너촬영리스트!$C:$E,3,)),"",(VLOOKUP(C379,배너촬영리스트!$C:$E,3,)))</f>
        <v/>
      </c>
      <c r="P379" s="36" t="str">
        <f>IF(ISERROR(VLOOKUP(C379,배너촬영리스트!$C:$E,2,)),"",(VLOOKUP(C379,배너촬영리스트!$C:$E,2,)))</f>
        <v/>
      </c>
    </row>
    <row r="380" spans="2:16">
      <c r="B380" s="20" t="str">
        <f t="shared" si="6"/>
        <v>RM</v>
      </c>
      <c r="C380" s="11" t="s">
        <v>425</v>
      </c>
      <c r="D380" s="12" t="e">
        <f>VLOOKUP(C380,#REF!,2,0)</f>
        <v>#REF!</v>
      </c>
      <c r="E380" s="10" t="e">
        <f>VLOOKUP(C380,#REF!,4,0)</f>
        <v>#REF!</v>
      </c>
      <c r="F380" s="37" t="e">
        <f>VLOOKUP(C380,#REF!,8,0)</f>
        <v>#REF!</v>
      </c>
      <c r="G380" s="22" t="str">
        <f>IF(ISERROR(IF(VLOOKUP(C380,#REF!,2,0)&gt;0,"등록","")),"",(IF(VLOOKUP(C380,#REF!,2,0)&gt;0,"등록","")))</f>
        <v/>
      </c>
      <c r="H380" s="33" t="str">
        <f t="array" aca="1" ref="H380" ca="1">IF(ISERROR(OFFSET(#REF!,SMALL(IF(#REF!=RM시즌체크판!C380,ROW(#REF!)-20),1),)),"",(OFFSET(#REF!,SMALL(IF(#REF!=RM시즌체크판!C380,ROW(#REF!)-20),1),)))</f>
        <v/>
      </c>
      <c r="I380" s="34" t="str">
        <f t="array" aca="1" ref="I380" ca="1">IF(ISERROR(OFFSET(#REF!,SMALL(IF(#REF!=RM시즌체크판!C380,ROW(#REF!)-20),2),)),"",(OFFSET(#REF!,SMALL(IF(#REF!=RM시즌체크판!C380,ROW(#REF!)-20),2),)))</f>
        <v/>
      </c>
      <c r="J380" s="34" t="str">
        <f t="array" aca="1" ref="J380" ca="1">IF(ISERROR(OFFSET(#REF!,SMALL(IF(#REF!=RM시즌체크판!C380,ROW(#REF!)-20),3),)),"",(OFFSET(#REF!,SMALL(IF(#REF!=RM시즌체크판!C380,ROW(#REF!)-20),3),)))</f>
        <v/>
      </c>
      <c r="K380" s="34" t="str">
        <f t="array" aca="1" ref="K380" ca="1">IF(ISERROR(OFFSET(#REF!,SMALL(IF(#REF!=RM시즌체크판!C380,ROW(#REF!)-20),4),)),"",(OFFSET(#REF!,SMALL(IF(#REF!=RM시즌체크판!C380,ROW(#REF!)-20),4),)))</f>
        <v/>
      </c>
      <c r="L380" s="34" t="str">
        <f t="array" aca="1" ref="L380" ca="1">IF(ISERROR(OFFSET(#REF!,SMALL(IF(#REF!=RM시즌체크판!C380,ROW(#REF!)-20),5),)),"",(OFFSET(#REF!,SMALL(IF(#REF!=RM시즌체크판!C380,ROW(#REF!)-20),5),)))</f>
        <v/>
      </c>
      <c r="M380" s="35" t="str">
        <f t="array" aca="1" ref="M380" ca="1">IF(ISERROR(OFFSET(#REF!,SMALL(IF(#REF!=RM시즌체크판!C380,ROW(#REF!)-20),6),)),"",(OFFSET(#REF!,SMALL(IF(#REF!=RM시즌체크판!C380,ROW(#REF!)-20),6),)))</f>
        <v/>
      </c>
      <c r="N380" s="27" t="str">
        <f>IF(ISERROR(VLOOKUP(C380,모델촬영리스트!$C:$E,3,)),"",(VLOOKUP(C380,모델촬영리스트!$C:$E,3,)))</f>
        <v/>
      </c>
      <c r="O380" s="23" t="str">
        <f>IF(ISERROR(VLOOKUP(C380,배너촬영리스트!$C:$E,3,)),"",(VLOOKUP(C380,배너촬영리스트!$C:$E,3,)))</f>
        <v/>
      </c>
      <c r="P380" s="36" t="str">
        <f>IF(ISERROR(VLOOKUP(C380,배너촬영리스트!$C:$E,2,)),"",(VLOOKUP(C380,배너촬영리스트!$C:$E,2,)))</f>
        <v/>
      </c>
    </row>
    <row r="381" spans="2:16">
      <c r="B381" s="20" t="str">
        <f t="shared" si="6"/>
        <v>RM</v>
      </c>
      <c r="C381" s="11" t="s">
        <v>426</v>
      </c>
      <c r="D381" s="12" t="e">
        <f>VLOOKUP(C381,#REF!,2,0)</f>
        <v>#REF!</v>
      </c>
      <c r="E381" s="10" t="e">
        <f>VLOOKUP(C381,#REF!,4,0)</f>
        <v>#REF!</v>
      </c>
      <c r="F381" s="37" t="e">
        <f>VLOOKUP(C381,#REF!,8,0)</f>
        <v>#REF!</v>
      </c>
      <c r="G381" s="22" t="str">
        <f>IF(ISERROR(IF(VLOOKUP(C381,#REF!,2,0)&gt;0,"등록","")),"",(IF(VLOOKUP(C381,#REF!,2,0)&gt;0,"등록","")))</f>
        <v/>
      </c>
      <c r="H381" s="33" t="str">
        <f t="array" aca="1" ref="H381" ca="1">IF(ISERROR(OFFSET(#REF!,SMALL(IF(#REF!=RM시즌체크판!C381,ROW(#REF!)-20),1),)),"",(OFFSET(#REF!,SMALL(IF(#REF!=RM시즌체크판!C381,ROW(#REF!)-20),1),)))</f>
        <v/>
      </c>
      <c r="I381" s="34" t="str">
        <f t="array" aca="1" ref="I381" ca="1">IF(ISERROR(OFFSET(#REF!,SMALL(IF(#REF!=RM시즌체크판!C381,ROW(#REF!)-20),2),)),"",(OFFSET(#REF!,SMALL(IF(#REF!=RM시즌체크판!C381,ROW(#REF!)-20),2),)))</f>
        <v/>
      </c>
      <c r="J381" s="34" t="str">
        <f t="array" aca="1" ref="J381" ca="1">IF(ISERROR(OFFSET(#REF!,SMALL(IF(#REF!=RM시즌체크판!C381,ROW(#REF!)-20),3),)),"",(OFFSET(#REF!,SMALL(IF(#REF!=RM시즌체크판!C381,ROW(#REF!)-20),3),)))</f>
        <v/>
      </c>
      <c r="K381" s="34" t="str">
        <f t="array" aca="1" ref="K381" ca="1">IF(ISERROR(OFFSET(#REF!,SMALL(IF(#REF!=RM시즌체크판!C381,ROW(#REF!)-20),4),)),"",(OFFSET(#REF!,SMALL(IF(#REF!=RM시즌체크판!C381,ROW(#REF!)-20),4),)))</f>
        <v/>
      </c>
      <c r="L381" s="34" t="str">
        <f t="array" aca="1" ref="L381" ca="1">IF(ISERROR(OFFSET(#REF!,SMALL(IF(#REF!=RM시즌체크판!C381,ROW(#REF!)-20),5),)),"",(OFFSET(#REF!,SMALL(IF(#REF!=RM시즌체크판!C381,ROW(#REF!)-20),5),)))</f>
        <v/>
      </c>
      <c r="M381" s="35" t="str">
        <f t="array" aca="1" ref="M381" ca="1">IF(ISERROR(OFFSET(#REF!,SMALL(IF(#REF!=RM시즌체크판!C381,ROW(#REF!)-20),6),)),"",(OFFSET(#REF!,SMALL(IF(#REF!=RM시즌체크판!C381,ROW(#REF!)-20),6),)))</f>
        <v/>
      </c>
      <c r="N381" s="27" t="str">
        <f>IF(ISERROR(VLOOKUP(C381,모델촬영리스트!$C:$E,3,)),"",(VLOOKUP(C381,모델촬영리스트!$C:$E,3,)))</f>
        <v/>
      </c>
      <c r="O381" s="23" t="str">
        <f>IF(ISERROR(VLOOKUP(C381,배너촬영리스트!$C:$E,3,)),"",(VLOOKUP(C381,배너촬영리스트!$C:$E,3,)))</f>
        <v/>
      </c>
      <c r="P381" s="36" t="str">
        <f>IF(ISERROR(VLOOKUP(C381,배너촬영리스트!$C:$E,2,)),"",(VLOOKUP(C381,배너촬영리스트!$C:$E,2,)))</f>
        <v/>
      </c>
    </row>
    <row r="382" spans="2:16">
      <c r="B382" s="20" t="str">
        <f t="shared" si="6"/>
        <v>RM</v>
      </c>
      <c r="C382" s="11" t="s">
        <v>429</v>
      </c>
      <c r="D382" s="12" t="e">
        <f>VLOOKUP(C382,#REF!,2,0)</f>
        <v>#REF!</v>
      </c>
      <c r="E382" s="10" t="e">
        <f>VLOOKUP(C382,#REF!,4,0)</f>
        <v>#REF!</v>
      </c>
      <c r="F382" s="37" t="e">
        <f>VLOOKUP(C382,#REF!,8,0)</f>
        <v>#REF!</v>
      </c>
      <c r="G382" s="22" t="str">
        <f>IF(ISERROR(IF(VLOOKUP(C382,#REF!,2,0)&gt;0,"등록","")),"",(IF(VLOOKUP(C382,#REF!,2,0)&gt;0,"등록","")))</f>
        <v/>
      </c>
      <c r="H382" s="33" t="str">
        <f t="array" aca="1" ref="H382" ca="1">IF(ISERROR(OFFSET(#REF!,SMALL(IF(#REF!=RM시즌체크판!C382,ROW(#REF!)-20),1),)),"",(OFFSET(#REF!,SMALL(IF(#REF!=RM시즌체크판!C382,ROW(#REF!)-20),1),)))</f>
        <v/>
      </c>
      <c r="I382" s="34" t="str">
        <f t="array" aca="1" ref="I382" ca="1">IF(ISERROR(OFFSET(#REF!,SMALL(IF(#REF!=RM시즌체크판!C382,ROW(#REF!)-20),2),)),"",(OFFSET(#REF!,SMALL(IF(#REF!=RM시즌체크판!C382,ROW(#REF!)-20),2),)))</f>
        <v/>
      </c>
      <c r="J382" s="34" t="str">
        <f t="array" aca="1" ref="J382" ca="1">IF(ISERROR(OFFSET(#REF!,SMALL(IF(#REF!=RM시즌체크판!C382,ROW(#REF!)-20),3),)),"",(OFFSET(#REF!,SMALL(IF(#REF!=RM시즌체크판!C382,ROW(#REF!)-20),3),)))</f>
        <v/>
      </c>
      <c r="K382" s="34" t="str">
        <f t="array" aca="1" ref="K382" ca="1">IF(ISERROR(OFFSET(#REF!,SMALL(IF(#REF!=RM시즌체크판!C382,ROW(#REF!)-20),4),)),"",(OFFSET(#REF!,SMALL(IF(#REF!=RM시즌체크판!C382,ROW(#REF!)-20),4),)))</f>
        <v/>
      </c>
      <c r="L382" s="34" t="str">
        <f t="array" aca="1" ref="L382" ca="1">IF(ISERROR(OFFSET(#REF!,SMALL(IF(#REF!=RM시즌체크판!C382,ROW(#REF!)-20),5),)),"",(OFFSET(#REF!,SMALL(IF(#REF!=RM시즌체크판!C382,ROW(#REF!)-20),5),)))</f>
        <v/>
      </c>
      <c r="M382" s="35" t="str">
        <f t="array" aca="1" ref="M382" ca="1">IF(ISERROR(OFFSET(#REF!,SMALL(IF(#REF!=RM시즌체크판!C382,ROW(#REF!)-20),6),)),"",(OFFSET(#REF!,SMALL(IF(#REF!=RM시즌체크판!C382,ROW(#REF!)-20),6),)))</f>
        <v/>
      </c>
      <c r="N382" s="27" t="str">
        <f>IF(ISERROR(VLOOKUP(C382,모델촬영리스트!$C:$E,3,)),"",(VLOOKUP(C382,모델촬영리스트!$C:$E,3,)))</f>
        <v/>
      </c>
      <c r="O382" s="23" t="str">
        <f>IF(ISERROR(VLOOKUP(C382,배너촬영리스트!$C:$E,3,)),"",(VLOOKUP(C382,배너촬영리스트!$C:$E,3,)))</f>
        <v/>
      </c>
      <c r="P382" s="36" t="str">
        <f>IF(ISERROR(VLOOKUP(C382,배너촬영리스트!$C:$E,2,)),"",(VLOOKUP(C382,배너촬영리스트!$C:$E,2,)))</f>
        <v/>
      </c>
    </row>
    <row r="383" spans="2:16">
      <c r="B383" s="20" t="str">
        <f t="shared" si="6"/>
        <v>RM</v>
      </c>
      <c r="C383" s="11" t="s">
        <v>405</v>
      </c>
      <c r="D383" s="12" t="e">
        <f>VLOOKUP(C383,#REF!,2,0)</f>
        <v>#REF!</v>
      </c>
      <c r="E383" s="10" t="e">
        <f>VLOOKUP(C383,#REF!,4,0)</f>
        <v>#REF!</v>
      </c>
      <c r="F383" s="37" t="e">
        <f>VLOOKUP(C383,#REF!,8,0)</f>
        <v>#REF!</v>
      </c>
      <c r="G383" s="22" t="str">
        <f>IF(ISERROR(IF(VLOOKUP(C383,#REF!,2,0)&gt;0,"등록","")),"",(IF(VLOOKUP(C383,#REF!,2,0)&gt;0,"등록","")))</f>
        <v/>
      </c>
      <c r="H383" s="33" t="str">
        <f t="array" aca="1" ref="H383" ca="1">IF(ISERROR(OFFSET(#REF!,SMALL(IF(#REF!=RM시즌체크판!C383,ROW(#REF!)-20),1),)),"",(OFFSET(#REF!,SMALL(IF(#REF!=RM시즌체크판!C383,ROW(#REF!)-20),1),)))</f>
        <v/>
      </c>
      <c r="I383" s="34" t="str">
        <f t="array" aca="1" ref="I383" ca="1">IF(ISERROR(OFFSET(#REF!,SMALL(IF(#REF!=RM시즌체크판!C383,ROW(#REF!)-20),2),)),"",(OFFSET(#REF!,SMALL(IF(#REF!=RM시즌체크판!C383,ROW(#REF!)-20),2),)))</f>
        <v/>
      </c>
      <c r="J383" s="34" t="str">
        <f t="array" aca="1" ref="J383" ca="1">IF(ISERROR(OFFSET(#REF!,SMALL(IF(#REF!=RM시즌체크판!C383,ROW(#REF!)-20),3),)),"",(OFFSET(#REF!,SMALL(IF(#REF!=RM시즌체크판!C383,ROW(#REF!)-20),3),)))</f>
        <v/>
      </c>
      <c r="K383" s="34" t="str">
        <f t="array" aca="1" ref="K383" ca="1">IF(ISERROR(OFFSET(#REF!,SMALL(IF(#REF!=RM시즌체크판!C383,ROW(#REF!)-20),4),)),"",(OFFSET(#REF!,SMALL(IF(#REF!=RM시즌체크판!C383,ROW(#REF!)-20),4),)))</f>
        <v/>
      </c>
      <c r="L383" s="34" t="str">
        <f t="array" aca="1" ref="L383" ca="1">IF(ISERROR(OFFSET(#REF!,SMALL(IF(#REF!=RM시즌체크판!C383,ROW(#REF!)-20),5),)),"",(OFFSET(#REF!,SMALL(IF(#REF!=RM시즌체크판!C383,ROW(#REF!)-20),5),)))</f>
        <v/>
      </c>
      <c r="M383" s="35" t="str">
        <f t="array" aca="1" ref="M383" ca="1">IF(ISERROR(OFFSET(#REF!,SMALL(IF(#REF!=RM시즌체크판!C383,ROW(#REF!)-20),6),)),"",(OFFSET(#REF!,SMALL(IF(#REF!=RM시즌체크판!C383,ROW(#REF!)-20),6),)))</f>
        <v/>
      </c>
      <c r="N383" s="27" t="str">
        <f>IF(ISERROR(VLOOKUP(C383,모델촬영리스트!$C:$E,3,)),"",(VLOOKUP(C383,모델촬영리스트!$C:$E,3,)))</f>
        <v/>
      </c>
      <c r="O383" s="23" t="str">
        <f>IF(ISERROR(VLOOKUP(C383,배너촬영리스트!$C:$E,3,)),"",(VLOOKUP(C383,배너촬영리스트!$C:$E,3,)))</f>
        <v/>
      </c>
      <c r="P383" s="36" t="str">
        <f>IF(ISERROR(VLOOKUP(C383,배너촬영리스트!$C:$E,2,)),"",(VLOOKUP(C383,배너촬영리스트!$C:$E,2,)))</f>
        <v/>
      </c>
    </row>
    <row r="384" spans="2:16">
      <c r="B384" s="20" t="str">
        <f t="shared" si="6"/>
        <v>RM</v>
      </c>
      <c r="C384" s="11" t="s">
        <v>406</v>
      </c>
      <c r="D384" s="12" t="e">
        <f>VLOOKUP(C384,#REF!,2,0)</f>
        <v>#REF!</v>
      </c>
      <c r="E384" s="10" t="e">
        <f>VLOOKUP(C384,#REF!,4,0)</f>
        <v>#REF!</v>
      </c>
      <c r="F384" s="37" t="e">
        <f>VLOOKUP(C384,#REF!,8,0)</f>
        <v>#REF!</v>
      </c>
      <c r="G384" s="22" t="str">
        <f>IF(ISERROR(IF(VLOOKUP(C384,#REF!,2,0)&gt;0,"등록","")),"",(IF(VLOOKUP(C384,#REF!,2,0)&gt;0,"등록","")))</f>
        <v/>
      </c>
      <c r="H384" s="33" t="str">
        <f t="array" aca="1" ref="H384" ca="1">IF(ISERROR(OFFSET(#REF!,SMALL(IF(#REF!=RM시즌체크판!C384,ROW(#REF!)-20),1),)),"",(OFFSET(#REF!,SMALL(IF(#REF!=RM시즌체크판!C384,ROW(#REF!)-20),1),)))</f>
        <v/>
      </c>
      <c r="I384" s="34" t="str">
        <f t="array" aca="1" ref="I384" ca="1">IF(ISERROR(OFFSET(#REF!,SMALL(IF(#REF!=RM시즌체크판!C384,ROW(#REF!)-20),2),)),"",(OFFSET(#REF!,SMALL(IF(#REF!=RM시즌체크판!C384,ROW(#REF!)-20),2),)))</f>
        <v/>
      </c>
      <c r="J384" s="34" t="str">
        <f t="array" aca="1" ref="J384" ca="1">IF(ISERROR(OFFSET(#REF!,SMALL(IF(#REF!=RM시즌체크판!C384,ROW(#REF!)-20),3),)),"",(OFFSET(#REF!,SMALL(IF(#REF!=RM시즌체크판!C384,ROW(#REF!)-20),3),)))</f>
        <v/>
      </c>
      <c r="K384" s="34" t="str">
        <f t="array" aca="1" ref="K384" ca="1">IF(ISERROR(OFFSET(#REF!,SMALL(IF(#REF!=RM시즌체크판!C384,ROW(#REF!)-20),4),)),"",(OFFSET(#REF!,SMALL(IF(#REF!=RM시즌체크판!C384,ROW(#REF!)-20),4),)))</f>
        <v/>
      </c>
      <c r="L384" s="34" t="str">
        <f t="array" aca="1" ref="L384" ca="1">IF(ISERROR(OFFSET(#REF!,SMALL(IF(#REF!=RM시즌체크판!C384,ROW(#REF!)-20),5),)),"",(OFFSET(#REF!,SMALL(IF(#REF!=RM시즌체크판!C384,ROW(#REF!)-20),5),)))</f>
        <v/>
      </c>
      <c r="M384" s="35" t="str">
        <f t="array" aca="1" ref="M384" ca="1">IF(ISERROR(OFFSET(#REF!,SMALL(IF(#REF!=RM시즌체크판!C384,ROW(#REF!)-20),6),)),"",(OFFSET(#REF!,SMALL(IF(#REF!=RM시즌체크판!C384,ROW(#REF!)-20),6),)))</f>
        <v/>
      </c>
      <c r="N384" s="27" t="str">
        <f>IF(ISERROR(VLOOKUP(C384,모델촬영리스트!$C:$E,3,)),"",(VLOOKUP(C384,모델촬영리스트!$C:$E,3,)))</f>
        <v/>
      </c>
      <c r="O384" s="23" t="str">
        <f>IF(ISERROR(VLOOKUP(C384,배너촬영리스트!$C:$E,3,)),"",(VLOOKUP(C384,배너촬영리스트!$C:$E,3,)))</f>
        <v/>
      </c>
      <c r="P384" s="36" t="str">
        <f>IF(ISERROR(VLOOKUP(C384,배너촬영리스트!$C:$E,2,)),"",(VLOOKUP(C384,배너촬영리스트!$C:$E,2,)))</f>
        <v/>
      </c>
    </row>
    <row r="385" spans="2:16">
      <c r="B385" s="20" t="str">
        <f t="shared" si="6"/>
        <v>RM</v>
      </c>
      <c r="C385" s="11" t="s">
        <v>96</v>
      </c>
      <c r="D385" s="12" t="e">
        <f>VLOOKUP(C385,#REF!,2,0)</f>
        <v>#REF!</v>
      </c>
      <c r="E385" s="10" t="e">
        <f>VLOOKUP(C385,#REF!,4,0)</f>
        <v>#REF!</v>
      </c>
      <c r="F385" s="37" t="e">
        <f>VLOOKUP(C385,#REF!,8,0)</f>
        <v>#REF!</v>
      </c>
      <c r="G385" s="22" t="str">
        <f>IF(ISERROR(IF(VLOOKUP(C385,#REF!,2,0)&gt;0,"등록","")),"",(IF(VLOOKUP(C385,#REF!,2,0)&gt;0,"등록","")))</f>
        <v/>
      </c>
      <c r="H385" s="33" t="str">
        <f t="array" aca="1" ref="H385" ca="1">IF(ISERROR(OFFSET(#REF!,SMALL(IF(#REF!=RM시즌체크판!C385,ROW(#REF!)-20),1),)),"",(OFFSET(#REF!,SMALL(IF(#REF!=RM시즌체크판!C385,ROW(#REF!)-20),1),)))</f>
        <v/>
      </c>
      <c r="I385" s="34" t="str">
        <f t="array" aca="1" ref="I385" ca="1">IF(ISERROR(OFFSET(#REF!,SMALL(IF(#REF!=RM시즌체크판!C385,ROW(#REF!)-20),2),)),"",(OFFSET(#REF!,SMALL(IF(#REF!=RM시즌체크판!C385,ROW(#REF!)-20),2),)))</f>
        <v/>
      </c>
      <c r="J385" s="34" t="str">
        <f t="array" aca="1" ref="J385" ca="1">IF(ISERROR(OFFSET(#REF!,SMALL(IF(#REF!=RM시즌체크판!C385,ROW(#REF!)-20),3),)),"",(OFFSET(#REF!,SMALL(IF(#REF!=RM시즌체크판!C385,ROW(#REF!)-20),3),)))</f>
        <v/>
      </c>
      <c r="K385" s="34" t="str">
        <f t="array" aca="1" ref="K385" ca="1">IF(ISERROR(OFFSET(#REF!,SMALL(IF(#REF!=RM시즌체크판!C385,ROW(#REF!)-20),4),)),"",(OFFSET(#REF!,SMALL(IF(#REF!=RM시즌체크판!C385,ROW(#REF!)-20),4),)))</f>
        <v/>
      </c>
      <c r="L385" s="34" t="str">
        <f t="array" aca="1" ref="L385" ca="1">IF(ISERROR(OFFSET(#REF!,SMALL(IF(#REF!=RM시즌체크판!C385,ROW(#REF!)-20),5),)),"",(OFFSET(#REF!,SMALL(IF(#REF!=RM시즌체크판!C385,ROW(#REF!)-20),5),)))</f>
        <v/>
      </c>
      <c r="M385" s="35" t="str">
        <f t="array" aca="1" ref="M385" ca="1">IF(ISERROR(OFFSET(#REF!,SMALL(IF(#REF!=RM시즌체크판!C385,ROW(#REF!)-20),6),)),"",(OFFSET(#REF!,SMALL(IF(#REF!=RM시즌체크판!C385,ROW(#REF!)-20),6),)))</f>
        <v/>
      </c>
      <c r="N385" s="27" t="str">
        <f>IF(ISERROR(VLOOKUP(C385,모델촬영리스트!$C:$E,3,)),"",(VLOOKUP(C385,모델촬영리스트!$C:$E,3,)))</f>
        <v/>
      </c>
      <c r="O385" s="23" t="str">
        <f>IF(ISERROR(VLOOKUP(C385,배너촬영리스트!$C:$E,3,)),"",(VLOOKUP(C385,배너촬영리스트!$C:$E,3,)))</f>
        <v/>
      </c>
      <c r="P385" s="36" t="str">
        <f>IF(ISERROR(VLOOKUP(C385,배너촬영리스트!$C:$E,2,)),"",(VLOOKUP(C385,배너촬영리스트!$C:$E,2,)))</f>
        <v/>
      </c>
    </row>
    <row r="386" spans="2:16">
      <c r="B386" s="20" t="str">
        <f t="shared" si="6"/>
        <v>RM</v>
      </c>
      <c r="C386" s="11" t="s">
        <v>97</v>
      </c>
      <c r="D386" s="12" t="e">
        <f>VLOOKUP(C386,#REF!,2,0)</f>
        <v>#REF!</v>
      </c>
      <c r="E386" s="10" t="e">
        <f>VLOOKUP(C386,#REF!,4,0)</f>
        <v>#REF!</v>
      </c>
      <c r="F386" s="37" t="e">
        <f>VLOOKUP(C386,#REF!,8,0)</f>
        <v>#REF!</v>
      </c>
      <c r="G386" s="22" t="str">
        <f>IF(ISERROR(IF(VLOOKUP(C386,#REF!,2,0)&gt;0,"등록","")),"",(IF(VLOOKUP(C386,#REF!,2,0)&gt;0,"등록","")))</f>
        <v/>
      </c>
      <c r="H386" s="33" t="str">
        <f t="array" aca="1" ref="H386" ca="1">IF(ISERROR(OFFSET(#REF!,SMALL(IF(#REF!=RM시즌체크판!C386,ROW(#REF!)-20),1),)),"",(OFFSET(#REF!,SMALL(IF(#REF!=RM시즌체크판!C386,ROW(#REF!)-20),1),)))</f>
        <v/>
      </c>
      <c r="I386" s="34" t="str">
        <f t="array" aca="1" ref="I386" ca="1">IF(ISERROR(OFFSET(#REF!,SMALL(IF(#REF!=RM시즌체크판!C386,ROW(#REF!)-20),2),)),"",(OFFSET(#REF!,SMALL(IF(#REF!=RM시즌체크판!C386,ROW(#REF!)-20),2),)))</f>
        <v/>
      </c>
      <c r="J386" s="34" t="str">
        <f t="array" aca="1" ref="J386" ca="1">IF(ISERROR(OFFSET(#REF!,SMALL(IF(#REF!=RM시즌체크판!C386,ROW(#REF!)-20),3),)),"",(OFFSET(#REF!,SMALL(IF(#REF!=RM시즌체크판!C386,ROW(#REF!)-20),3),)))</f>
        <v/>
      </c>
      <c r="K386" s="34" t="str">
        <f t="array" aca="1" ref="K386" ca="1">IF(ISERROR(OFFSET(#REF!,SMALL(IF(#REF!=RM시즌체크판!C386,ROW(#REF!)-20),4),)),"",(OFFSET(#REF!,SMALL(IF(#REF!=RM시즌체크판!C386,ROW(#REF!)-20),4),)))</f>
        <v/>
      </c>
      <c r="L386" s="34" t="str">
        <f t="array" aca="1" ref="L386" ca="1">IF(ISERROR(OFFSET(#REF!,SMALL(IF(#REF!=RM시즌체크판!C386,ROW(#REF!)-20),5),)),"",(OFFSET(#REF!,SMALL(IF(#REF!=RM시즌체크판!C386,ROW(#REF!)-20),5),)))</f>
        <v/>
      </c>
      <c r="M386" s="35" t="str">
        <f t="array" aca="1" ref="M386" ca="1">IF(ISERROR(OFFSET(#REF!,SMALL(IF(#REF!=RM시즌체크판!C386,ROW(#REF!)-20),6),)),"",(OFFSET(#REF!,SMALL(IF(#REF!=RM시즌체크판!C386,ROW(#REF!)-20),6),)))</f>
        <v/>
      </c>
      <c r="N386" s="27" t="str">
        <f>IF(ISERROR(VLOOKUP(C386,모델촬영리스트!$C:$E,3,)),"",(VLOOKUP(C386,모델촬영리스트!$C:$E,3,)))</f>
        <v/>
      </c>
      <c r="O386" s="23" t="str">
        <f>IF(ISERROR(VLOOKUP(C386,배너촬영리스트!$C:$E,3,)),"",(VLOOKUP(C386,배너촬영리스트!$C:$E,3,)))</f>
        <v/>
      </c>
      <c r="P386" s="36" t="str">
        <f>IF(ISERROR(VLOOKUP(C386,배너촬영리스트!$C:$E,2,)),"",(VLOOKUP(C386,배너촬영리스트!$C:$E,2,)))</f>
        <v/>
      </c>
    </row>
    <row r="387" spans="2:16">
      <c r="B387" s="20" t="str">
        <f t="shared" si="6"/>
        <v>RM</v>
      </c>
      <c r="C387" s="11" t="s">
        <v>432</v>
      </c>
      <c r="D387" s="12" t="e">
        <f>VLOOKUP(C387,#REF!,2,0)</f>
        <v>#REF!</v>
      </c>
      <c r="E387" s="10" t="e">
        <f>VLOOKUP(C387,#REF!,4,0)</f>
        <v>#REF!</v>
      </c>
      <c r="F387" s="37" t="e">
        <f>VLOOKUP(C387,#REF!,8,0)</f>
        <v>#REF!</v>
      </c>
      <c r="G387" s="22" t="str">
        <f>IF(ISERROR(IF(VLOOKUP(C387,#REF!,2,0)&gt;0,"등록","")),"",(IF(VLOOKUP(C387,#REF!,2,0)&gt;0,"등록","")))</f>
        <v/>
      </c>
      <c r="H387" s="33" t="str">
        <f t="array" aca="1" ref="H387" ca="1">IF(ISERROR(OFFSET(#REF!,SMALL(IF(#REF!=RM시즌체크판!C387,ROW(#REF!)-20),1),)),"",(OFFSET(#REF!,SMALL(IF(#REF!=RM시즌체크판!C387,ROW(#REF!)-20),1),)))</f>
        <v/>
      </c>
      <c r="I387" s="34" t="str">
        <f t="array" aca="1" ref="I387" ca="1">IF(ISERROR(OFFSET(#REF!,SMALL(IF(#REF!=RM시즌체크판!C387,ROW(#REF!)-20),2),)),"",(OFFSET(#REF!,SMALL(IF(#REF!=RM시즌체크판!C387,ROW(#REF!)-20),2),)))</f>
        <v/>
      </c>
      <c r="J387" s="34" t="str">
        <f t="array" aca="1" ref="J387" ca="1">IF(ISERROR(OFFSET(#REF!,SMALL(IF(#REF!=RM시즌체크판!C387,ROW(#REF!)-20),3),)),"",(OFFSET(#REF!,SMALL(IF(#REF!=RM시즌체크판!C387,ROW(#REF!)-20),3),)))</f>
        <v/>
      </c>
      <c r="K387" s="34" t="str">
        <f t="array" aca="1" ref="K387" ca="1">IF(ISERROR(OFFSET(#REF!,SMALL(IF(#REF!=RM시즌체크판!C387,ROW(#REF!)-20),4),)),"",(OFFSET(#REF!,SMALL(IF(#REF!=RM시즌체크판!C387,ROW(#REF!)-20),4),)))</f>
        <v/>
      </c>
      <c r="L387" s="34" t="str">
        <f t="array" aca="1" ref="L387" ca="1">IF(ISERROR(OFFSET(#REF!,SMALL(IF(#REF!=RM시즌체크판!C387,ROW(#REF!)-20),5),)),"",(OFFSET(#REF!,SMALL(IF(#REF!=RM시즌체크판!C387,ROW(#REF!)-20),5),)))</f>
        <v/>
      </c>
      <c r="M387" s="35" t="str">
        <f t="array" aca="1" ref="M387" ca="1">IF(ISERROR(OFFSET(#REF!,SMALL(IF(#REF!=RM시즌체크판!C387,ROW(#REF!)-20),6),)),"",(OFFSET(#REF!,SMALL(IF(#REF!=RM시즌체크판!C387,ROW(#REF!)-20),6),)))</f>
        <v/>
      </c>
      <c r="N387" s="27" t="str">
        <f>IF(ISERROR(VLOOKUP(C387,모델촬영리스트!$C:$E,3,)),"",(VLOOKUP(C387,모델촬영리스트!$C:$E,3,)))</f>
        <v/>
      </c>
      <c r="O387" s="23" t="str">
        <f>IF(ISERROR(VLOOKUP(C387,배너촬영리스트!$C:$E,3,)),"",(VLOOKUP(C387,배너촬영리스트!$C:$E,3,)))</f>
        <v/>
      </c>
      <c r="P387" s="36" t="str">
        <f>IF(ISERROR(VLOOKUP(C387,배너촬영리스트!$C:$E,2,)),"",(VLOOKUP(C387,배너촬영리스트!$C:$E,2,)))</f>
        <v/>
      </c>
    </row>
    <row r="388" spans="2:16">
      <c r="B388" s="20" t="str">
        <f t="shared" si="6"/>
        <v>RM</v>
      </c>
      <c r="C388" s="11" t="s">
        <v>434</v>
      </c>
      <c r="D388" s="12" t="e">
        <f>VLOOKUP(C388,#REF!,2,0)</f>
        <v>#REF!</v>
      </c>
      <c r="E388" s="10" t="e">
        <f>VLOOKUP(C388,#REF!,4,0)</f>
        <v>#REF!</v>
      </c>
      <c r="F388" s="37" t="e">
        <f>VLOOKUP(C388,#REF!,8,0)</f>
        <v>#REF!</v>
      </c>
      <c r="G388" s="22" t="str">
        <f>IF(ISERROR(IF(VLOOKUP(C388,#REF!,2,0)&gt;0,"등록","")),"",(IF(VLOOKUP(C388,#REF!,2,0)&gt;0,"등록","")))</f>
        <v/>
      </c>
      <c r="H388" s="33" t="str">
        <f t="array" aca="1" ref="H388" ca="1">IF(ISERROR(OFFSET(#REF!,SMALL(IF(#REF!=RM시즌체크판!C388,ROW(#REF!)-20),1),)),"",(OFFSET(#REF!,SMALL(IF(#REF!=RM시즌체크판!C388,ROW(#REF!)-20),1),)))</f>
        <v/>
      </c>
      <c r="I388" s="34" t="str">
        <f t="array" aca="1" ref="I388" ca="1">IF(ISERROR(OFFSET(#REF!,SMALL(IF(#REF!=RM시즌체크판!C388,ROW(#REF!)-20),2),)),"",(OFFSET(#REF!,SMALL(IF(#REF!=RM시즌체크판!C388,ROW(#REF!)-20),2),)))</f>
        <v/>
      </c>
      <c r="J388" s="34" t="str">
        <f t="array" aca="1" ref="J388" ca="1">IF(ISERROR(OFFSET(#REF!,SMALL(IF(#REF!=RM시즌체크판!C388,ROW(#REF!)-20),3),)),"",(OFFSET(#REF!,SMALL(IF(#REF!=RM시즌체크판!C388,ROW(#REF!)-20),3),)))</f>
        <v/>
      </c>
      <c r="K388" s="34" t="str">
        <f t="array" aca="1" ref="K388" ca="1">IF(ISERROR(OFFSET(#REF!,SMALL(IF(#REF!=RM시즌체크판!C388,ROW(#REF!)-20),4),)),"",(OFFSET(#REF!,SMALL(IF(#REF!=RM시즌체크판!C388,ROW(#REF!)-20),4),)))</f>
        <v/>
      </c>
      <c r="L388" s="34" t="str">
        <f t="array" aca="1" ref="L388" ca="1">IF(ISERROR(OFFSET(#REF!,SMALL(IF(#REF!=RM시즌체크판!C388,ROW(#REF!)-20),5),)),"",(OFFSET(#REF!,SMALL(IF(#REF!=RM시즌체크판!C388,ROW(#REF!)-20),5),)))</f>
        <v/>
      </c>
      <c r="M388" s="35" t="str">
        <f t="array" aca="1" ref="M388" ca="1">IF(ISERROR(OFFSET(#REF!,SMALL(IF(#REF!=RM시즌체크판!C388,ROW(#REF!)-20),6),)),"",(OFFSET(#REF!,SMALL(IF(#REF!=RM시즌체크판!C388,ROW(#REF!)-20),6),)))</f>
        <v/>
      </c>
      <c r="N388" s="27" t="str">
        <f>IF(ISERROR(VLOOKUP(C388,모델촬영리스트!$C:$E,3,)),"",(VLOOKUP(C388,모델촬영리스트!$C:$E,3,)))</f>
        <v/>
      </c>
      <c r="O388" s="23" t="str">
        <f>IF(ISERROR(VLOOKUP(C388,배너촬영리스트!$C:$E,3,)),"",(VLOOKUP(C388,배너촬영리스트!$C:$E,3,)))</f>
        <v/>
      </c>
      <c r="P388" s="36" t="str">
        <f>IF(ISERROR(VLOOKUP(C388,배너촬영리스트!$C:$E,2,)),"",(VLOOKUP(C388,배너촬영리스트!$C:$E,2,)))</f>
        <v/>
      </c>
    </row>
    <row r="389" spans="2:16">
      <c r="B389" s="20" t="str">
        <f t="shared" si="6"/>
        <v>RM</v>
      </c>
      <c r="C389" s="11" t="s">
        <v>147</v>
      </c>
      <c r="D389" s="12" t="e">
        <f>VLOOKUP(C389,#REF!,2,0)</f>
        <v>#REF!</v>
      </c>
      <c r="E389" s="10" t="e">
        <f>VLOOKUP(C389,#REF!,4,0)</f>
        <v>#REF!</v>
      </c>
      <c r="F389" s="37" t="e">
        <f>VLOOKUP(C389,#REF!,8,0)</f>
        <v>#REF!</v>
      </c>
      <c r="G389" s="22" t="str">
        <f>IF(ISERROR(IF(VLOOKUP(C389,#REF!,2,0)&gt;0,"등록","")),"",(IF(VLOOKUP(C389,#REF!,2,0)&gt;0,"등록","")))</f>
        <v/>
      </c>
      <c r="H389" s="33" t="str">
        <f t="array" aca="1" ref="H389" ca="1">IF(ISERROR(OFFSET(#REF!,SMALL(IF(#REF!=RM시즌체크판!C389,ROW(#REF!)-20),1),)),"",(OFFSET(#REF!,SMALL(IF(#REF!=RM시즌체크판!C389,ROW(#REF!)-20),1),)))</f>
        <v/>
      </c>
      <c r="I389" s="34" t="str">
        <f t="array" aca="1" ref="I389" ca="1">IF(ISERROR(OFFSET(#REF!,SMALL(IF(#REF!=RM시즌체크판!C389,ROW(#REF!)-20),2),)),"",(OFFSET(#REF!,SMALL(IF(#REF!=RM시즌체크판!C389,ROW(#REF!)-20),2),)))</f>
        <v/>
      </c>
      <c r="J389" s="34" t="str">
        <f t="array" aca="1" ref="J389" ca="1">IF(ISERROR(OFFSET(#REF!,SMALL(IF(#REF!=RM시즌체크판!C389,ROW(#REF!)-20),3),)),"",(OFFSET(#REF!,SMALL(IF(#REF!=RM시즌체크판!C389,ROW(#REF!)-20),3),)))</f>
        <v/>
      </c>
      <c r="K389" s="34" t="str">
        <f t="array" aca="1" ref="K389" ca="1">IF(ISERROR(OFFSET(#REF!,SMALL(IF(#REF!=RM시즌체크판!C389,ROW(#REF!)-20),4),)),"",(OFFSET(#REF!,SMALL(IF(#REF!=RM시즌체크판!C389,ROW(#REF!)-20),4),)))</f>
        <v/>
      </c>
      <c r="L389" s="34" t="str">
        <f t="array" aca="1" ref="L389" ca="1">IF(ISERROR(OFFSET(#REF!,SMALL(IF(#REF!=RM시즌체크판!C389,ROW(#REF!)-20),5),)),"",(OFFSET(#REF!,SMALL(IF(#REF!=RM시즌체크판!C389,ROW(#REF!)-20),5),)))</f>
        <v/>
      </c>
      <c r="M389" s="35" t="str">
        <f t="array" aca="1" ref="M389" ca="1">IF(ISERROR(OFFSET(#REF!,SMALL(IF(#REF!=RM시즌체크판!C389,ROW(#REF!)-20),6),)),"",(OFFSET(#REF!,SMALL(IF(#REF!=RM시즌체크판!C389,ROW(#REF!)-20),6),)))</f>
        <v/>
      </c>
      <c r="N389" s="27" t="str">
        <f>IF(ISERROR(VLOOKUP(C389,모델촬영리스트!$C:$E,3,)),"",(VLOOKUP(C389,모델촬영리스트!$C:$E,3,)))</f>
        <v/>
      </c>
      <c r="O389" s="23" t="str">
        <f>IF(ISERROR(VLOOKUP(C389,배너촬영리스트!$C:$E,3,)),"",(VLOOKUP(C389,배너촬영리스트!$C:$E,3,)))</f>
        <v/>
      </c>
      <c r="P389" s="36" t="str">
        <f>IF(ISERROR(VLOOKUP(C389,배너촬영리스트!$C:$E,2,)),"",(VLOOKUP(C389,배너촬영리스트!$C:$E,2,)))</f>
        <v/>
      </c>
    </row>
    <row r="390" spans="2:16">
      <c r="B390" s="20" t="str">
        <f t="shared" si="6"/>
        <v>RM</v>
      </c>
      <c r="C390" s="11" t="s">
        <v>156</v>
      </c>
      <c r="D390" s="12" t="e">
        <f>VLOOKUP(C390,#REF!,2,0)</f>
        <v>#REF!</v>
      </c>
      <c r="E390" s="10" t="e">
        <f>VLOOKUP(C390,#REF!,4,0)</f>
        <v>#REF!</v>
      </c>
      <c r="F390" s="37" t="e">
        <f>VLOOKUP(C390,#REF!,8,0)</f>
        <v>#REF!</v>
      </c>
      <c r="G390" s="22" t="str">
        <f>IF(ISERROR(IF(VLOOKUP(C390,#REF!,2,0)&gt;0,"등록","")),"",(IF(VLOOKUP(C390,#REF!,2,0)&gt;0,"등록","")))</f>
        <v/>
      </c>
      <c r="H390" s="33" t="str">
        <f t="array" aca="1" ref="H390" ca="1">IF(ISERROR(OFFSET(#REF!,SMALL(IF(#REF!=RM시즌체크판!C390,ROW(#REF!)-20),1),)),"",(OFFSET(#REF!,SMALL(IF(#REF!=RM시즌체크판!C390,ROW(#REF!)-20),1),)))</f>
        <v/>
      </c>
      <c r="I390" s="34" t="str">
        <f t="array" aca="1" ref="I390" ca="1">IF(ISERROR(OFFSET(#REF!,SMALL(IF(#REF!=RM시즌체크판!C390,ROW(#REF!)-20),2),)),"",(OFFSET(#REF!,SMALL(IF(#REF!=RM시즌체크판!C390,ROW(#REF!)-20),2),)))</f>
        <v/>
      </c>
      <c r="J390" s="34" t="str">
        <f t="array" aca="1" ref="J390" ca="1">IF(ISERROR(OFFSET(#REF!,SMALL(IF(#REF!=RM시즌체크판!C390,ROW(#REF!)-20),3),)),"",(OFFSET(#REF!,SMALL(IF(#REF!=RM시즌체크판!C390,ROW(#REF!)-20),3),)))</f>
        <v/>
      </c>
      <c r="K390" s="34" t="str">
        <f t="array" aca="1" ref="K390" ca="1">IF(ISERROR(OFFSET(#REF!,SMALL(IF(#REF!=RM시즌체크판!C390,ROW(#REF!)-20),4),)),"",(OFFSET(#REF!,SMALL(IF(#REF!=RM시즌체크판!C390,ROW(#REF!)-20),4),)))</f>
        <v/>
      </c>
      <c r="L390" s="34" t="str">
        <f t="array" aca="1" ref="L390" ca="1">IF(ISERROR(OFFSET(#REF!,SMALL(IF(#REF!=RM시즌체크판!C390,ROW(#REF!)-20),5),)),"",(OFFSET(#REF!,SMALL(IF(#REF!=RM시즌체크판!C390,ROW(#REF!)-20),5),)))</f>
        <v/>
      </c>
      <c r="M390" s="35" t="str">
        <f t="array" aca="1" ref="M390" ca="1">IF(ISERROR(OFFSET(#REF!,SMALL(IF(#REF!=RM시즌체크판!C390,ROW(#REF!)-20),6),)),"",(OFFSET(#REF!,SMALL(IF(#REF!=RM시즌체크판!C390,ROW(#REF!)-20),6),)))</f>
        <v/>
      </c>
      <c r="N390" s="27" t="str">
        <f>IF(ISERROR(VLOOKUP(C390,모델촬영리스트!$C:$E,3,)),"",(VLOOKUP(C390,모델촬영리스트!$C:$E,3,)))</f>
        <v/>
      </c>
      <c r="O390" s="23" t="str">
        <f>IF(ISERROR(VLOOKUP(C390,배너촬영리스트!$C:$E,3,)),"",(VLOOKUP(C390,배너촬영리스트!$C:$E,3,)))</f>
        <v/>
      </c>
      <c r="P390" s="36" t="str">
        <f>IF(ISERROR(VLOOKUP(C390,배너촬영리스트!$C:$E,2,)),"",(VLOOKUP(C390,배너촬영리스트!$C:$E,2,)))</f>
        <v/>
      </c>
    </row>
    <row r="391" spans="2:16">
      <c r="B391" s="20" t="str">
        <f t="shared" si="6"/>
        <v>RM</v>
      </c>
      <c r="C391" s="11" t="s">
        <v>414</v>
      </c>
      <c r="D391" s="12" t="e">
        <f>VLOOKUP(C391,#REF!,2,0)</f>
        <v>#REF!</v>
      </c>
      <c r="E391" s="10" t="e">
        <f>VLOOKUP(C391,#REF!,4,0)</f>
        <v>#REF!</v>
      </c>
      <c r="F391" s="37" t="e">
        <f>VLOOKUP(C391,#REF!,8,0)</f>
        <v>#REF!</v>
      </c>
      <c r="G391" s="22" t="str">
        <f>IF(ISERROR(IF(VLOOKUP(C391,#REF!,2,0)&gt;0,"등록","")),"",(IF(VLOOKUP(C391,#REF!,2,0)&gt;0,"등록","")))</f>
        <v/>
      </c>
      <c r="H391" s="33" t="str">
        <f t="array" aca="1" ref="H391" ca="1">IF(ISERROR(OFFSET(#REF!,SMALL(IF(#REF!=RM시즌체크판!C391,ROW(#REF!)-20),1),)),"",(OFFSET(#REF!,SMALL(IF(#REF!=RM시즌체크판!C391,ROW(#REF!)-20),1),)))</f>
        <v/>
      </c>
      <c r="I391" s="34" t="str">
        <f t="array" aca="1" ref="I391" ca="1">IF(ISERROR(OFFSET(#REF!,SMALL(IF(#REF!=RM시즌체크판!C391,ROW(#REF!)-20),2),)),"",(OFFSET(#REF!,SMALL(IF(#REF!=RM시즌체크판!C391,ROW(#REF!)-20),2),)))</f>
        <v/>
      </c>
      <c r="J391" s="34" t="str">
        <f t="array" aca="1" ref="J391" ca="1">IF(ISERROR(OFFSET(#REF!,SMALL(IF(#REF!=RM시즌체크판!C391,ROW(#REF!)-20),3),)),"",(OFFSET(#REF!,SMALL(IF(#REF!=RM시즌체크판!C391,ROW(#REF!)-20),3),)))</f>
        <v/>
      </c>
      <c r="K391" s="34" t="str">
        <f t="array" aca="1" ref="K391" ca="1">IF(ISERROR(OFFSET(#REF!,SMALL(IF(#REF!=RM시즌체크판!C391,ROW(#REF!)-20),4),)),"",(OFFSET(#REF!,SMALL(IF(#REF!=RM시즌체크판!C391,ROW(#REF!)-20),4),)))</f>
        <v/>
      </c>
      <c r="L391" s="34" t="str">
        <f t="array" aca="1" ref="L391" ca="1">IF(ISERROR(OFFSET(#REF!,SMALL(IF(#REF!=RM시즌체크판!C391,ROW(#REF!)-20),5),)),"",(OFFSET(#REF!,SMALL(IF(#REF!=RM시즌체크판!C391,ROW(#REF!)-20),5),)))</f>
        <v/>
      </c>
      <c r="M391" s="35" t="str">
        <f t="array" aca="1" ref="M391" ca="1">IF(ISERROR(OFFSET(#REF!,SMALL(IF(#REF!=RM시즌체크판!C391,ROW(#REF!)-20),6),)),"",(OFFSET(#REF!,SMALL(IF(#REF!=RM시즌체크판!C391,ROW(#REF!)-20),6),)))</f>
        <v/>
      </c>
      <c r="N391" s="27" t="str">
        <f>IF(ISERROR(VLOOKUP(C391,모델촬영리스트!$C:$E,3,)),"",(VLOOKUP(C391,모델촬영리스트!$C:$E,3,)))</f>
        <v/>
      </c>
      <c r="O391" s="23" t="str">
        <f>IF(ISERROR(VLOOKUP(C391,배너촬영리스트!$C:$E,3,)),"",(VLOOKUP(C391,배너촬영리스트!$C:$E,3,)))</f>
        <v/>
      </c>
      <c r="P391" s="36" t="str">
        <f>IF(ISERROR(VLOOKUP(C391,배너촬영리스트!$C:$E,2,)),"",(VLOOKUP(C391,배너촬영리스트!$C:$E,2,)))</f>
        <v/>
      </c>
    </row>
    <row r="392" spans="2:16">
      <c r="B392" s="20" t="str">
        <f t="shared" si="6"/>
        <v>RM</v>
      </c>
      <c r="C392" s="11" t="s">
        <v>182</v>
      </c>
      <c r="D392" s="12" t="e">
        <f>VLOOKUP(C392,#REF!,2,0)</f>
        <v>#REF!</v>
      </c>
      <c r="E392" s="10" t="e">
        <f>VLOOKUP(C392,#REF!,4,0)</f>
        <v>#REF!</v>
      </c>
      <c r="F392" s="37" t="e">
        <f>VLOOKUP(C392,#REF!,8,0)</f>
        <v>#REF!</v>
      </c>
      <c r="G392" s="22" t="str">
        <f>IF(ISERROR(IF(VLOOKUP(C392,#REF!,2,0)&gt;0,"등록","")),"",(IF(VLOOKUP(C392,#REF!,2,0)&gt;0,"등록","")))</f>
        <v/>
      </c>
      <c r="H392" s="33" t="str">
        <f t="array" aca="1" ref="H392" ca="1">IF(ISERROR(OFFSET(#REF!,SMALL(IF(#REF!=RM시즌체크판!C392,ROW(#REF!)-20),1),)),"",(OFFSET(#REF!,SMALL(IF(#REF!=RM시즌체크판!C392,ROW(#REF!)-20),1),)))</f>
        <v/>
      </c>
      <c r="I392" s="34" t="str">
        <f t="array" aca="1" ref="I392" ca="1">IF(ISERROR(OFFSET(#REF!,SMALL(IF(#REF!=RM시즌체크판!C392,ROW(#REF!)-20),2),)),"",(OFFSET(#REF!,SMALL(IF(#REF!=RM시즌체크판!C392,ROW(#REF!)-20),2),)))</f>
        <v/>
      </c>
      <c r="J392" s="34" t="str">
        <f t="array" aca="1" ref="J392" ca="1">IF(ISERROR(OFFSET(#REF!,SMALL(IF(#REF!=RM시즌체크판!C392,ROW(#REF!)-20),3),)),"",(OFFSET(#REF!,SMALL(IF(#REF!=RM시즌체크판!C392,ROW(#REF!)-20),3),)))</f>
        <v/>
      </c>
      <c r="K392" s="34" t="str">
        <f t="array" aca="1" ref="K392" ca="1">IF(ISERROR(OFFSET(#REF!,SMALL(IF(#REF!=RM시즌체크판!C392,ROW(#REF!)-20),4),)),"",(OFFSET(#REF!,SMALL(IF(#REF!=RM시즌체크판!C392,ROW(#REF!)-20),4),)))</f>
        <v/>
      </c>
      <c r="L392" s="34" t="str">
        <f t="array" aca="1" ref="L392" ca="1">IF(ISERROR(OFFSET(#REF!,SMALL(IF(#REF!=RM시즌체크판!C392,ROW(#REF!)-20),5),)),"",(OFFSET(#REF!,SMALL(IF(#REF!=RM시즌체크판!C392,ROW(#REF!)-20),5),)))</f>
        <v/>
      </c>
      <c r="M392" s="35" t="str">
        <f t="array" aca="1" ref="M392" ca="1">IF(ISERROR(OFFSET(#REF!,SMALL(IF(#REF!=RM시즌체크판!C392,ROW(#REF!)-20),6),)),"",(OFFSET(#REF!,SMALL(IF(#REF!=RM시즌체크판!C392,ROW(#REF!)-20),6),)))</f>
        <v/>
      </c>
      <c r="N392" s="27" t="str">
        <f>IF(ISERROR(VLOOKUP(C392,모델촬영리스트!$C:$E,3,)),"",(VLOOKUP(C392,모델촬영리스트!$C:$E,3,)))</f>
        <v/>
      </c>
      <c r="O392" s="23" t="str">
        <f>IF(ISERROR(VLOOKUP(C392,배너촬영리스트!$C:$E,3,)),"",(VLOOKUP(C392,배너촬영리스트!$C:$E,3,)))</f>
        <v/>
      </c>
      <c r="P392" s="36" t="str">
        <f>IF(ISERROR(VLOOKUP(C392,배너촬영리스트!$C:$E,2,)),"",(VLOOKUP(C392,배너촬영리스트!$C:$E,2,)))</f>
        <v/>
      </c>
    </row>
    <row r="393" spans="2:16">
      <c r="B393" s="20" t="str">
        <f t="shared" si="6"/>
        <v>RM</v>
      </c>
      <c r="C393" s="11" t="s">
        <v>183</v>
      </c>
      <c r="D393" s="12" t="e">
        <f>VLOOKUP(C393,#REF!,2,0)</f>
        <v>#REF!</v>
      </c>
      <c r="E393" s="10" t="e">
        <f>VLOOKUP(C393,#REF!,4,0)</f>
        <v>#REF!</v>
      </c>
      <c r="F393" s="37" t="e">
        <f>VLOOKUP(C393,#REF!,8,0)</f>
        <v>#REF!</v>
      </c>
      <c r="G393" s="22" t="str">
        <f>IF(ISERROR(IF(VLOOKUP(C393,#REF!,2,0)&gt;0,"등록","")),"",(IF(VLOOKUP(C393,#REF!,2,0)&gt;0,"등록","")))</f>
        <v/>
      </c>
      <c r="H393" s="33" t="str">
        <f t="array" aca="1" ref="H393" ca="1">IF(ISERROR(OFFSET(#REF!,SMALL(IF(#REF!=RM시즌체크판!C393,ROW(#REF!)-20),1),)),"",(OFFSET(#REF!,SMALL(IF(#REF!=RM시즌체크판!C393,ROW(#REF!)-20),1),)))</f>
        <v/>
      </c>
      <c r="I393" s="34" t="str">
        <f t="array" aca="1" ref="I393" ca="1">IF(ISERROR(OFFSET(#REF!,SMALL(IF(#REF!=RM시즌체크판!C393,ROW(#REF!)-20),2),)),"",(OFFSET(#REF!,SMALL(IF(#REF!=RM시즌체크판!C393,ROW(#REF!)-20),2),)))</f>
        <v/>
      </c>
      <c r="J393" s="34" t="str">
        <f t="array" aca="1" ref="J393" ca="1">IF(ISERROR(OFFSET(#REF!,SMALL(IF(#REF!=RM시즌체크판!C393,ROW(#REF!)-20),3),)),"",(OFFSET(#REF!,SMALL(IF(#REF!=RM시즌체크판!C393,ROW(#REF!)-20),3),)))</f>
        <v/>
      </c>
      <c r="K393" s="34" t="str">
        <f t="array" aca="1" ref="K393" ca="1">IF(ISERROR(OFFSET(#REF!,SMALL(IF(#REF!=RM시즌체크판!C393,ROW(#REF!)-20),4),)),"",(OFFSET(#REF!,SMALL(IF(#REF!=RM시즌체크판!C393,ROW(#REF!)-20),4),)))</f>
        <v/>
      </c>
      <c r="L393" s="34" t="str">
        <f t="array" aca="1" ref="L393" ca="1">IF(ISERROR(OFFSET(#REF!,SMALL(IF(#REF!=RM시즌체크판!C393,ROW(#REF!)-20),5),)),"",(OFFSET(#REF!,SMALL(IF(#REF!=RM시즌체크판!C393,ROW(#REF!)-20),5),)))</f>
        <v/>
      </c>
      <c r="M393" s="35" t="str">
        <f t="array" aca="1" ref="M393" ca="1">IF(ISERROR(OFFSET(#REF!,SMALL(IF(#REF!=RM시즌체크판!C393,ROW(#REF!)-20),6),)),"",(OFFSET(#REF!,SMALL(IF(#REF!=RM시즌체크판!C393,ROW(#REF!)-20),6),)))</f>
        <v/>
      </c>
      <c r="N393" s="27" t="str">
        <f>IF(ISERROR(VLOOKUP(C393,모델촬영리스트!$C:$E,3,)),"",(VLOOKUP(C393,모델촬영리스트!$C:$E,3,)))</f>
        <v/>
      </c>
      <c r="O393" s="23" t="str">
        <f>IF(ISERROR(VLOOKUP(C393,배너촬영리스트!$C:$E,3,)),"",(VLOOKUP(C393,배너촬영리스트!$C:$E,3,)))</f>
        <v/>
      </c>
      <c r="P393" s="36" t="str">
        <f>IF(ISERROR(VLOOKUP(C393,배너촬영리스트!$C:$E,2,)),"",(VLOOKUP(C393,배너촬영리스트!$C:$E,2,)))</f>
        <v/>
      </c>
    </row>
    <row r="394" spans="2:16">
      <c r="B394" s="20" t="str">
        <f t="shared" si="6"/>
        <v>RM</v>
      </c>
      <c r="C394" s="11" t="s">
        <v>199</v>
      </c>
      <c r="D394" s="12" t="e">
        <f>VLOOKUP(C394,#REF!,2,0)</f>
        <v>#REF!</v>
      </c>
      <c r="E394" s="10" t="e">
        <f>VLOOKUP(C394,#REF!,4,0)</f>
        <v>#REF!</v>
      </c>
      <c r="F394" s="37" t="e">
        <f>VLOOKUP(C394,#REF!,8,0)</f>
        <v>#REF!</v>
      </c>
      <c r="G394" s="22" t="str">
        <f>IF(ISERROR(IF(VLOOKUP(C394,#REF!,2,0)&gt;0,"등록","")),"",(IF(VLOOKUP(C394,#REF!,2,0)&gt;0,"등록","")))</f>
        <v/>
      </c>
      <c r="H394" s="33" t="str">
        <f t="array" aca="1" ref="H394" ca="1">IF(ISERROR(OFFSET(#REF!,SMALL(IF(#REF!=RM시즌체크판!C394,ROW(#REF!)-20),1),)),"",(OFFSET(#REF!,SMALL(IF(#REF!=RM시즌체크판!C394,ROW(#REF!)-20),1),)))</f>
        <v/>
      </c>
      <c r="I394" s="34" t="str">
        <f t="array" aca="1" ref="I394" ca="1">IF(ISERROR(OFFSET(#REF!,SMALL(IF(#REF!=RM시즌체크판!C394,ROW(#REF!)-20),2),)),"",(OFFSET(#REF!,SMALL(IF(#REF!=RM시즌체크판!C394,ROW(#REF!)-20),2),)))</f>
        <v/>
      </c>
      <c r="J394" s="34" t="str">
        <f t="array" aca="1" ref="J394" ca="1">IF(ISERROR(OFFSET(#REF!,SMALL(IF(#REF!=RM시즌체크판!C394,ROW(#REF!)-20),3),)),"",(OFFSET(#REF!,SMALL(IF(#REF!=RM시즌체크판!C394,ROW(#REF!)-20),3),)))</f>
        <v/>
      </c>
      <c r="K394" s="34" t="str">
        <f t="array" aca="1" ref="K394" ca="1">IF(ISERROR(OFFSET(#REF!,SMALL(IF(#REF!=RM시즌체크판!C394,ROW(#REF!)-20),4),)),"",(OFFSET(#REF!,SMALL(IF(#REF!=RM시즌체크판!C394,ROW(#REF!)-20),4),)))</f>
        <v/>
      </c>
      <c r="L394" s="34" t="str">
        <f t="array" aca="1" ref="L394" ca="1">IF(ISERROR(OFFSET(#REF!,SMALL(IF(#REF!=RM시즌체크판!C394,ROW(#REF!)-20),5),)),"",(OFFSET(#REF!,SMALL(IF(#REF!=RM시즌체크판!C394,ROW(#REF!)-20),5),)))</f>
        <v/>
      </c>
      <c r="M394" s="35" t="str">
        <f t="array" aca="1" ref="M394" ca="1">IF(ISERROR(OFFSET(#REF!,SMALL(IF(#REF!=RM시즌체크판!C394,ROW(#REF!)-20),6),)),"",(OFFSET(#REF!,SMALL(IF(#REF!=RM시즌체크판!C394,ROW(#REF!)-20),6),)))</f>
        <v/>
      </c>
      <c r="N394" s="27" t="str">
        <f>IF(ISERROR(VLOOKUP(C394,모델촬영리스트!$C:$E,3,)),"",(VLOOKUP(C394,모델촬영리스트!$C:$E,3,)))</f>
        <v/>
      </c>
      <c r="O394" s="23" t="str">
        <f>IF(ISERROR(VLOOKUP(C394,배너촬영리스트!$C:$E,3,)),"",(VLOOKUP(C394,배너촬영리스트!$C:$E,3,)))</f>
        <v/>
      </c>
      <c r="P394" s="36" t="str">
        <f>IF(ISERROR(VLOOKUP(C394,배너촬영리스트!$C:$E,2,)),"",(VLOOKUP(C394,배너촬영리스트!$C:$E,2,)))</f>
        <v/>
      </c>
    </row>
    <row r="395" spans="2:16">
      <c r="B395" s="20" t="str">
        <f t="shared" si="6"/>
        <v>RM</v>
      </c>
      <c r="C395" s="11" t="s">
        <v>200</v>
      </c>
      <c r="D395" s="12" t="e">
        <f>VLOOKUP(C395,#REF!,2,0)</f>
        <v>#REF!</v>
      </c>
      <c r="E395" s="10" t="e">
        <f>VLOOKUP(C395,#REF!,4,0)</f>
        <v>#REF!</v>
      </c>
      <c r="F395" s="37" t="e">
        <f>VLOOKUP(C395,#REF!,8,0)</f>
        <v>#REF!</v>
      </c>
      <c r="G395" s="22" t="str">
        <f>IF(ISERROR(IF(VLOOKUP(C395,#REF!,2,0)&gt;0,"등록","")),"",(IF(VLOOKUP(C395,#REF!,2,0)&gt;0,"등록","")))</f>
        <v/>
      </c>
      <c r="H395" s="33" t="str">
        <f t="array" aca="1" ref="H395" ca="1">IF(ISERROR(OFFSET(#REF!,SMALL(IF(#REF!=RM시즌체크판!C395,ROW(#REF!)-20),1),)),"",(OFFSET(#REF!,SMALL(IF(#REF!=RM시즌체크판!C395,ROW(#REF!)-20),1),)))</f>
        <v/>
      </c>
      <c r="I395" s="34" t="str">
        <f t="array" aca="1" ref="I395" ca="1">IF(ISERROR(OFFSET(#REF!,SMALL(IF(#REF!=RM시즌체크판!C395,ROW(#REF!)-20),2),)),"",(OFFSET(#REF!,SMALL(IF(#REF!=RM시즌체크판!C395,ROW(#REF!)-20),2),)))</f>
        <v/>
      </c>
      <c r="J395" s="34" t="str">
        <f t="array" aca="1" ref="J395" ca="1">IF(ISERROR(OFFSET(#REF!,SMALL(IF(#REF!=RM시즌체크판!C395,ROW(#REF!)-20),3),)),"",(OFFSET(#REF!,SMALL(IF(#REF!=RM시즌체크판!C395,ROW(#REF!)-20),3),)))</f>
        <v/>
      </c>
      <c r="K395" s="34" t="str">
        <f t="array" aca="1" ref="K395" ca="1">IF(ISERROR(OFFSET(#REF!,SMALL(IF(#REF!=RM시즌체크판!C395,ROW(#REF!)-20),4),)),"",(OFFSET(#REF!,SMALL(IF(#REF!=RM시즌체크판!C395,ROW(#REF!)-20),4),)))</f>
        <v/>
      </c>
      <c r="L395" s="34" t="str">
        <f t="array" aca="1" ref="L395" ca="1">IF(ISERROR(OFFSET(#REF!,SMALL(IF(#REF!=RM시즌체크판!C395,ROW(#REF!)-20),5),)),"",(OFFSET(#REF!,SMALL(IF(#REF!=RM시즌체크판!C395,ROW(#REF!)-20),5),)))</f>
        <v/>
      </c>
      <c r="M395" s="35" t="str">
        <f t="array" aca="1" ref="M395" ca="1">IF(ISERROR(OFFSET(#REF!,SMALL(IF(#REF!=RM시즌체크판!C395,ROW(#REF!)-20),6),)),"",(OFFSET(#REF!,SMALL(IF(#REF!=RM시즌체크판!C395,ROW(#REF!)-20),6),)))</f>
        <v/>
      </c>
      <c r="N395" s="27" t="str">
        <f>IF(ISERROR(VLOOKUP(C395,모델촬영리스트!$C:$E,3,)),"",(VLOOKUP(C395,모델촬영리스트!$C:$E,3,)))</f>
        <v/>
      </c>
      <c r="O395" s="23" t="str">
        <f>IF(ISERROR(VLOOKUP(C395,배너촬영리스트!$C:$E,3,)),"",(VLOOKUP(C395,배너촬영리스트!$C:$E,3,)))</f>
        <v/>
      </c>
      <c r="P395" s="36" t="str">
        <f>IF(ISERROR(VLOOKUP(C395,배너촬영리스트!$C:$E,2,)),"",(VLOOKUP(C395,배너촬영리스트!$C:$E,2,)))</f>
        <v/>
      </c>
    </row>
    <row r="396" spans="2:16">
      <c r="B396" s="20" t="str">
        <f t="shared" si="6"/>
        <v>RM</v>
      </c>
      <c r="C396" s="11" t="s">
        <v>201</v>
      </c>
      <c r="D396" s="12" t="e">
        <f>VLOOKUP(C396,#REF!,2,0)</f>
        <v>#REF!</v>
      </c>
      <c r="E396" s="10" t="e">
        <f>VLOOKUP(C396,#REF!,4,0)</f>
        <v>#REF!</v>
      </c>
      <c r="F396" s="37" t="e">
        <f>VLOOKUP(C396,#REF!,8,0)</f>
        <v>#REF!</v>
      </c>
      <c r="G396" s="22" t="str">
        <f>IF(ISERROR(IF(VLOOKUP(C396,#REF!,2,0)&gt;0,"등록","")),"",(IF(VLOOKUP(C396,#REF!,2,0)&gt;0,"등록","")))</f>
        <v/>
      </c>
      <c r="H396" s="33" t="str">
        <f t="array" aca="1" ref="H396" ca="1">IF(ISERROR(OFFSET(#REF!,SMALL(IF(#REF!=RM시즌체크판!C396,ROW(#REF!)-20),1),)),"",(OFFSET(#REF!,SMALL(IF(#REF!=RM시즌체크판!C396,ROW(#REF!)-20),1),)))</f>
        <v/>
      </c>
      <c r="I396" s="34" t="str">
        <f t="array" aca="1" ref="I396" ca="1">IF(ISERROR(OFFSET(#REF!,SMALL(IF(#REF!=RM시즌체크판!C396,ROW(#REF!)-20),2),)),"",(OFFSET(#REF!,SMALL(IF(#REF!=RM시즌체크판!C396,ROW(#REF!)-20),2),)))</f>
        <v/>
      </c>
      <c r="J396" s="34" t="str">
        <f t="array" aca="1" ref="J396" ca="1">IF(ISERROR(OFFSET(#REF!,SMALL(IF(#REF!=RM시즌체크판!C396,ROW(#REF!)-20),3),)),"",(OFFSET(#REF!,SMALL(IF(#REF!=RM시즌체크판!C396,ROW(#REF!)-20),3),)))</f>
        <v/>
      </c>
      <c r="K396" s="34" t="str">
        <f t="array" aca="1" ref="K396" ca="1">IF(ISERROR(OFFSET(#REF!,SMALL(IF(#REF!=RM시즌체크판!C396,ROW(#REF!)-20),4),)),"",(OFFSET(#REF!,SMALL(IF(#REF!=RM시즌체크판!C396,ROW(#REF!)-20),4),)))</f>
        <v/>
      </c>
      <c r="L396" s="34" t="str">
        <f t="array" aca="1" ref="L396" ca="1">IF(ISERROR(OFFSET(#REF!,SMALL(IF(#REF!=RM시즌체크판!C396,ROW(#REF!)-20),5),)),"",(OFFSET(#REF!,SMALL(IF(#REF!=RM시즌체크판!C396,ROW(#REF!)-20),5),)))</f>
        <v/>
      </c>
      <c r="M396" s="35" t="str">
        <f t="array" aca="1" ref="M396" ca="1">IF(ISERROR(OFFSET(#REF!,SMALL(IF(#REF!=RM시즌체크판!C396,ROW(#REF!)-20),6),)),"",(OFFSET(#REF!,SMALL(IF(#REF!=RM시즌체크판!C396,ROW(#REF!)-20),6),)))</f>
        <v/>
      </c>
      <c r="N396" s="27" t="str">
        <f>IF(ISERROR(VLOOKUP(C396,모델촬영리스트!$C:$E,3,)),"",(VLOOKUP(C396,모델촬영리스트!$C:$E,3,)))</f>
        <v/>
      </c>
      <c r="O396" s="23" t="str">
        <f>IF(ISERROR(VLOOKUP(C396,배너촬영리스트!$C:$E,3,)),"",(VLOOKUP(C396,배너촬영리스트!$C:$E,3,)))</f>
        <v/>
      </c>
      <c r="P396" s="36" t="str">
        <f>IF(ISERROR(VLOOKUP(C396,배너촬영리스트!$C:$E,2,)),"",(VLOOKUP(C396,배너촬영리스트!$C:$E,2,)))</f>
        <v/>
      </c>
    </row>
    <row r="397" spans="2:16">
      <c r="B397" s="20" t="str">
        <f t="shared" si="6"/>
        <v>RM</v>
      </c>
      <c r="C397" s="11" t="s">
        <v>435</v>
      </c>
      <c r="D397" s="12" t="e">
        <f>VLOOKUP(C397,#REF!,2,0)</f>
        <v>#REF!</v>
      </c>
      <c r="E397" s="10" t="e">
        <f>VLOOKUP(C397,#REF!,4,0)</f>
        <v>#REF!</v>
      </c>
      <c r="F397" s="37" t="e">
        <f>VLOOKUP(C397,#REF!,8,0)</f>
        <v>#REF!</v>
      </c>
      <c r="G397" s="22" t="str">
        <f>IF(ISERROR(IF(VLOOKUP(C397,#REF!,2,0)&gt;0,"등록","")),"",(IF(VLOOKUP(C397,#REF!,2,0)&gt;0,"등록","")))</f>
        <v/>
      </c>
      <c r="H397" s="33" t="str">
        <f t="array" aca="1" ref="H397" ca="1">IF(ISERROR(OFFSET(#REF!,SMALL(IF(#REF!=RM시즌체크판!C397,ROW(#REF!)-20),1),)),"",(OFFSET(#REF!,SMALL(IF(#REF!=RM시즌체크판!C397,ROW(#REF!)-20),1),)))</f>
        <v/>
      </c>
      <c r="I397" s="34" t="str">
        <f t="array" aca="1" ref="I397" ca="1">IF(ISERROR(OFFSET(#REF!,SMALL(IF(#REF!=RM시즌체크판!C397,ROW(#REF!)-20),2),)),"",(OFFSET(#REF!,SMALL(IF(#REF!=RM시즌체크판!C397,ROW(#REF!)-20),2),)))</f>
        <v/>
      </c>
      <c r="J397" s="34" t="str">
        <f t="array" aca="1" ref="J397" ca="1">IF(ISERROR(OFFSET(#REF!,SMALL(IF(#REF!=RM시즌체크판!C397,ROW(#REF!)-20),3),)),"",(OFFSET(#REF!,SMALL(IF(#REF!=RM시즌체크판!C397,ROW(#REF!)-20),3),)))</f>
        <v/>
      </c>
      <c r="K397" s="34" t="str">
        <f t="array" aca="1" ref="K397" ca="1">IF(ISERROR(OFFSET(#REF!,SMALL(IF(#REF!=RM시즌체크판!C397,ROW(#REF!)-20),4),)),"",(OFFSET(#REF!,SMALL(IF(#REF!=RM시즌체크판!C397,ROW(#REF!)-20),4),)))</f>
        <v/>
      </c>
      <c r="L397" s="34" t="str">
        <f t="array" aca="1" ref="L397" ca="1">IF(ISERROR(OFFSET(#REF!,SMALL(IF(#REF!=RM시즌체크판!C397,ROW(#REF!)-20),5),)),"",(OFFSET(#REF!,SMALL(IF(#REF!=RM시즌체크판!C397,ROW(#REF!)-20),5),)))</f>
        <v/>
      </c>
      <c r="M397" s="35" t="str">
        <f t="array" aca="1" ref="M397" ca="1">IF(ISERROR(OFFSET(#REF!,SMALL(IF(#REF!=RM시즌체크판!C397,ROW(#REF!)-20),6),)),"",(OFFSET(#REF!,SMALL(IF(#REF!=RM시즌체크판!C397,ROW(#REF!)-20),6),)))</f>
        <v/>
      </c>
      <c r="N397" s="27" t="str">
        <f>IF(ISERROR(VLOOKUP(C397,모델촬영리스트!$C:$E,3,)),"",(VLOOKUP(C397,모델촬영리스트!$C:$E,3,)))</f>
        <v/>
      </c>
      <c r="O397" s="23" t="str">
        <f>IF(ISERROR(VLOOKUP(C397,배너촬영리스트!$C:$E,3,)),"",(VLOOKUP(C397,배너촬영리스트!$C:$E,3,)))</f>
        <v/>
      </c>
      <c r="P397" s="36" t="str">
        <f>IF(ISERROR(VLOOKUP(C397,배너촬영리스트!$C:$E,2,)),"",(VLOOKUP(C397,배너촬영리스트!$C:$E,2,)))</f>
        <v/>
      </c>
    </row>
    <row r="398" spans="2:16">
      <c r="B398" s="20" t="str">
        <f t="shared" si="6"/>
        <v>RM</v>
      </c>
      <c r="C398" s="11" t="s">
        <v>436</v>
      </c>
      <c r="D398" s="12" t="e">
        <f>VLOOKUP(C398,#REF!,2,0)</f>
        <v>#REF!</v>
      </c>
      <c r="E398" s="10" t="e">
        <f>VLOOKUP(C398,#REF!,4,0)</f>
        <v>#REF!</v>
      </c>
      <c r="F398" s="37" t="e">
        <f>VLOOKUP(C398,#REF!,8,0)</f>
        <v>#REF!</v>
      </c>
      <c r="G398" s="22" t="str">
        <f>IF(ISERROR(IF(VLOOKUP(C398,#REF!,2,0)&gt;0,"등록","")),"",(IF(VLOOKUP(C398,#REF!,2,0)&gt;0,"등록","")))</f>
        <v/>
      </c>
      <c r="H398" s="33" t="str">
        <f t="array" aca="1" ref="H398" ca="1">IF(ISERROR(OFFSET(#REF!,SMALL(IF(#REF!=RM시즌체크판!C398,ROW(#REF!)-20),1),)),"",(OFFSET(#REF!,SMALL(IF(#REF!=RM시즌체크판!C398,ROW(#REF!)-20),1),)))</f>
        <v/>
      </c>
      <c r="I398" s="34" t="str">
        <f t="array" aca="1" ref="I398" ca="1">IF(ISERROR(OFFSET(#REF!,SMALL(IF(#REF!=RM시즌체크판!C398,ROW(#REF!)-20),2),)),"",(OFFSET(#REF!,SMALL(IF(#REF!=RM시즌체크판!C398,ROW(#REF!)-20),2),)))</f>
        <v/>
      </c>
      <c r="J398" s="34" t="str">
        <f t="array" aca="1" ref="J398" ca="1">IF(ISERROR(OFFSET(#REF!,SMALL(IF(#REF!=RM시즌체크판!C398,ROW(#REF!)-20),3),)),"",(OFFSET(#REF!,SMALL(IF(#REF!=RM시즌체크판!C398,ROW(#REF!)-20),3),)))</f>
        <v/>
      </c>
      <c r="K398" s="34" t="str">
        <f t="array" aca="1" ref="K398" ca="1">IF(ISERROR(OFFSET(#REF!,SMALL(IF(#REF!=RM시즌체크판!C398,ROW(#REF!)-20),4),)),"",(OFFSET(#REF!,SMALL(IF(#REF!=RM시즌체크판!C398,ROW(#REF!)-20),4),)))</f>
        <v/>
      </c>
      <c r="L398" s="34" t="str">
        <f t="array" aca="1" ref="L398" ca="1">IF(ISERROR(OFFSET(#REF!,SMALL(IF(#REF!=RM시즌체크판!C398,ROW(#REF!)-20),5),)),"",(OFFSET(#REF!,SMALL(IF(#REF!=RM시즌체크판!C398,ROW(#REF!)-20),5),)))</f>
        <v/>
      </c>
      <c r="M398" s="35" t="str">
        <f t="array" aca="1" ref="M398" ca="1">IF(ISERROR(OFFSET(#REF!,SMALL(IF(#REF!=RM시즌체크판!C398,ROW(#REF!)-20),6),)),"",(OFFSET(#REF!,SMALL(IF(#REF!=RM시즌체크판!C398,ROW(#REF!)-20),6),)))</f>
        <v/>
      </c>
      <c r="N398" s="27" t="str">
        <f>IF(ISERROR(VLOOKUP(C398,모델촬영리스트!$C:$E,3,)),"",(VLOOKUP(C398,모델촬영리스트!$C:$E,3,)))</f>
        <v/>
      </c>
      <c r="O398" s="23" t="str">
        <f>IF(ISERROR(VLOOKUP(C398,배너촬영리스트!$C:$E,3,)),"",(VLOOKUP(C398,배너촬영리스트!$C:$E,3,)))</f>
        <v/>
      </c>
      <c r="P398" s="36" t="str">
        <f>IF(ISERROR(VLOOKUP(C398,배너촬영리스트!$C:$E,2,)),"",(VLOOKUP(C398,배너촬영리스트!$C:$E,2,)))</f>
        <v/>
      </c>
    </row>
    <row r="399" spans="2:16">
      <c r="B399" s="20" t="str">
        <f t="shared" si="6"/>
        <v>RM</v>
      </c>
      <c r="C399" s="11" t="s">
        <v>241</v>
      </c>
      <c r="D399" s="12" t="e">
        <f>VLOOKUP(C399,#REF!,2,0)</f>
        <v>#REF!</v>
      </c>
      <c r="E399" s="10" t="e">
        <f>VLOOKUP(C399,#REF!,4,0)</f>
        <v>#REF!</v>
      </c>
      <c r="F399" s="37" t="e">
        <f>VLOOKUP(C399,#REF!,8,0)</f>
        <v>#REF!</v>
      </c>
      <c r="G399" s="22" t="str">
        <f>IF(ISERROR(IF(VLOOKUP(C399,#REF!,2,0)&gt;0,"등록","")),"",(IF(VLOOKUP(C399,#REF!,2,0)&gt;0,"등록","")))</f>
        <v/>
      </c>
      <c r="H399" s="33" t="str">
        <f t="array" aca="1" ref="H399" ca="1">IF(ISERROR(OFFSET(#REF!,SMALL(IF(#REF!=RM시즌체크판!C399,ROW(#REF!)-20),1),)),"",(OFFSET(#REF!,SMALL(IF(#REF!=RM시즌체크판!C399,ROW(#REF!)-20),1),)))</f>
        <v/>
      </c>
      <c r="I399" s="34" t="str">
        <f t="array" aca="1" ref="I399" ca="1">IF(ISERROR(OFFSET(#REF!,SMALL(IF(#REF!=RM시즌체크판!C399,ROW(#REF!)-20),2),)),"",(OFFSET(#REF!,SMALL(IF(#REF!=RM시즌체크판!C399,ROW(#REF!)-20),2),)))</f>
        <v/>
      </c>
      <c r="J399" s="34" t="str">
        <f t="array" aca="1" ref="J399" ca="1">IF(ISERROR(OFFSET(#REF!,SMALL(IF(#REF!=RM시즌체크판!C399,ROW(#REF!)-20),3),)),"",(OFFSET(#REF!,SMALL(IF(#REF!=RM시즌체크판!C399,ROW(#REF!)-20),3),)))</f>
        <v/>
      </c>
      <c r="K399" s="34" t="str">
        <f t="array" aca="1" ref="K399" ca="1">IF(ISERROR(OFFSET(#REF!,SMALL(IF(#REF!=RM시즌체크판!C399,ROW(#REF!)-20),4),)),"",(OFFSET(#REF!,SMALL(IF(#REF!=RM시즌체크판!C399,ROW(#REF!)-20),4),)))</f>
        <v/>
      </c>
      <c r="L399" s="34" t="str">
        <f t="array" aca="1" ref="L399" ca="1">IF(ISERROR(OFFSET(#REF!,SMALL(IF(#REF!=RM시즌체크판!C399,ROW(#REF!)-20),5),)),"",(OFFSET(#REF!,SMALL(IF(#REF!=RM시즌체크판!C399,ROW(#REF!)-20),5),)))</f>
        <v/>
      </c>
      <c r="M399" s="35" t="str">
        <f t="array" aca="1" ref="M399" ca="1">IF(ISERROR(OFFSET(#REF!,SMALL(IF(#REF!=RM시즌체크판!C399,ROW(#REF!)-20),6),)),"",(OFFSET(#REF!,SMALL(IF(#REF!=RM시즌체크판!C399,ROW(#REF!)-20),6),)))</f>
        <v/>
      </c>
      <c r="N399" s="27" t="str">
        <f>IF(ISERROR(VLOOKUP(C399,모델촬영리스트!$C:$E,3,)),"",(VLOOKUP(C399,모델촬영리스트!$C:$E,3,)))</f>
        <v/>
      </c>
      <c r="O399" s="23" t="str">
        <f>IF(ISERROR(VLOOKUP(C399,배너촬영리스트!$C:$E,3,)),"",(VLOOKUP(C399,배너촬영리스트!$C:$E,3,)))</f>
        <v/>
      </c>
      <c r="P399" s="36" t="str">
        <f>IF(ISERROR(VLOOKUP(C399,배너촬영리스트!$C:$E,2,)),"",(VLOOKUP(C399,배너촬영리스트!$C:$E,2,)))</f>
        <v/>
      </c>
    </row>
    <row r="400" spans="2:16">
      <c r="B400" s="20" t="str">
        <f t="shared" si="6"/>
        <v>RM</v>
      </c>
      <c r="C400" s="11" t="s">
        <v>443</v>
      </c>
      <c r="D400" s="12" t="e">
        <f>VLOOKUP(C400,#REF!,2,0)</f>
        <v>#REF!</v>
      </c>
      <c r="E400" s="10" t="e">
        <f>VLOOKUP(C400,#REF!,4,0)</f>
        <v>#REF!</v>
      </c>
      <c r="F400" s="37" t="e">
        <f>VLOOKUP(C400,#REF!,8,0)</f>
        <v>#REF!</v>
      </c>
      <c r="G400" s="22" t="str">
        <f>IF(ISERROR(IF(VLOOKUP(C400,#REF!,2,0)&gt;0,"등록","")),"",(IF(VLOOKUP(C400,#REF!,2,0)&gt;0,"등록","")))</f>
        <v/>
      </c>
      <c r="H400" s="33" t="str">
        <f t="array" aca="1" ref="H400" ca="1">IF(ISERROR(OFFSET(#REF!,SMALL(IF(#REF!=RM시즌체크판!C400,ROW(#REF!)-20),1),)),"",(OFFSET(#REF!,SMALL(IF(#REF!=RM시즌체크판!C400,ROW(#REF!)-20),1),)))</f>
        <v/>
      </c>
      <c r="I400" s="34" t="str">
        <f t="array" aca="1" ref="I400" ca="1">IF(ISERROR(OFFSET(#REF!,SMALL(IF(#REF!=RM시즌체크판!C400,ROW(#REF!)-20),2),)),"",(OFFSET(#REF!,SMALL(IF(#REF!=RM시즌체크판!C400,ROW(#REF!)-20),2),)))</f>
        <v/>
      </c>
      <c r="J400" s="34" t="str">
        <f t="array" aca="1" ref="J400" ca="1">IF(ISERROR(OFFSET(#REF!,SMALL(IF(#REF!=RM시즌체크판!C400,ROW(#REF!)-20),3),)),"",(OFFSET(#REF!,SMALL(IF(#REF!=RM시즌체크판!C400,ROW(#REF!)-20),3),)))</f>
        <v/>
      </c>
      <c r="K400" s="34" t="str">
        <f t="array" aca="1" ref="K400" ca="1">IF(ISERROR(OFFSET(#REF!,SMALL(IF(#REF!=RM시즌체크판!C400,ROW(#REF!)-20),4),)),"",(OFFSET(#REF!,SMALL(IF(#REF!=RM시즌체크판!C400,ROW(#REF!)-20),4),)))</f>
        <v/>
      </c>
      <c r="L400" s="34" t="str">
        <f t="array" aca="1" ref="L400" ca="1">IF(ISERROR(OFFSET(#REF!,SMALL(IF(#REF!=RM시즌체크판!C400,ROW(#REF!)-20),5),)),"",(OFFSET(#REF!,SMALL(IF(#REF!=RM시즌체크판!C400,ROW(#REF!)-20),5),)))</f>
        <v/>
      </c>
      <c r="M400" s="35" t="str">
        <f t="array" aca="1" ref="M400" ca="1">IF(ISERROR(OFFSET(#REF!,SMALL(IF(#REF!=RM시즌체크판!C400,ROW(#REF!)-20),6),)),"",(OFFSET(#REF!,SMALL(IF(#REF!=RM시즌체크판!C400,ROW(#REF!)-20),6),)))</f>
        <v/>
      </c>
      <c r="N400" s="27" t="str">
        <f>IF(ISERROR(VLOOKUP(C400,모델촬영리스트!$C:$E,3,)),"",(VLOOKUP(C400,모델촬영리스트!$C:$E,3,)))</f>
        <v/>
      </c>
      <c r="O400" s="23" t="str">
        <f>IF(ISERROR(VLOOKUP(C400,배너촬영리스트!$C:$E,3,)),"",(VLOOKUP(C400,배너촬영리스트!$C:$E,3,)))</f>
        <v/>
      </c>
      <c r="P400" s="36" t="str">
        <f>IF(ISERROR(VLOOKUP(C400,배너촬영리스트!$C:$E,2,)),"",(VLOOKUP(C400,배너촬영리스트!$C:$E,2,)))</f>
        <v/>
      </c>
    </row>
    <row r="401" spans="2:16">
      <c r="B401" s="20" t="str">
        <f t="shared" si="6"/>
        <v>RM</v>
      </c>
      <c r="C401" s="11" t="s">
        <v>264</v>
      </c>
      <c r="D401" s="12" t="e">
        <f>VLOOKUP(C401,#REF!,2,0)</f>
        <v>#REF!</v>
      </c>
      <c r="E401" s="10" t="e">
        <f>VLOOKUP(C401,#REF!,4,0)</f>
        <v>#REF!</v>
      </c>
      <c r="F401" s="37" t="e">
        <f>VLOOKUP(C401,#REF!,8,0)</f>
        <v>#REF!</v>
      </c>
      <c r="G401" s="22" t="str">
        <f>IF(ISERROR(IF(VLOOKUP(C401,#REF!,2,0)&gt;0,"등록","")),"",(IF(VLOOKUP(C401,#REF!,2,0)&gt;0,"등록","")))</f>
        <v/>
      </c>
      <c r="H401" s="33" t="str">
        <f t="array" aca="1" ref="H401" ca="1">IF(ISERROR(OFFSET(#REF!,SMALL(IF(#REF!=RM시즌체크판!C401,ROW(#REF!)-20),1),)),"",(OFFSET(#REF!,SMALL(IF(#REF!=RM시즌체크판!C401,ROW(#REF!)-20),1),)))</f>
        <v/>
      </c>
      <c r="I401" s="34" t="str">
        <f t="array" aca="1" ref="I401" ca="1">IF(ISERROR(OFFSET(#REF!,SMALL(IF(#REF!=RM시즌체크판!C401,ROW(#REF!)-20),2),)),"",(OFFSET(#REF!,SMALL(IF(#REF!=RM시즌체크판!C401,ROW(#REF!)-20),2),)))</f>
        <v/>
      </c>
      <c r="J401" s="34" t="str">
        <f t="array" aca="1" ref="J401" ca="1">IF(ISERROR(OFFSET(#REF!,SMALL(IF(#REF!=RM시즌체크판!C401,ROW(#REF!)-20),3),)),"",(OFFSET(#REF!,SMALL(IF(#REF!=RM시즌체크판!C401,ROW(#REF!)-20),3),)))</f>
        <v/>
      </c>
      <c r="K401" s="34" t="str">
        <f t="array" aca="1" ref="K401" ca="1">IF(ISERROR(OFFSET(#REF!,SMALL(IF(#REF!=RM시즌체크판!C401,ROW(#REF!)-20),4),)),"",(OFFSET(#REF!,SMALL(IF(#REF!=RM시즌체크판!C401,ROW(#REF!)-20),4),)))</f>
        <v/>
      </c>
      <c r="L401" s="34" t="str">
        <f t="array" aca="1" ref="L401" ca="1">IF(ISERROR(OFFSET(#REF!,SMALL(IF(#REF!=RM시즌체크판!C401,ROW(#REF!)-20),5),)),"",(OFFSET(#REF!,SMALL(IF(#REF!=RM시즌체크판!C401,ROW(#REF!)-20),5),)))</f>
        <v/>
      </c>
      <c r="M401" s="35" t="str">
        <f t="array" aca="1" ref="M401" ca="1">IF(ISERROR(OFFSET(#REF!,SMALL(IF(#REF!=RM시즌체크판!C401,ROW(#REF!)-20),6),)),"",(OFFSET(#REF!,SMALL(IF(#REF!=RM시즌체크판!C401,ROW(#REF!)-20),6),)))</f>
        <v/>
      </c>
      <c r="N401" s="27" t="str">
        <f>IF(ISERROR(VLOOKUP(C401,모델촬영리스트!$C:$E,3,)),"",(VLOOKUP(C401,모델촬영리스트!$C:$E,3,)))</f>
        <v/>
      </c>
      <c r="O401" s="23" t="str">
        <f>IF(ISERROR(VLOOKUP(C401,배너촬영리스트!$C:$E,3,)),"",(VLOOKUP(C401,배너촬영리스트!$C:$E,3,)))</f>
        <v/>
      </c>
      <c r="P401" s="36" t="str">
        <f>IF(ISERROR(VLOOKUP(C401,배너촬영리스트!$C:$E,2,)),"",(VLOOKUP(C401,배너촬영리스트!$C:$E,2,)))</f>
        <v/>
      </c>
    </row>
    <row r="402" spans="2:16">
      <c r="B402" s="20" t="str">
        <f t="shared" si="6"/>
        <v>RM</v>
      </c>
      <c r="C402" s="11" t="s">
        <v>265</v>
      </c>
      <c r="D402" s="12" t="e">
        <f>VLOOKUP(C402,#REF!,2,0)</f>
        <v>#REF!</v>
      </c>
      <c r="E402" s="10" t="e">
        <f>VLOOKUP(C402,#REF!,4,0)</f>
        <v>#REF!</v>
      </c>
      <c r="F402" s="37" t="e">
        <f>VLOOKUP(C402,#REF!,8,0)</f>
        <v>#REF!</v>
      </c>
      <c r="G402" s="22" t="str">
        <f>IF(ISERROR(IF(VLOOKUP(C402,#REF!,2,0)&gt;0,"등록","")),"",(IF(VLOOKUP(C402,#REF!,2,0)&gt;0,"등록","")))</f>
        <v/>
      </c>
      <c r="H402" s="33" t="str">
        <f t="array" aca="1" ref="H402" ca="1">IF(ISERROR(OFFSET(#REF!,SMALL(IF(#REF!=RM시즌체크판!C402,ROW(#REF!)-20),1),)),"",(OFFSET(#REF!,SMALL(IF(#REF!=RM시즌체크판!C402,ROW(#REF!)-20),1),)))</f>
        <v/>
      </c>
      <c r="I402" s="34" t="str">
        <f t="array" aca="1" ref="I402" ca="1">IF(ISERROR(OFFSET(#REF!,SMALL(IF(#REF!=RM시즌체크판!C402,ROW(#REF!)-20),2),)),"",(OFFSET(#REF!,SMALL(IF(#REF!=RM시즌체크판!C402,ROW(#REF!)-20),2),)))</f>
        <v/>
      </c>
      <c r="J402" s="34" t="str">
        <f t="array" aca="1" ref="J402" ca="1">IF(ISERROR(OFFSET(#REF!,SMALL(IF(#REF!=RM시즌체크판!C402,ROW(#REF!)-20),3),)),"",(OFFSET(#REF!,SMALL(IF(#REF!=RM시즌체크판!C402,ROW(#REF!)-20),3),)))</f>
        <v/>
      </c>
      <c r="K402" s="34" t="str">
        <f t="array" aca="1" ref="K402" ca="1">IF(ISERROR(OFFSET(#REF!,SMALL(IF(#REF!=RM시즌체크판!C402,ROW(#REF!)-20),4),)),"",(OFFSET(#REF!,SMALL(IF(#REF!=RM시즌체크판!C402,ROW(#REF!)-20),4),)))</f>
        <v/>
      </c>
      <c r="L402" s="34" t="str">
        <f t="array" aca="1" ref="L402" ca="1">IF(ISERROR(OFFSET(#REF!,SMALL(IF(#REF!=RM시즌체크판!C402,ROW(#REF!)-20),5),)),"",(OFFSET(#REF!,SMALL(IF(#REF!=RM시즌체크판!C402,ROW(#REF!)-20),5),)))</f>
        <v/>
      </c>
      <c r="M402" s="35" t="str">
        <f t="array" aca="1" ref="M402" ca="1">IF(ISERROR(OFFSET(#REF!,SMALL(IF(#REF!=RM시즌체크판!C402,ROW(#REF!)-20),6),)),"",(OFFSET(#REF!,SMALL(IF(#REF!=RM시즌체크판!C402,ROW(#REF!)-20),6),)))</f>
        <v/>
      </c>
      <c r="N402" s="27" t="str">
        <f>IF(ISERROR(VLOOKUP(C402,모델촬영리스트!$C:$E,3,)),"",(VLOOKUP(C402,모델촬영리스트!$C:$E,3,)))</f>
        <v/>
      </c>
      <c r="O402" s="23" t="str">
        <f>IF(ISERROR(VLOOKUP(C402,배너촬영리스트!$C:$E,3,)),"",(VLOOKUP(C402,배너촬영리스트!$C:$E,3,)))</f>
        <v/>
      </c>
      <c r="P402" s="36" t="str">
        <f>IF(ISERROR(VLOOKUP(C402,배너촬영리스트!$C:$E,2,)),"",(VLOOKUP(C402,배너촬영리스트!$C:$E,2,)))</f>
        <v/>
      </c>
    </row>
    <row r="403" spans="2:16">
      <c r="B403" s="20" t="str">
        <f t="shared" si="6"/>
        <v>RM</v>
      </c>
      <c r="C403" s="11" t="s">
        <v>266</v>
      </c>
      <c r="D403" s="12" t="e">
        <f>VLOOKUP(C403,#REF!,2,0)</f>
        <v>#REF!</v>
      </c>
      <c r="E403" s="10" t="e">
        <f>VLOOKUP(C403,#REF!,4,0)</f>
        <v>#REF!</v>
      </c>
      <c r="F403" s="37" t="e">
        <f>VLOOKUP(C403,#REF!,8,0)</f>
        <v>#REF!</v>
      </c>
      <c r="G403" s="22" t="str">
        <f>IF(ISERROR(IF(VLOOKUP(C403,#REF!,2,0)&gt;0,"등록","")),"",(IF(VLOOKUP(C403,#REF!,2,0)&gt;0,"등록","")))</f>
        <v/>
      </c>
      <c r="H403" s="33" t="str">
        <f t="array" aca="1" ref="H403" ca="1">IF(ISERROR(OFFSET(#REF!,SMALL(IF(#REF!=RM시즌체크판!C403,ROW(#REF!)-20),1),)),"",(OFFSET(#REF!,SMALL(IF(#REF!=RM시즌체크판!C403,ROW(#REF!)-20),1),)))</f>
        <v/>
      </c>
      <c r="I403" s="34" t="str">
        <f t="array" aca="1" ref="I403" ca="1">IF(ISERROR(OFFSET(#REF!,SMALL(IF(#REF!=RM시즌체크판!C403,ROW(#REF!)-20),2),)),"",(OFFSET(#REF!,SMALL(IF(#REF!=RM시즌체크판!C403,ROW(#REF!)-20),2),)))</f>
        <v/>
      </c>
      <c r="J403" s="34" t="str">
        <f t="array" aca="1" ref="J403" ca="1">IF(ISERROR(OFFSET(#REF!,SMALL(IF(#REF!=RM시즌체크판!C403,ROW(#REF!)-20),3),)),"",(OFFSET(#REF!,SMALL(IF(#REF!=RM시즌체크판!C403,ROW(#REF!)-20),3),)))</f>
        <v/>
      </c>
      <c r="K403" s="34" t="str">
        <f t="array" aca="1" ref="K403" ca="1">IF(ISERROR(OFFSET(#REF!,SMALL(IF(#REF!=RM시즌체크판!C403,ROW(#REF!)-20),4),)),"",(OFFSET(#REF!,SMALL(IF(#REF!=RM시즌체크판!C403,ROW(#REF!)-20),4),)))</f>
        <v/>
      </c>
      <c r="L403" s="34" t="str">
        <f t="array" aca="1" ref="L403" ca="1">IF(ISERROR(OFFSET(#REF!,SMALL(IF(#REF!=RM시즌체크판!C403,ROW(#REF!)-20),5),)),"",(OFFSET(#REF!,SMALL(IF(#REF!=RM시즌체크판!C403,ROW(#REF!)-20),5),)))</f>
        <v/>
      </c>
      <c r="M403" s="35" t="str">
        <f t="array" aca="1" ref="M403" ca="1">IF(ISERROR(OFFSET(#REF!,SMALL(IF(#REF!=RM시즌체크판!C403,ROW(#REF!)-20),6),)),"",(OFFSET(#REF!,SMALL(IF(#REF!=RM시즌체크판!C403,ROW(#REF!)-20),6),)))</f>
        <v/>
      </c>
      <c r="N403" s="27" t="str">
        <f>IF(ISERROR(VLOOKUP(C403,모델촬영리스트!$C:$E,3,)),"",(VLOOKUP(C403,모델촬영리스트!$C:$E,3,)))</f>
        <v/>
      </c>
      <c r="O403" s="23" t="str">
        <f>IF(ISERROR(VLOOKUP(C403,배너촬영리스트!$C:$E,3,)),"",(VLOOKUP(C403,배너촬영리스트!$C:$E,3,)))</f>
        <v/>
      </c>
      <c r="P403" s="36" t="str">
        <f>IF(ISERROR(VLOOKUP(C403,배너촬영리스트!$C:$E,2,)),"",(VLOOKUP(C403,배너촬영리스트!$C:$E,2,)))</f>
        <v/>
      </c>
    </row>
    <row r="404" spans="2:16">
      <c r="B404" s="20" t="str">
        <f t="shared" si="6"/>
        <v>RM</v>
      </c>
      <c r="C404" s="11" t="s">
        <v>267</v>
      </c>
      <c r="D404" s="12" t="e">
        <f>VLOOKUP(C404,#REF!,2,0)</f>
        <v>#REF!</v>
      </c>
      <c r="E404" s="10" t="e">
        <f>VLOOKUP(C404,#REF!,4,0)</f>
        <v>#REF!</v>
      </c>
      <c r="F404" s="37" t="e">
        <f>VLOOKUP(C404,#REF!,8,0)</f>
        <v>#REF!</v>
      </c>
      <c r="G404" s="22" t="str">
        <f>IF(ISERROR(IF(VLOOKUP(C404,#REF!,2,0)&gt;0,"등록","")),"",(IF(VLOOKUP(C404,#REF!,2,0)&gt;0,"등록","")))</f>
        <v/>
      </c>
      <c r="H404" s="33" t="str">
        <f t="array" aca="1" ref="H404" ca="1">IF(ISERROR(OFFSET(#REF!,SMALL(IF(#REF!=RM시즌체크판!C404,ROW(#REF!)-20),1),)),"",(OFFSET(#REF!,SMALL(IF(#REF!=RM시즌체크판!C404,ROW(#REF!)-20),1),)))</f>
        <v/>
      </c>
      <c r="I404" s="34" t="str">
        <f t="array" aca="1" ref="I404" ca="1">IF(ISERROR(OFFSET(#REF!,SMALL(IF(#REF!=RM시즌체크판!C404,ROW(#REF!)-20),2),)),"",(OFFSET(#REF!,SMALL(IF(#REF!=RM시즌체크판!C404,ROW(#REF!)-20),2),)))</f>
        <v/>
      </c>
      <c r="J404" s="34" t="str">
        <f t="array" aca="1" ref="J404" ca="1">IF(ISERROR(OFFSET(#REF!,SMALL(IF(#REF!=RM시즌체크판!C404,ROW(#REF!)-20),3),)),"",(OFFSET(#REF!,SMALL(IF(#REF!=RM시즌체크판!C404,ROW(#REF!)-20),3),)))</f>
        <v/>
      </c>
      <c r="K404" s="34" t="str">
        <f t="array" aca="1" ref="K404" ca="1">IF(ISERROR(OFFSET(#REF!,SMALL(IF(#REF!=RM시즌체크판!C404,ROW(#REF!)-20),4),)),"",(OFFSET(#REF!,SMALL(IF(#REF!=RM시즌체크판!C404,ROW(#REF!)-20),4),)))</f>
        <v/>
      </c>
      <c r="L404" s="34" t="str">
        <f t="array" aca="1" ref="L404" ca="1">IF(ISERROR(OFFSET(#REF!,SMALL(IF(#REF!=RM시즌체크판!C404,ROW(#REF!)-20),5),)),"",(OFFSET(#REF!,SMALL(IF(#REF!=RM시즌체크판!C404,ROW(#REF!)-20),5),)))</f>
        <v/>
      </c>
      <c r="M404" s="35" t="str">
        <f t="array" aca="1" ref="M404" ca="1">IF(ISERROR(OFFSET(#REF!,SMALL(IF(#REF!=RM시즌체크판!C404,ROW(#REF!)-20),6),)),"",(OFFSET(#REF!,SMALL(IF(#REF!=RM시즌체크판!C404,ROW(#REF!)-20),6),)))</f>
        <v/>
      </c>
      <c r="N404" s="27" t="str">
        <f>IF(ISERROR(VLOOKUP(C404,모델촬영리스트!$C:$E,3,)),"",(VLOOKUP(C404,모델촬영리스트!$C:$E,3,)))</f>
        <v/>
      </c>
      <c r="O404" s="23" t="str">
        <f>IF(ISERROR(VLOOKUP(C404,배너촬영리스트!$C:$E,3,)),"",(VLOOKUP(C404,배너촬영리스트!$C:$E,3,)))</f>
        <v/>
      </c>
      <c r="P404" s="36" t="str">
        <f>IF(ISERROR(VLOOKUP(C404,배너촬영리스트!$C:$E,2,)),"",(VLOOKUP(C404,배너촬영리스트!$C:$E,2,)))</f>
        <v/>
      </c>
    </row>
    <row r="405" spans="2:16">
      <c r="B405" s="20" t="str">
        <f t="shared" si="6"/>
        <v>RM</v>
      </c>
      <c r="C405" s="11" t="s">
        <v>444</v>
      </c>
      <c r="D405" s="12" t="e">
        <f>VLOOKUP(C405,#REF!,2,0)</f>
        <v>#REF!</v>
      </c>
      <c r="E405" s="10" t="e">
        <f>VLOOKUP(C405,#REF!,4,0)</f>
        <v>#REF!</v>
      </c>
      <c r="F405" s="37" t="e">
        <f>VLOOKUP(C405,#REF!,8,0)</f>
        <v>#REF!</v>
      </c>
      <c r="G405" s="22" t="str">
        <f>IF(ISERROR(IF(VLOOKUP(C405,#REF!,2,0)&gt;0,"등록","")),"",(IF(VLOOKUP(C405,#REF!,2,0)&gt;0,"등록","")))</f>
        <v/>
      </c>
      <c r="H405" s="33" t="str">
        <f t="array" aca="1" ref="H405" ca="1">IF(ISERROR(OFFSET(#REF!,SMALL(IF(#REF!=RM시즌체크판!C405,ROW(#REF!)-20),1),)),"",(OFFSET(#REF!,SMALL(IF(#REF!=RM시즌체크판!C405,ROW(#REF!)-20),1),)))</f>
        <v/>
      </c>
      <c r="I405" s="34" t="str">
        <f t="array" aca="1" ref="I405" ca="1">IF(ISERROR(OFFSET(#REF!,SMALL(IF(#REF!=RM시즌체크판!C405,ROW(#REF!)-20),2),)),"",(OFFSET(#REF!,SMALL(IF(#REF!=RM시즌체크판!C405,ROW(#REF!)-20),2),)))</f>
        <v/>
      </c>
      <c r="J405" s="34" t="str">
        <f t="array" aca="1" ref="J405" ca="1">IF(ISERROR(OFFSET(#REF!,SMALL(IF(#REF!=RM시즌체크판!C405,ROW(#REF!)-20),3),)),"",(OFFSET(#REF!,SMALL(IF(#REF!=RM시즌체크판!C405,ROW(#REF!)-20),3),)))</f>
        <v/>
      </c>
      <c r="K405" s="34" t="str">
        <f t="array" aca="1" ref="K405" ca="1">IF(ISERROR(OFFSET(#REF!,SMALL(IF(#REF!=RM시즌체크판!C405,ROW(#REF!)-20),4),)),"",(OFFSET(#REF!,SMALL(IF(#REF!=RM시즌체크판!C405,ROW(#REF!)-20),4),)))</f>
        <v/>
      </c>
      <c r="L405" s="34" t="str">
        <f t="array" aca="1" ref="L405" ca="1">IF(ISERROR(OFFSET(#REF!,SMALL(IF(#REF!=RM시즌체크판!C405,ROW(#REF!)-20),5),)),"",(OFFSET(#REF!,SMALL(IF(#REF!=RM시즌체크판!C405,ROW(#REF!)-20),5),)))</f>
        <v/>
      </c>
      <c r="M405" s="35" t="str">
        <f t="array" aca="1" ref="M405" ca="1">IF(ISERROR(OFFSET(#REF!,SMALL(IF(#REF!=RM시즌체크판!C405,ROW(#REF!)-20),6),)),"",(OFFSET(#REF!,SMALL(IF(#REF!=RM시즌체크판!C405,ROW(#REF!)-20),6),)))</f>
        <v/>
      </c>
      <c r="N405" s="27" t="str">
        <f>IF(ISERROR(VLOOKUP(C405,모델촬영리스트!$C:$E,3,)),"",(VLOOKUP(C405,모델촬영리스트!$C:$E,3,)))</f>
        <v/>
      </c>
      <c r="O405" s="23" t="str">
        <f>IF(ISERROR(VLOOKUP(C405,배너촬영리스트!$C:$E,3,)),"",(VLOOKUP(C405,배너촬영리스트!$C:$E,3,)))</f>
        <v/>
      </c>
      <c r="P405" s="36" t="str">
        <f>IF(ISERROR(VLOOKUP(C405,배너촬영리스트!$C:$E,2,)),"",(VLOOKUP(C405,배너촬영리스트!$C:$E,2,)))</f>
        <v/>
      </c>
    </row>
    <row r="406" spans="2:16">
      <c r="B406" s="20" t="str">
        <f t="shared" si="6"/>
        <v>RM</v>
      </c>
      <c r="C406" s="11" t="s">
        <v>445</v>
      </c>
      <c r="D406" s="12" t="e">
        <f>VLOOKUP(C406,#REF!,2,0)</f>
        <v>#REF!</v>
      </c>
      <c r="E406" s="10" t="e">
        <f>VLOOKUP(C406,#REF!,4,0)</f>
        <v>#REF!</v>
      </c>
      <c r="F406" s="37" t="e">
        <f>VLOOKUP(C406,#REF!,8,0)</f>
        <v>#REF!</v>
      </c>
      <c r="G406" s="22" t="str">
        <f>IF(ISERROR(IF(VLOOKUP(C406,#REF!,2,0)&gt;0,"등록","")),"",(IF(VLOOKUP(C406,#REF!,2,0)&gt;0,"등록","")))</f>
        <v/>
      </c>
      <c r="H406" s="33" t="str">
        <f t="array" aca="1" ref="H406" ca="1">IF(ISERROR(OFFSET(#REF!,SMALL(IF(#REF!=RM시즌체크판!C406,ROW(#REF!)-20),1),)),"",(OFFSET(#REF!,SMALL(IF(#REF!=RM시즌체크판!C406,ROW(#REF!)-20),1),)))</f>
        <v/>
      </c>
      <c r="I406" s="34" t="str">
        <f t="array" aca="1" ref="I406" ca="1">IF(ISERROR(OFFSET(#REF!,SMALL(IF(#REF!=RM시즌체크판!C406,ROW(#REF!)-20),2),)),"",(OFFSET(#REF!,SMALL(IF(#REF!=RM시즌체크판!C406,ROW(#REF!)-20),2),)))</f>
        <v/>
      </c>
      <c r="J406" s="34" t="str">
        <f t="array" aca="1" ref="J406" ca="1">IF(ISERROR(OFFSET(#REF!,SMALL(IF(#REF!=RM시즌체크판!C406,ROW(#REF!)-20),3),)),"",(OFFSET(#REF!,SMALL(IF(#REF!=RM시즌체크판!C406,ROW(#REF!)-20),3),)))</f>
        <v/>
      </c>
      <c r="K406" s="34" t="str">
        <f t="array" aca="1" ref="K406" ca="1">IF(ISERROR(OFFSET(#REF!,SMALL(IF(#REF!=RM시즌체크판!C406,ROW(#REF!)-20),4),)),"",(OFFSET(#REF!,SMALL(IF(#REF!=RM시즌체크판!C406,ROW(#REF!)-20),4),)))</f>
        <v/>
      </c>
      <c r="L406" s="34" t="str">
        <f t="array" aca="1" ref="L406" ca="1">IF(ISERROR(OFFSET(#REF!,SMALL(IF(#REF!=RM시즌체크판!C406,ROW(#REF!)-20),5),)),"",(OFFSET(#REF!,SMALL(IF(#REF!=RM시즌체크판!C406,ROW(#REF!)-20),5),)))</f>
        <v/>
      </c>
      <c r="M406" s="35" t="str">
        <f t="array" aca="1" ref="M406" ca="1">IF(ISERROR(OFFSET(#REF!,SMALL(IF(#REF!=RM시즌체크판!C406,ROW(#REF!)-20),6),)),"",(OFFSET(#REF!,SMALL(IF(#REF!=RM시즌체크판!C406,ROW(#REF!)-20),6),)))</f>
        <v/>
      </c>
      <c r="N406" s="27" t="str">
        <f>IF(ISERROR(VLOOKUP(C406,모델촬영리스트!$C:$E,3,)),"",(VLOOKUP(C406,모델촬영리스트!$C:$E,3,)))</f>
        <v/>
      </c>
      <c r="O406" s="23" t="str">
        <f>IF(ISERROR(VLOOKUP(C406,배너촬영리스트!$C:$E,3,)),"",(VLOOKUP(C406,배너촬영리스트!$C:$E,3,)))</f>
        <v/>
      </c>
      <c r="P406" s="36" t="str">
        <f>IF(ISERROR(VLOOKUP(C406,배너촬영리스트!$C:$E,2,)),"",(VLOOKUP(C406,배너촬영리스트!$C:$E,2,)))</f>
        <v/>
      </c>
    </row>
    <row r="407" spans="2:16">
      <c r="B407" s="20" t="str">
        <f t="shared" si="6"/>
        <v>RM</v>
      </c>
      <c r="C407" s="11" t="s">
        <v>446</v>
      </c>
      <c r="D407" s="12" t="e">
        <f>VLOOKUP(C407,#REF!,2,0)</f>
        <v>#REF!</v>
      </c>
      <c r="E407" s="10" t="e">
        <f>VLOOKUP(C407,#REF!,4,0)</f>
        <v>#REF!</v>
      </c>
      <c r="F407" s="37" t="e">
        <f>VLOOKUP(C407,#REF!,8,0)</f>
        <v>#REF!</v>
      </c>
      <c r="G407" s="22" t="str">
        <f>IF(ISERROR(IF(VLOOKUP(C407,#REF!,2,0)&gt;0,"등록","")),"",(IF(VLOOKUP(C407,#REF!,2,0)&gt;0,"등록","")))</f>
        <v/>
      </c>
      <c r="H407" s="33" t="str">
        <f t="array" aca="1" ref="H407" ca="1">IF(ISERROR(OFFSET(#REF!,SMALL(IF(#REF!=RM시즌체크판!C407,ROW(#REF!)-20),1),)),"",(OFFSET(#REF!,SMALL(IF(#REF!=RM시즌체크판!C407,ROW(#REF!)-20),1),)))</f>
        <v/>
      </c>
      <c r="I407" s="34" t="str">
        <f t="array" aca="1" ref="I407" ca="1">IF(ISERROR(OFFSET(#REF!,SMALL(IF(#REF!=RM시즌체크판!C407,ROW(#REF!)-20),2),)),"",(OFFSET(#REF!,SMALL(IF(#REF!=RM시즌체크판!C407,ROW(#REF!)-20),2),)))</f>
        <v/>
      </c>
      <c r="J407" s="34" t="str">
        <f t="array" aca="1" ref="J407" ca="1">IF(ISERROR(OFFSET(#REF!,SMALL(IF(#REF!=RM시즌체크판!C407,ROW(#REF!)-20),3),)),"",(OFFSET(#REF!,SMALL(IF(#REF!=RM시즌체크판!C407,ROW(#REF!)-20),3),)))</f>
        <v/>
      </c>
      <c r="K407" s="34" t="str">
        <f t="array" aca="1" ref="K407" ca="1">IF(ISERROR(OFFSET(#REF!,SMALL(IF(#REF!=RM시즌체크판!C407,ROW(#REF!)-20),4),)),"",(OFFSET(#REF!,SMALL(IF(#REF!=RM시즌체크판!C407,ROW(#REF!)-20),4),)))</f>
        <v/>
      </c>
      <c r="L407" s="34" t="str">
        <f t="array" aca="1" ref="L407" ca="1">IF(ISERROR(OFFSET(#REF!,SMALL(IF(#REF!=RM시즌체크판!C407,ROW(#REF!)-20),5),)),"",(OFFSET(#REF!,SMALL(IF(#REF!=RM시즌체크판!C407,ROW(#REF!)-20),5),)))</f>
        <v/>
      </c>
      <c r="M407" s="35" t="str">
        <f t="array" aca="1" ref="M407" ca="1">IF(ISERROR(OFFSET(#REF!,SMALL(IF(#REF!=RM시즌체크판!C407,ROW(#REF!)-20),6),)),"",(OFFSET(#REF!,SMALL(IF(#REF!=RM시즌체크판!C407,ROW(#REF!)-20),6),)))</f>
        <v/>
      </c>
      <c r="N407" s="27" t="str">
        <f>IF(ISERROR(VLOOKUP(C407,모델촬영리스트!$C:$E,3,)),"",(VLOOKUP(C407,모델촬영리스트!$C:$E,3,)))</f>
        <v/>
      </c>
      <c r="O407" s="23" t="str">
        <f>IF(ISERROR(VLOOKUP(C407,배너촬영리스트!$C:$E,3,)),"",(VLOOKUP(C407,배너촬영리스트!$C:$E,3,)))</f>
        <v/>
      </c>
      <c r="P407" s="36" t="str">
        <f>IF(ISERROR(VLOOKUP(C407,배너촬영리스트!$C:$E,2,)),"",(VLOOKUP(C407,배너촬영리스트!$C:$E,2,)))</f>
        <v/>
      </c>
    </row>
    <row r="408" spans="2:16">
      <c r="B408" s="20" t="str">
        <f t="shared" si="6"/>
        <v>RM</v>
      </c>
      <c r="C408" s="11" t="s">
        <v>447</v>
      </c>
      <c r="D408" s="12" t="e">
        <f>VLOOKUP(C408,#REF!,2,0)</f>
        <v>#REF!</v>
      </c>
      <c r="E408" s="10" t="e">
        <f>VLOOKUP(C408,#REF!,4,0)</f>
        <v>#REF!</v>
      </c>
      <c r="F408" s="37" t="e">
        <f>VLOOKUP(C408,#REF!,8,0)</f>
        <v>#REF!</v>
      </c>
      <c r="G408" s="22" t="str">
        <f>IF(ISERROR(IF(VLOOKUP(C408,#REF!,2,0)&gt;0,"등록","")),"",(IF(VLOOKUP(C408,#REF!,2,0)&gt;0,"등록","")))</f>
        <v/>
      </c>
      <c r="H408" s="33" t="str">
        <f t="array" aca="1" ref="H408" ca="1">IF(ISERROR(OFFSET(#REF!,SMALL(IF(#REF!=RM시즌체크판!C408,ROW(#REF!)-20),1),)),"",(OFFSET(#REF!,SMALL(IF(#REF!=RM시즌체크판!C408,ROW(#REF!)-20),1),)))</f>
        <v/>
      </c>
      <c r="I408" s="34" t="str">
        <f t="array" aca="1" ref="I408" ca="1">IF(ISERROR(OFFSET(#REF!,SMALL(IF(#REF!=RM시즌체크판!C408,ROW(#REF!)-20),2),)),"",(OFFSET(#REF!,SMALL(IF(#REF!=RM시즌체크판!C408,ROW(#REF!)-20),2),)))</f>
        <v/>
      </c>
      <c r="J408" s="34" t="str">
        <f t="array" aca="1" ref="J408" ca="1">IF(ISERROR(OFFSET(#REF!,SMALL(IF(#REF!=RM시즌체크판!C408,ROW(#REF!)-20),3),)),"",(OFFSET(#REF!,SMALL(IF(#REF!=RM시즌체크판!C408,ROW(#REF!)-20),3),)))</f>
        <v/>
      </c>
      <c r="K408" s="34" t="str">
        <f t="array" aca="1" ref="K408" ca="1">IF(ISERROR(OFFSET(#REF!,SMALL(IF(#REF!=RM시즌체크판!C408,ROW(#REF!)-20),4),)),"",(OFFSET(#REF!,SMALL(IF(#REF!=RM시즌체크판!C408,ROW(#REF!)-20),4),)))</f>
        <v/>
      </c>
      <c r="L408" s="34" t="str">
        <f t="array" aca="1" ref="L408" ca="1">IF(ISERROR(OFFSET(#REF!,SMALL(IF(#REF!=RM시즌체크판!C408,ROW(#REF!)-20),5),)),"",(OFFSET(#REF!,SMALL(IF(#REF!=RM시즌체크판!C408,ROW(#REF!)-20),5),)))</f>
        <v/>
      </c>
      <c r="M408" s="35" t="str">
        <f t="array" aca="1" ref="M408" ca="1">IF(ISERROR(OFFSET(#REF!,SMALL(IF(#REF!=RM시즌체크판!C408,ROW(#REF!)-20),6),)),"",(OFFSET(#REF!,SMALL(IF(#REF!=RM시즌체크판!C408,ROW(#REF!)-20),6),)))</f>
        <v/>
      </c>
      <c r="N408" s="27" t="str">
        <f>IF(ISERROR(VLOOKUP(C408,모델촬영리스트!$C:$E,3,)),"",(VLOOKUP(C408,모델촬영리스트!$C:$E,3,)))</f>
        <v/>
      </c>
      <c r="O408" s="23" t="str">
        <f>IF(ISERROR(VLOOKUP(C408,배너촬영리스트!$C:$E,3,)),"",(VLOOKUP(C408,배너촬영리스트!$C:$E,3,)))</f>
        <v/>
      </c>
      <c r="P408" s="36" t="str">
        <f>IF(ISERROR(VLOOKUP(C408,배너촬영리스트!$C:$E,2,)),"",(VLOOKUP(C408,배너촬영리스트!$C:$E,2,)))</f>
        <v/>
      </c>
    </row>
    <row r="409" spans="2:16">
      <c r="B409" s="20" t="str">
        <f t="shared" si="6"/>
        <v>RM</v>
      </c>
      <c r="C409" s="11" t="s">
        <v>448</v>
      </c>
      <c r="D409" s="12" t="e">
        <f>VLOOKUP(C409,#REF!,2,0)</f>
        <v>#REF!</v>
      </c>
      <c r="E409" s="10" t="e">
        <f>VLOOKUP(C409,#REF!,4,0)</f>
        <v>#REF!</v>
      </c>
      <c r="F409" s="37" t="e">
        <f>VLOOKUP(C409,#REF!,8,0)</f>
        <v>#REF!</v>
      </c>
      <c r="G409" s="22" t="str">
        <f>IF(ISERROR(IF(VLOOKUP(C409,#REF!,2,0)&gt;0,"등록","")),"",(IF(VLOOKUP(C409,#REF!,2,0)&gt;0,"등록","")))</f>
        <v/>
      </c>
      <c r="H409" s="33" t="str">
        <f t="array" aca="1" ref="H409" ca="1">IF(ISERROR(OFFSET(#REF!,SMALL(IF(#REF!=RM시즌체크판!C409,ROW(#REF!)-20),1),)),"",(OFFSET(#REF!,SMALL(IF(#REF!=RM시즌체크판!C409,ROW(#REF!)-20),1),)))</f>
        <v/>
      </c>
      <c r="I409" s="34" t="str">
        <f t="array" aca="1" ref="I409" ca="1">IF(ISERROR(OFFSET(#REF!,SMALL(IF(#REF!=RM시즌체크판!C409,ROW(#REF!)-20),2),)),"",(OFFSET(#REF!,SMALL(IF(#REF!=RM시즌체크판!C409,ROW(#REF!)-20),2),)))</f>
        <v/>
      </c>
      <c r="J409" s="34" t="str">
        <f t="array" aca="1" ref="J409" ca="1">IF(ISERROR(OFFSET(#REF!,SMALL(IF(#REF!=RM시즌체크판!C409,ROW(#REF!)-20),3),)),"",(OFFSET(#REF!,SMALL(IF(#REF!=RM시즌체크판!C409,ROW(#REF!)-20),3),)))</f>
        <v/>
      </c>
      <c r="K409" s="34" t="str">
        <f t="array" aca="1" ref="K409" ca="1">IF(ISERROR(OFFSET(#REF!,SMALL(IF(#REF!=RM시즌체크판!C409,ROW(#REF!)-20),4),)),"",(OFFSET(#REF!,SMALL(IF(#REF!=RM시즌체크판!C409,ROW(#REF!)-20),4),)))</f>
        <v/>
      </c>
      <c r="L409" s="34" t="str">
        <f t="array" aca="1" ref="L409" ca="1">IF(ISERROR(OFFSET(#REF!,SMALL(IF(#REF!=RM시즌체크판!C409,ROW(#REF!)-20),5),)),"",(OFFSET(#REF!,SMALL(IF(#REF!=RM시즌체크판!C409,ROW(#REF!)-20),5),)))</f>
        <v/>
      </c>
      <c r="M409" s="35" t="str">
        <f t="array" aca="1" ref="M409" ca="1">IF(ISERROR(OFFSET(#REF!,SMALL(IF(#REF!=RM시즌체크판!C409,ROW(#REF!)-20),6),)),"",(OFFSET(#REF!,SMALL(IF(#REF!=RM시즌체크판!C409,ROW(#REF!)-20),6),)))</f>
        <v/>
      </c>
      <c r="N409" s="27" t="str">
        <f>IF(ISERROR(VLOOKUP(C409,모델촬영리스트!$C:$E,3,)),"",(VLOOKUP(C409,모델촬영리스트!$C:$E,3,)))</f>
        <v/>
      </c>
      <c r="O409" s="23" t="str">
        <f>IF(ISERROR(VLOOKUP(C409,배너촬영리스트!$C:$E,3,)),"",(VLOOKUP(C409,배너촬영리스트!$C:$E,3,)))</f>
        <v/>
      </c>
      <c r="P409" s="36" t="str">
        <f>IF(ISERROR(VLOOKUP(C409,배너촬영리스트!$C:$E,2,)),"",(VLOOKUP(C409,배너촬영리스트!$C:$E,2,)))</f>
        <v/>
      </c>
    </row>
    <row r="410" spans="2:16">
      <c r="B410" s="20" t="str">
        <f t="shared" si="6"/>
        <v>RM</v>
      </c>
      <c r="C410" s="11" t="s">
        <v>420</v>
      </c>
      <c r="D410" s="12" t="e">
        <f>VLOOKUP(C410,#REF!,2,0)</f>
        <v>#REF!</v>
      </c>
      <c r="E410" s="10" t="e">
        <f>VLOOKUP(C410,#REF!,4,0)</f>
        <v>#REF!</v>
      </c>
      <c r="F410" s="37" t="e">
        <f>VLOOKUP(C410,#REF!,8,0)</f>
        <v>#REF!</v>
      </c>
      <c r="G410" s="22" t="str">
        <f>IF(ISERROR(IF(VLOOKUP(C410,#REF!,2,0)&gt;0,"등록","")),"",(IF(VLOOKUP(C410,#REF!,2,0)&gt;0,"등록","")))</f>
        <v/>
      </c>
      <c r="H410" s="33" t="str">
        <f t="array" aca="1" ref="H410" ca="1">IF(ISERROR(OFFSET(#REF!,SMALL(IF(#REF!=RM시즌체크판!C410,ROW(#REF!)-20),1),)),"",(OFFSET(#REF!,SMALL(IF(#REF!=RM시즌체크판!C410,ROW(#REF!)-20),1),)))</f>
        <v/>
      </c>
      <c r="I410" s="34" t="str">
        <f t="array" aca="1" ref="I410" ca="1">IF(ISERROR(OFFSET(#REF!,SMALL(IF(#REF!=RM시즌체크판!C410,ROW(#REF!)-20),2),)),"",(OFFSET(#REF!,SMALL(IF(#REF!=RM시즌체크판!C410,ROW(#REF!)-20),2),)))</f>
        <v/>
      </c>
      <c r="J410" s="34" t="str">
        <f t="array" aca="1" ref="J410" ca="1">IF(ISERROR(OFFSET(#REF!,SMALL(IF(#REF!=RM시즌체크판!C410,ROW(#REF!)-20),3),)),"",(OFFSET(#REF!,SMALL(IF(#REF!=RM시즌체크판!C410,ROW(#REF!)-20),3),)))</f>
        <v/>
      </c>
      <c r="K410" s="34" t="str">
        <f t="array" aca="1" ref="K410" ca="1">IF(ISERROR(OFFSET(#REF!,SMALL(IF(#REF!=RM시즌체크판!C410,ROW(#REF!)-20),4),)),"",(OFFSET(#REF!,SMALL(IF(#REF!=RM시즌체크판!C410,ROW(#REF!)-20),4),)))</f>
        <v/>
      </c>
      <c r="L410" s="34" t="str">
        <f t="array" aca="1" ref="L410" ca="1">IF(ISERROR(OFFSET(#REF!,SMALL(IF(#REF!=RM시즌체크판!C410,ROW(#REF!)-20),5),)),"",(OFFSET(#REF!,SMALL(IF(#REF!=RM시즌체크판!C410,ROW(#REF!)-20),5),)))</f>
        <v/>
      </c>
      <c r="M410" s="35" t="str">
        <f t="array" aca="1" ref="M410" ca="1">IF(ISERROR(OFFSET(#REF!,SMALL(IF(#REF!=RM시즌체크판!C410,ROW(#REF!)-20),6),)),"",(OFFSET(#REF!,SMALL(IF(#REF!=RM시즌체크판!C410,ROW(#REF!)-20),6),)))</f>
        <v/>
      </c>
      <c r="N410" s="27" t="str">
        <f>IF(ISERROR(VLOOKUP(C410,모델촬영리스트!$C:$E,3,)),"",(VLOOKUP(C410,모델촬영리스트!$C:$E,3,)))</f>
        <v/>
      </c>
      <c r="O410" s="23" t="str">
        <f>IF(ISERROR(VLOOKUP(C410,배너촬영리스트!$C:$E,3,)),"",(VLOOKUP(C410,배너촬영리스트!$C:$E,3,)))</f>
        <v/>
      </c>
      <c r="P410" s="36" t="str">
        <f>IF(ISERROR(VLOOKUP(C410,배너촬영리스트!$C:$E,2,)),"",(VLOOKUP(C410,배너촬영리스트!$C:$E,2,)))</f>
        <v/>
      </c>
    </row>
    <row r="411" spans="2:16">
      <c r="B411" s="20" t="str">
        <f t="shared" si="6"/>
        <v>RM</v>
      </c>
      <c r="C411" s="11" t="s">
        <v>290</v>
      </c>
      <c r="D411" s="12" t="e">
        <f>VLOOKUP(C411,#REF!,2,0)</f>
        <v>#REF!</v>
      </c>
      <c r="E411" s="10" t="e">
        <f>VLOOKUP(C411,#REF!,4,0)</f>
        <v>#REF!</v>
      </c>
      <c r="F411" s="37" t="e">
        <f>VLOOKUP(C411,#REF!,8,0)</f>
        <v>#REF!</v>
      </c>
      <c r="G411" s="22" t="str">
        <f>IF(ISERROR(IF(VLOOKUP(C411,#REF!,2,0)&gt;0,"등록","")),"",(IF(VLOOKUP(C411,#REF!,2,0)&gt;0,"등록","")))</f>
        <v/>
      </c>
      <c r="H411" s="33" t="str">
        <f t="array" aca="1" ref="H411" ca="1">IF(ISERROR(OFFSET(#REF!,SMALL(IF(#REF!=RM시즌체크판!C411,ROW(#REF!)-20),1),)),"",(OFFSET(#REF!,SMALL(IF(#REF!=RM시즌체크판!C411,ROW(#REF!)-20),1),)))</f>
        <v/>
      </c>
      <c r="I411" s="34" t="str">
        <f t="array" aca="1" ref="I411" ca="1">IF(ISERROR(OFFSET(#REF!,SMALL(IF(#REF!=RM시즌체크판!C411,ROW(#REF!)-20),2),)),"",(OFFSET(#REF!,SMALL(IF(#REF!=RM시즌체크판!C411,ROW(#REF!)-20),2),)))</f>
        <v/>
      </c>
      <c r="J411" s="34" t="str">
        <f t="array" aca="1" ref="J411" ca="1">IF(ISERROR(OFFSET(#REF!,SMALL(IF(#REF!=RM시즌체크판!C411,ROW(#REF!)-20),3),)),"",(OFFSET(#REF!,SMALL(IF(#REF!=RM시즌체크판!C411,ROW(#REF!)-20),3),)))</f>
        <v/>
      </c>
      <c r="K411" s="34" t="str">
        <f t="array" aca="1" ref="K411" ca="1">IF(ISERROR(OFFSET(#REF!,SMALL(IF(#REF!=RM시즌체크판!C411,ROW(#REF!)-20),4),)),"",(OFFSET(#REF!,SMALL(IF(#REF!=RM시즌체크판!C411,ROW(#REF!)-20),4),)))</f>
        <v/>
      </c>
      <c r="L411" s="34" t="str">
        <f t="array" aca="1" ref="L411" ca="1">IF(ISERROR(OFFSET(#REF!,SMALL(IF(#REF!=RM시즌체크판!C411,ROW(#REF!)-20),5),)),"",(OFFSET(#REF!,SMALL(IF(#REF!=RM시즌체크판!C411,ROW(#REF!)-20),5),)))</f>
        <v/>
      </c>
      <c r="M411" s="35" t="str">
        <f t="array" aca="1" ref="M411" ca="1">IF(ISERROR(OFFSET(#REF!,SMALL(IF(#REF!=RM시즌체크판!C411,ROW(#REF!)-20),6),)),"",(OFFSET(#REF!,SMALL(IF(#REF!=RM시즌체크판!C411,ROW(#REF!)-20),6),)))</f>
        <v/>
      </c>
      <c r="N411" s="27" t="str">
        <f>IF(ISERROR(VLOOKUP(C411,모델촬영리스트!$C:$E,3,)),"",(VLOOKUP(C411,모델촬영리스트!$C:$E,3,)))</f>
        <v/>
      </c>
      <c r="O411" s="23" t="str">
        <f>IF(ISERROR(VLOOKUP(C411,배너촬영리스트!$C:$E,3,)),"",(VLOOKUP(C411,배너촬영리스트!$C:$E,3,)))</f>
        <v/>
      </c>
      <c r="P411" s="36" t="str">
        <f>IF(ISERROR(VLOOKUP(C411,배너촬영리스트!$C:$E,2,)),"",(VLOOKUP(C411,배너촬영리스트!$C:$E,2,)))</f>
        <v/>
      </c>
    </row>
    <row r="412" spans="2:16">
      <c r="B412" s="20" t="str">
        <f t="shared" si="6"/>
        <v>RM</v>
      </c>
      <c r="C412" s="11" t="s">
        <v>291</v>
      </c>
      <c r="D412" s="12" t="e">
        <f>VLOOKUP(C412,#REF!,2,0)</f>
        <v>#REF!</v>
      </c>
      <c r="E412" s="10" t="e">
        <f>VLOOKUP(C412,#REF!,4,0)</f>
        <v>#REF!</v>
      </c>
      <c r="F412" s="37" t="e">
        <f>VLOOKUP(C412,#REF!,8,0)</f>
        <v>#REF!</v>
      </c>
      <c r="G412" s="22" t="str">
        <f>IF(ISERROR(IF(VLOOKUP(C412,#REF!,2,0)&gt;0,"등록","")),"",(IF(VLOOKUP(C412,#REF!,2,0)&gt;0,"등록","")))</f>
        <v/>
      </c>
      <c r="H412" s="33" t="str">
        <f t="array" aca="1" ref="H412" ca="1">IF(ISERROR(OFFSET(#REF!,SMALL(IF(#REF!=RM시즌체크판!C412,ROW(#REF!)-20),1),)),"",(OFFSET(#REF!,SMALL(IF(#REF!=RM시즌체크판!C412,ROW(#REF!)-20),1),)))</f>
        <v/>
      </c>
      <c r="I412" s="34" t="str">
        <f t="array" aca="1" ref="I412" ca="1">IF(ISERROR(OFFSET(#REF!,SMALL(IF(#REF!=RM시즌체크판!C412,ROW(#REF!)-20),2),)),"",(OFFSET(#REF!,SMALL(IF(#REF!=RM시즌체크판!C412,ROW(#REF!)-20),2),)))</f>
        <v/>
      </c>
      <c r="J412" s="34" t="str">
        <f t="array" aca="1" ref="J412" ca="1">IF(ISERROR(OFFSET(#REF!,SMALL(IF(#REF!=RM시즌체크판!C412,ROW(#REF!)-20),3),)),"",(OFFSET(#REF!,SMALL(IF(#REF!=RM시즌체크판!C412,ROW(#REF!)-20),3),)))</f>
        <v/>
      </c>
      <c r="K412" s="34" t="str">
        <f t="array" aca="1" ref="K412" ca="1">IF(ISERROR(OFFSET(#REF!,SMALL(IF(#REF!=RM시즌체크판!C412,ROW(#REF!)-20),4),)),"",(OFFSET(#REF!,SMALL(IF(#REF!=RM시즌체크판!C412,ROW(#REF!)-20),4),)))</f>
        <v/>
      </c>
      <c r="L412" s="34" t="str">
        <f t="array" aca="1" ref="L412" ca="1">IF(ISERROR(OFFSET(#REF!,SMALL(IF(#REF!=RM시즌체크판!C412,ROW(#REF!)-20),5),)),"",(OFFSET(#REF!,SMALL(IF(#REF!=RM시즌체크판!C412,ROW(#REF!)-20),5),)))</f>
        <v/>
      </c>
      <c r="M412" s="35" t="str">
        <f t="array" aca="1" ref="M412" ca="1">IF(ISERROR(OFFSET(#REF!,SMALL(IF(#REF!=RM시즌체크판!C412,ROW(#REF!)-20),6),)),"",(OFFSET(#REF!,SMALL(IF(#REF!=RM시즌체크판!C412,ROW(#REF!)-20),6),)))</f>
        <v/>
      </c>
      <c r="N412" s="27" t="str">
        <f>IF(ISERROR(VLOOKUP(C412,모델촬영리스트!$C:$E,3,)),"",(VLOOKUP(C412,모델촬영리스트!$C:$E,3,)))</f>
        <v/>
      </c>
      <c r="O412" s="23" t="str">
        <f>IF(ISERROR(VLOOKUP(C412,배너촬영리스트!$C:$E,3,)),"",(VLOOKUP(C412,배너촬영리스트!$C:$E,3,)))</f>
        <v/>
      </c>
      <c r="P412" s="36" t="str">
        <f>IF(ISERROR(VLOOKUP(C412,배너촬영리스트!$C:$E,2,)),"",(VLOOKUP(C412,배너촬영리스트!$C:$E,2,)))</f>
        <v/>
      </c>
    </row>
    <row r="413" spans="2:16">
      <c r="B413" s="20" t="str">
        <f t="shared" si="6"/>
        <v>RM</v>
      </c>
      <c r="C413" s="11" t="s">
        <v>299</v>
      </c>
      <c r="D413" s="12" t="e">
        <f>VLOOKUP(C413,#REF!,2,0)</f>
        <v>#REF!</v>
      </c>
      <c r="E413" s="10" t="e">
        <f>VLOOKUP(C413,#REF!,4,0)</f>
        <v>#REF!</v>
      </c>
      <c r="F413" s="37" t="e">
        <f>VLOOKUP(C413,#REF!,8,0)</f>
        <v>#REF!</v>
      </c>
      <c r="G413" s="22" t="str">
        <f>IF(ISERROR(IF(VLOOKUP(C413,#REF!,2,0)&gt;0,"등록","")),"",(IF(VLOOKUP(C413,#REF!,2,0)&gt;0,"등록","")))</f>
        <v/>
      </c>
      <c r="H413" s="33" t="str">
        <f t="array" aca="1" ref="H413" ca="1">IF(ISERROR(OFFSET(#REF!,SMALL(IF(#REF!=RM시즌체크판!C413,ROW(#REF!)-20),1),)),"",(OFFSET(#REF!,SMALL(IF(#REF!=RM시즌체크판!C413,ROW(#REF!)-20),1),)))</f>
        <v/>
      </c>
      <c r="I413" s="34" t="str">
        <f t="array" aca="1" ref="I413" ca="1">IF(ISERROR(OFFSET(#REF!,SMALL(IF(#REF!=RM시즌체크판!C413,ROW(#REF!)-20),2),)),"",(OFFSET(#REF!,SMALL(IF(#REF!=RM시즌체크판!C413,ROW(#REF!)-20),2),)))</f>
        <v/>
      </c>
      <c r="J413" s="34" t="str">
        <f t="array" aca="1" ref="J413" ca="1">IF(ISERROR(OFFSET(#REF!,SMALL(IF(#REF!=RM시즌체크판!C413,ROW(#REF!)-20),3),)),"",(OFFSET(#REF!,SMALL(IF(#REF!=RM시즌체크판!C413,ROW(#REF!)-20),3),)))</f>
        <v/>
      </c>
      <c r="K413" s="34" t="str">
        <f t="array" aca="1" ref="K413" ca="1">IF(ISERROR(OFFSET(#REF!,SMALL(IF(#REF!=RM시즌체크판!C413,ROW(#REF!)-20),4),)),"",(OFFSET(#REF!,SMALL(IF(#REF!=RM시즌체크판!C413,ROW(#REF!)-20),4),)))</f>
        <v/>
      </c>
      <c r="L413" s="34" t="str">
        <f t="array" aca="1" ref="L413" ca="1">IF(ISERROR(OFFSET(#REF!,SMALL(IF(#REF!=RM시즌체크판!C413,ROW(#REF!)-20),5),)),"",(OFFSET(#REF!,SMALL(IF(#REF!=RM시즌체크판!C413,ROW(#REF!)-20),5),)))</f>
        <v/>
      </c>
      <c r="M413" s="35" t="str">
        <f t="array" aca="1" ref="M413" ca="1">IF(ISERROR(OFFSET(#REF!,SMALL(IF(#REF!=RM시즌체크판!C413,ROW(#REF!)-20),6),)),"",(OFFSET(#REF!,SMALL(IF(#REF!=RM시즌체크판!C413,ROW(#REF!)-20),6),)))</f>
        <v/>
      </c>
      <c r="N413" s="27" t="str">
        <f>IF(ISERROR(VLOOKUP(C413,모델촬영리스트!$C:$E,3,)),"",(VLOOKUP(C413,모델촬영리스트!$C:$E,3,)))</f>
        <v/>
      </c>
      <c r="O413" s="23" t="str">
        <f>IF(ISERROR(VLOOKUP(C413,배너촬영리스트!$C:$E,3,)),"",(VLOOKUP(C413,배너촬영리스트!$C:$E,3,)))</f>
        <v/>
      </c>
      <c r="P413" s="36" t="str">
        <f>IF(ISERROR(VLOOKUP(C413,배너촬영리스트!$C:$E,2,)),"",(VLOOKUP(C413,배너촬영리스트!$C:$E,2,)))</f>
        <v/>
      </c>
    </row>
    <row r="414" spans="2:16">
      <c r="B414" s="20" t="str">
        <f t="shared" si="6"/>
        <v>RM</v>
      </c>
      <c r="C414" s="11" t="s">
        <v>452</v>
      </c>
      <c r="D414" s="12" t="e">
        <f>VLOOKUP(C414,#REF!,2,0)</f>
        <v>#REF!</v>
      </c>
      <c r="E414" s="10" t="e">
        <f>VLOOKUP(C414,#REF!,4,0)</f>
        <v>#REF!</v>
      </c>
      <c r="F414" s="37" t="e">
        <f>VLOOKUP(C414,#REF!,8,0)</f>
        <v>#REF!</v>
      </c>
      <c r="G414" s="22" t="str">
        <f>IF(ISERROR(IF(VLOOKUP(C414,#REF!,2,0)&gt;0,"등록","")),"",(IF(VLOOKUP(C414,#REF!,2,0)&gt;0,"등록","")))</f>
        <v/>
      </c>
      <c r="H414" s="33" t="str">
        <f t="array" aca="1" ref="H414" ca="1">IF(ISERROR(OFFSET(#REF!,SMALL(IF(#REF!=RM시즌체크판!C414,ROW(#REF!)-20),1),)),"",(OFFSET(#REF!,SMALL(IF(#REF!=RM시즌체크판!C414,ROW(#REF!)-20),1),)))</f>
        <v/>
      </c>
      <c r="I414" s="34" t="str">
        <f t="array" aca="1" ref="I414" ca="1">IF(ISERROR(OFFSET(#REF!,SMALL(IF(#REF!=RM시즌체크판!C414,ROW(#REF!)-20),2),)),"",(OFFSET(#REF!,SMALL(IF(#REF!=RM시즌체크판!C414,ROW(#REF!)-20),2),)))</f>
        <v/>
      </c>
      <c r="J414" s="34" t="str">
        <f t="array" aca="1" ref="J414" ca="1">IF(ISERROR(OFFSET(#REF!,SMALL(IF(#REF!=RM시즌체크판!C414,ROW(#REF!)-20),3),)),"",(OFFSET(#REF!,SMALL(IF(#REF!=RM시즌체크판!C414,ROW(#REF!)-20),3),)))</f>
        <v/>
      </c>
      <c r="K414" s="34" t="str">
        <f t="array" aca="1" ref="K414" ca="1">IF(ISERROR(OFFSET(#REF!,SMALL(IF(#REF!=RM시즌체크판!C414,ROW(#REF!)-20),4),)),"",(OFFSET(#REF!,SMALL(IF(#REF!=RM시즌체크판!C414,ROW(#REF!)-20),4),)))</f>
        <v/>
      </c>
      <c r="L414" s="34" t="str">
        <f t="array" aca="1" ref="L414" ca="1">IF(ISERROR(OFFSET(#REF!,SMALL(IF(#REF!=RM시즌체크판!C414,ROW(#REF!)-20),5),)),"",(OFFSET(#REF!,SMALL(IF(#REF!=RM시즌체크판!C414,ROW(#REF!)-20),5),)))</f>
        <v/>
      </c>
      <c r="M414" s="35" t="str">
        <f t="array" aca="1" ref="M414" ca="1">IF(ISERROR(OFFSET(#REF!,SMALL(IF(#REF!=RM시즌체크판!C414,ROW(#REF!)-20),6),)),"",(OFFSET(#REF!,SMALL(IF(#REF!=RM시즌체크판!C414,ROW(#REF!)-20),6),)))</f>
        <v/>
      </c>
      <c r="N414" s="27" t="str">
        <f>IF(ISERROR(VLOOKUP(C414,모델촬영리스트!$C:$E,3,)),"",(VLOOKUP(C414,모델촬영리스트!$C:$E,3,)))</f>
        <v/>
      </c>
      <c r="O414" s="23" t="str">
        <f>IF(ISERROR(VLOOKUP(C414,배너촬영리스트!$C:$E,3,)),"",(VLOOKUP(C414,배너촬영리스트!$C:$E,3,)))</f>
        <v/>
      </c>
      <c r="P414" s="36" t="str">
        <f>IF(ISERROR(VLOOKUP(C414,배너촬영리스트!$C:$E,2,)),"",(VLOOKUP(C414,배너촬영리스트!$C:$E,2,)))</f>
        <v/>
      </c>
    </row>
    <row r="415" spans="2:16">
      <c r="B415" s="20" t="str">
        <f t="shared" si="6"/>
        <v>RM</v>
      </c>
      <c r="C415" s="11" t="s">
        <v>326</v>
      </c>
      <c r="D415" s="12" t="e">
        <f>VLOOKUP(C415,#REF!,2,0)</f>
        <v>#REF!</v>
      </c>
      <c r="E415" s="10" t="e">
        <f>VLOOKUP(C415,#REF!,4,0)</f>
        <v>#REF!</v>
      </c>
      <c r="F415" s="37" t="e">
        <f>VLOOKUP(C415,#REF!,8,0)</f>
        <v>#REF!</v>
      </c>
      <c r="G415" s="22" t="str">
        <f>IF(ISERROR(IF(VLOOKUP(C415,#REF!,2,0)&gt;0,"등록","")),"",(IF(VLOOKUP(C415,#REF!,2,0)&gt;0,"등록","")))</f>
        <v/>
      </c>
      <c r="H415" s="33" t="str">
        <f t="array" aca="1" ref="H415" ca="1">IF(ISERROR(OFFSET(#REF!,SMALL(IF(#REF!=RM시즌체크판!C415,ROW(#REF!)-20),1),)),"",(OFFSET(#REF!,SMALL(IF(#REF!=RM시즌체크판!C415,ROW(#REF!)-20),1),)))</f>
        <v/>
      </c>
      <c r="I415" s="34" t="str">
        <f t="array" aca="1" ref="I415" ca="1">IF(ISERROR(OFFSET(#REF!,SMALL(IF(#REF!=RM시즌체크판!C415,ROW(#REF!)-20),2),)),"",(OFFSET(#REF!,SMALL(IF(#REF!=RM시즌체크판!C415,ROW(#REF!)-20),2),)))</f>
        <v/>
      </c>
      <c r="J415" s="34" t="str">
        <f t="array" aca="1" ref="J415" ca="1">IF(ISERROR(OFFSET(#REF!,SMALL(IF(#REF!=RM시즌체크판!C415,ROW(#REF!)-20),3),)),"",(OFFSET(#REF!,SMALL(IF(#REF!=RM시즌체크판!C415,ROW(#REF!)-20),3),)))</f>
        <v/>
      </c>
      <c r="K415" s="34" t="str">
        <f t="array" aca="1" ref="K415" ca="1">IF(ISERROR(OFFSET(#REF!,SMALL(IF(#REF!=RM시즌체크판!C415,ROW(#REF!)-20),4),)),"",(OFFSET(#REF!,SMALL(IF(#REF!=RM시즌체크판!C415,ROW(#REF!)-20),4),)))</f>
        <v/>
      </c>
      <c r="L415" s="34" t="str">
        <f t="array" aca="1" ref="L415" ca="1">IF(ISERROR(OFFSET(#REF!,SMALL(IF(#REF!=RM시즌체크판!C415,ROW(#REF!)-20),5),)),"",(OFFSET(#REF!,SMALL(IF(#REF!=RM시즌체크판!C415,ROW(#REF!)-20),5),)))</f>
        <v/>
      </c>
      <c r="M415" s="35" t="str">
        <f t="array" aca="1" ref="M415" ca="1">IF(ISERROR(OFFSET(#REF!,SMALL(IF(#REF!=RM시즌체크판!C415,ROW(#REF!)-20),6),)),"",(OFFSET(#REF!,SMALL(IF(#REF!=RM시즌체크판!C415,ROW(#REF!)-20),6),)))</f>
        <v/>
      </c>
      <c r="N415" s="27" t="str">
        <f>IF(ISERROR(VLOOKUP(C415,모델촬영리스트!$C:$E,3,)),"",(VLOOKUP(C415,모델촬영리스트!$C:$E,3,)))</f>
        <v/>
      </c>
      <c r="O415" s="23" t="str">
        <f>IF(ISERROR(VLOOKUP(C415,배너촬영리스트!$C:$E,3,)),"",(VLOOKUP(C415,배너촬영리스트!$C:$E,3,)))</f>
        <v/>
      </c>
      <c r="P415" s="36" t="str">
        <f>IF(ISERROR(VLOOKUP(C415,배너촬영리스트!$C:$E,2,)),"",(VLOOKUP(C415,배너촬영리스트!$C:$E,2,)))</f>
        <v/>
      </c>
    </row>
    <row r="416" spans="2:16">
      <c r="B416" s="20" t="str">
        <f t="shared" si="6"/>
        <v>RM</v>
      </c>
      <c r="C416" s="11" t="s">
        <v>327</v>
      </c>
      <c r="D416" s="12" t="e">
        <f>VLOOKUP(C416,#REF!,2,0)</f>
        <v>#REF!</v>
      </c>
      <c r="E416" s="10" t="e">
        <f>VLOOKUP(C416,#REF!,4,0)</f>
        <v>#REF!</v>
      </c>
      <c r="F416" s="37" t="e">
        <f>VLOOKUP(C416,#REF!,8,0)</f>
        <v>#REF!</v>
      </c>
      <c r="G416" s="22" t="str">
        <f>IF(ISERROR(IF(VLOOKUP(C416,#REF!,2,0)&gt;0,"등록","")),"",(IF(VLOOKUP(C416,#REF!,2,0)&gt;0,"등록","")))</f>
        <v/>
      </c>
      <c r="H416" s="33" t="str">
        <f t="array" aca="1" ref="H416" ca="1">IF(ISERROR(OFFSET(#REF!,SMALL(IF(#REF!=RM시즌체크판!C416,ROW(#REF!)-20),1),)),"",(OFFSET(#REF!,SMALL(IF(#REF!=RM시즌체크판!C416,ROW(#REF!)-20),1),)))</f>
        <v/>
      </c>
      <c r="I416" s="34" t="str">
        <f t="array" aca="1" ref="I416" ca="1">IF(ISERROR(OFFSET(#REF!,SMALL(IF(#REF!=RM시즌체크판!C416,ROW(#REF!)-20),2),)),"",(OFFSET(#REF!,SMALL(IF(#REF!=RM시즌체크판!C416,ROW(#REF!)-20),2),)))</f>
        <v/>
      </c>
      <c r="J416" s="34" t="str">
        <f t="array" aca="1" ref="J416" ca="1">IF(ISERROR(OFFSET(#REF!,SMALL(IF(#REF!=RM시즌체크판!C416,ROW(#REF!)-20),3),)),"",(OFFSET(#REF!,SMALL(IF(#REF!=RM시즌체크판!C416,ROW(#REF!)-20),3),)))</f>
        <v/>
      </c>
      <c r="K416" s="34" t="str">
        <f t="array" aca="1" ref="K416" ca="1">IF(ISERROR(OFFSET(#REF!,SMALL(IF(#REF!=RM시즌체크판!C416,ROW(#REF!)-20),4),)),"",(OFFSET(#REF!,SMALL(IF(#REF!=RM시즌체크판!C416,ROW(#REF!)-20),4),)))</f>
        <v/>
      </c>
      <c r="L416" s="34" t="str">
        <f t="array" aca="1" ref="L416" ca="1">IF(ISERROR(OFFSET(#REF!,SMALL(IF(#REF!=RM시즌체크판!C416,ROW(#REF!)-20),5),)),"",(OFFSET(#REF!,SMALL(IF(#REF!=RM시즌체크판!C416,ROW(#REF!)-20),5),)))</f>
        <v/>
      </c>
      <c r="M416" s="35" t="str">
        <f t="array" aca="1" ref="M416" ca="1">IF(ISERROR(OFFSET(#REF!,SMALL(IF(#REF!=RM시즌체크판!C416,ROW(#REF!)-20),6),)),"",(OFFSET(#REF!,SMALL(IF(#REF!=RM시즌체크판!C416,ROW(#REF!)-20),6),)))</f>
        <v/>
      </c>
      <c r="N416" s="27" t="str">
        <f>IF(ISERROR(VLOOKUP(C416,모델촬영리스트!$C:$E,3,)),"",(VLOOKUP(C416,모델촬영리스트!$C:$E,3,)))</f>
        <v/>
      </c>
      <c r="O416" s="23" t="str">
        <f>IF(ISERROR(VLOOKUP(C416,배너촬영리스트!$C:$E,3,)),"",(VLOOKUP(C416,배너촬영리스트!$C:$E,3,)))</f>
        <v/>
      </c>
      <c r="P416" s="36" t="str">
        <f>IF(ISERROR(VLOOKUP(C416,배너촬영리스트!$C:$E,2,)),"",(VLOOKUP(C416,배너촬영리스트!$C:$E,2,)))</f>
        <v/>
      </c>
    </row>
    <row r="417" spans="2:16">
      <c r="B417" s="20" t="str">
        <f t="shared" si="6"/>
        <v>RM</v>
      </c>
      <c r="C417" s="11" t="s">
        <v>455</v>
      </c>
      <c r="D417" s="12" t="e">
        <f>VLOOKUP(C417,#REF!,2,0)</f>
        <v>#REF!</v>
      </c>
      <c r="E417" s="10" t="e">
        <f>VLOOKUP(C417,#REF!,4,0)</f>
        <v>#REF!</v>
      </c>
      <c r="F417" s="37" t="e">
        <f>VLOOKUP(C417,#REF!,8,0)</f>
        <v>#REF!</v>
      </c>
      <c r="G417" s="22" t="str">
        <f>IF(ISERROR(IF(VLOOKUP(C417,#REF!,2,0)&gt;0,"등록","")),"",(IF(VLOOKUP(C417,#REF!,2,0)&gt;0,"등록","")))</f>
        <v/>
      </c>
      <c r="H417" s="33" t="str">
        <f t="array" aca="1" ref="H417" ca="1">IF(ISERROR(OFFSET(#REF!,SMALL(IF(#REF!=RM시즌체크판!C417,ROW(#REF!)-20),1),)),"",(OFFSET(#REF!,SMALL(IF(#REF!=RM시즌체크판!C417,ROW(#REF!)-20),1),)))</f>
        <v/>
      </c>
      <c r="I417" s="34" t="str">
        <f t="array" aca="1" ref="I417" ca="1">IF(ISERROR(OFFSET(#REF!,SMALL(IF(#REF!=RM시즌체크판!C417,ROW(#REF!)-20),2),)),"",(OFFSET(#REF!,SMALL(IF(#REF!=RM시즌체크판!C417,ROW(#REF!)-20),2),)))</f>
        <v/>
      </c>
      <c r="J417" s="34" t="str">
        <f t="array" aca="1" ref="J417" ca="1">IF(ISERROR(OFFSET(#REF!,SMALL(IF(#REF!=RM시즌체크판!C417,ROW(#REF!)-20),3),)),"",(OFFSET(#REF!,SMALL(IF(#REF!=RM시즌체크판!C417,ROW(#REF!)-20),3),)))</f>
        <v/>
      </c>
      <c r="K417" s="34" t="str">
        <f t="array" aca="1" ref="K417" ca="1">IF(ISERROR(OFFSET(#REF!,SMALL(IF(#REF!=RM시즌체크판!C417,ROW(#REF!)-20),4),)),"",(OFFSET(#REF!,SMALL(IF(#REF!=RM시즌체크판!C417,ROW(#REF!)-20),4),)))</f>
        <v/>
      </c>
      <c r="L417" s="34" t="str">
        <f t="array" aca="1" ref="L417" ca="1">IF(ISERROR(OFFSET(#REF!,SMALL(IF(#REF!=RM시즌체크판!C417,ROW(#REF!)-20),5),)),"",(OFFSET(#REF!,SMALL(IF(#REF!=RM시즌체크판!C417,ROW(#REF!)-20),5),)))</f>
        <v/>
      </c>
      <c r="M417" s="35" t="str">
        <f t="array" aca="1" ref="M417" ca="1">IF(ISERROR(OFFSET(#REF!,SMALL(IF(#REF!=RM시즌체크판!C417,ROW(#REF!)-20),6),)),"",(OFFSET(#REF!,SMALL(IF(#REF!=RM시즌체크판!C417,ROW(#REF!)-20),6),)))</f>
        <v/>
      </c>
      <c r="N417" s="27" t="str">
        <f>IF(ISERROR(VLOOKUP(C417,모델촬영리스트!$C:$E,3,)),"",(VLOOKUP(C417,모델촬영리스트!$C:$E,3,)))</f>
        <v/>
      </c>
      <c r="O417" s="23" t="str">
        <f>IF(ISERROR(VLOOKUP(C417,배너촬영리스트!$C:$E,3,)),"",(VLOOKUP(C417,배너촬영리스트!$C:$E,3,)))</f>
        <v/>
      </c>
      <c r="P417" s="36" t="str">
        <f>IF(ISERROR(VLOOKUP(C417,배너촬영리스트!$C:$E,2,)),"",(VLOOKUP(C417,배너촬영리스트!$C:$E,2,)))</f>
        <v/>
      </c>
    </row>
    <row r="418" spans="2:16">
      <c r="B418" s="20" t="str">
        <f t="shared" si="6"/>
        <v/>
      </c>
      <c r="C418" s="11"/>
      <c r="D418" s="12" t="e">
        <f>VLOOKUP(C418,#REF!,2,0)</f>
        <v>#REF!</v>
      </c>
      <c r="E418" s="10" t="e">
        <f>VLOOKUP(C418,#REF!,4,0)</f>
        <v>#REF!</v>
      </c>
      <c r="F418" s="37" t="e">
        <f>VLOOKUP(C418,#REF!,8,0)</f>
        <v>#REF!</v>
      </c>
      <c r="G418" s="22" t="str">
        <f>IF(ISERROR(IF(VLOOKUP(C418,#REF!,2,0)&gt;0,"등록","")),"",(IF(VLOOKUP(C418,#REF!,2,0)&gt;0,"등록","")))</f>
        <v/>
      </c>
      <c r="H418" s="33" t="str">
        <f t="array" aca="1" ref="H418" ca="1">IF(ISERROR(OFFSET(#REF!,SMALL(IF(#REF!=RM시즌체크판!C418,ROW(#REF!)-20),1),)),"",(OFFSET(#REF!,SMALL(IF(#REF!=RM시즌체크판!C418,ROW(#REF!)-20),1),)))</f>
        <v/>
      </c>
      <c r="I418" s="34" t="str">
        <f t="array" aca="1" ref="I418" ca="1">IF(ISERROR(OFFSET(#REF!,SMALL(IF(#REF!=RM시즌체크판!C418,ROW(#REF!)-20),2),)),"",(OFFSET(#REF!,SMALL(IF(#REF!=RM시즌체크판!C418,ROW(#REF!)-20),2),)))</f>
        <v/>
      </c>
      <c r="J418" s="34" t="str">
        <f t="array" aca="1" ref="J418" ca="1">IF(ISERROR(OFFSET(#REF!,SMALL(IF(#REF!=RM시즌체크판!C418,ROW(#REF!)-20),3),)),"",(OFFSET(#REF!,SMALL(IF(#REF!=RM시즌체크판!C418,ROW(#REF!)-20),3),)))</f>
        <v/>
      </c>
      <c r="K418" s="34" t="str">
        <f t="array" aca="1" ref="K418" ca="1">IF(ISERROR(OFFSET(#REF!,SMALL(IF(#REF!=RM시즌체크판!C418,ROW(#REF!)-20),4),)),"",(OFFSET(#REF!,SMALL(IF(#REF!=RM시즌체크판!C418,ROW(#REF!)-20),4),)))</f>
        <v/>
      </c>
      <c r="L418" s="34" t="str">
        <f t="array" aca="1" ref="L418" ca="1">IF(ISERROR(OFFSET(#REF!,SMALL(IF(#REF!=RM시즌체크판!C418,ROW(#REF!)-20),5),)),"",(OFFSET(#REF!,SMALL(IF(#REF!=RM시즌체크판!C418,ROW(#REF!)-20),5),)))</f>
        <v/>
      </c>
      <c r="M418" s="35" t="str">
        <f t="array" aca="1" ref="M418" ca="1">IF(ISERROR(OFFSET(#REF!,SMALL(IF(#REF!=RM시즌체크판!C418,ROW(#REF!)-20),6),)),"",(OFFSET(#REF!,SMALL(IF(#REF!=RM시즌체크판!C418,ROW(#REF!)-20),6),)))</f>
        <v/>
      </c>
      <c r="N418" s="27" t="str">
        <f>IF(ISERROR(VLOOKUP(C418,모델촬영리스트!$C:$E,3,)),"",(VLOOKUP(C418,모델촬영리스트!$C:$E,3,)))</f>
        <v/>
      </c>
      <c r="O418" s="23" t="str">
        <f>IF(ISERROR(VLOOKUP(C418,배너촬영리스트!$C:$E,3,)),"",(VLOOKUP(C418,배너촬영리스트!$C:$E,3,)))</f>
        <v/>
      </c>
      <c r="P418" s="36" t="str">
        <f>IF(ISERROR(VLOOKUP(C418,배너촬영리스트!$C:$E,2,)),"",(VLOOKUP(C418,배너촬영리스트!$C:$E,2,)))</f>
        <v/>
      </c>
    </row>
    <row r="419" spans="2:16">
      <c r="B419" s="20" t="str">
        <f t="shared" si="6"/>
        <v/>
      </c>
      <c r="C419" s="11"/>
      <c r="D419" s="12" t="e">
        <f>VLOOKUP(C419,#REF!,2,0)</f>
        <v>#REF!</v>
      </c>
      <c r="E419" s="10" t="e">
        <f>VLOOKUP(C419,#REF!,4,0)</f>
        <v>#REF!</v>
      </c>
      <c r="F419" s="37" t="e">
        <f>VLOOKUP(C419,#REF!,8,0)</f>
        <v>#REF!</v>
      </c>
      <c r="G419" s="22" t="str">
        <f>IF(ISERROR(IF(VLOOKUP(C419,#REF!,2,0)&gt;0,"등록","")),"",(IF(VLOOKUP(C419,#REF!,2,0)&gt;0,"등록","")))</f>
        <v/>
      </c>
      <c r="H419" s="33" t="str">
        <f t="array" aca="1" ref="H419" ca="1">IF(ISERROR(OFFSET(#REF!,SMALL(IF(#REF!=RM시즌체크판!C419,ROW(#REF!)-20),1),)),"",(OFFSET(#REF!,SMALL(IF(#REF!=RM시즌체크판!C419,ROW(#REF!)-20),1),)))</f>
        <v/>
      </c>
      <c r="I419" s="34" t="str">
        <f t="array" aca="1" ref="I419" ca="1">IF(ISERROR(OFFSET(#REF!,SMALL(IF(#REF!=RM시즌체크판!C419,ROW(#REF!)-20),2),)),"",(OFFSET(#REF!,SMALL(IF(#REF!=RM시즌체크판!C419,ROW(#REF!)-20),2),)))</f>
        <v/>
      </c>
      <c r="J419" s="34" t="str">
        <f t="array" aca="1" ref="J419" ca="1">IF(ISERROR(OFFSET(#REF!,SMALL(IF(#REF!=RM시즌체크판!C419,ROW(#REF!)-20),3),)),"",(OFFSET(#REF!,SMALL(IF(#REF!=RM시즌체크판!C419,ROW(#REF!)-20),3),)))</f>
        <v/>
      </c>
      <c r="K419" s="34" t="str">
        <f t="array" aca="1" ref="K419" ca="1">IF(ISERROR(OFFSET(#REF!,SMALL(IF(#REF!=RM시즌체크판!C419,ROW(#REF!)-20),4),)),"",(OFFSET(#REF!,SMALL(IF(#REF!=RM시즌체크판!C419,ROW(#REF!)-20),4),)))</f>
        <v/>
      </c>
      <c r="L419" s="34" t="str">
        <f t="array" aca="1" ref="L419" ca="1">IF(ISERROR(OFFSET(#REF!,SMALL(IF(#REF!=RM시즌체크판!C419,ROW(#REF!)-20),5),)),"",(OFFSET(#REF!,SMALL(IF(#REF!=RM시즌체크판!C419,ROW(#REF!)-20),5),)))</f>
        <v/>
      </c>
      <c r="M419" s="35" t="str">
        <f t="array" aca="1" ref="M419" ca="1">IF(ISERROR(OFFSET(#REF!,SMALL(IF(#REF!=RM시즌체크판!C419,ROW(#REF!)-20),6),)),"",(OFFSET(#REF!,SMALL(IF(#REF!=RM시즌체크판!C419,ROW(#REF!)-20),6),)))</f>
        <v/>
      </c>
      <c r="N419" s="27" t="str">
        <f>IF(ISERROR(VLOOKUP(C419,모델촬영리스트!$C:$E,3,)),"",(VLOOKUP(C419,모델촬영리스트!$C:$E,3,)))</f>
        <v/>
      </c>
      <c r="O419" s="23" t="str">
        <f>IF(ISERROR(VLOOKUP(C419,배너촬영리스트!$C:$E,3,)),"",(VLOOKUP(C419,배너촬영리스트!$C:$E,3,)))</f>
        <v/>
      </c>
      <c r="P419" s="36" t="str">
        <f>IF(ISERROR(VLOOKUP(C419,배너촬영리스트!$C:$E,2,)),"",(VLOOKUP(C419,배너촬영리스트!$C:$E,2,)))</f>
        <v/>
      </c>
    </row>
    <row r="420" spans="2:16">
      <c r="B420" s="20" t="str">
        <f t="shared" si="6"/>
        <v/>
      </c>
      <c r="C420" s="11"/>
      <c r="D420" s="12" t="e">
        <f>VLOOKUP(C420,#REF!,2,0)</f>
        <v>#REF!</v>
      </c>
      <c r="E420" s="10" t="e">
        <f>VLOOKUP(C420,#REF!,4,0)</f>
        <v>#REF!</v>
      </c>
      <c r="F420" s="37" t="e">
        <f>VLOOKUP(C420,#REF!,8,0)</f>
        <v>#REF!</v>
      </c>
      <c r="G420" s="22" t="str">
        <f>IF(ISERROR(IF(VLOOKUP(C420,#REF!,2,0)&gt;0,"등록","")),"",(IF(VLOOKUP(C420,#REF!,2,0)&gt;0,"등록","")))</f>
        <v/>
      </c>
      <c r="H420" s="33" t="str">
        <f t="array" aca="1" ref="H420" ca="1">IF(ISERROR(OFFSET(#REF!,SMALL(IF(#REF!=RM시즌체크판!C420,ROW(#REF!)-20),1),)),"",(OFFSET(#REF!,SMALL(IF(#REF!=RM시즌체크판!C420,ROW(#REF!)-20),1),)))</f>
        <v/>
      </c>
      <c r="I420" s="34" t="str">
        <f t="array" aca="1" ref="I420" ca="1">IF(ISERROR(OFFSET(#REF!,SMALL(IF(#REF!=RM시즌체크판!C420,ROW(#REF!)-20),2),)),"",(OFFSET(#REF!,SMALL(IF(#REF!=RM시즌체크판!C420,ROW(#REF!)-20),2),)))</f>
        <v/>
      </c>
      <c r="J420" s="34" t="str">
        <f t="array" aca="1" ref="J420" ca="1">IF(ISERROR(OFFSET(#REF!,SMALL(IF(#REF!=RM시즌체크판!C420,ROW(#REF!)-20),3),)),"",(OFFSET(#REF!,SMALL(IF(#REF!=RM시즌체크판!C420,ROW(#REF!)-20),3),)))</f>
        <v/>
      </c>
      <c r="K420" s="34" t="str">
        <f t="array" aca="1" ref="K420" ca="1">IF(ISERROR(OFFSET(#REF!,SMALL(IF(#REF!=RM시즌체크판!C420,ROW(#REF!)-20),4),)),"",(OFFSET(#REF!,SMALL(IF(#REF!=RM시즌체크판!C420,ROW(#REF!)-20),4),)))</f>
        <v/>
      </c>
      <c r="L420" s="34" t="str">
        <f t="array" aca="1" ref="L420" ca="1">IF(ISERROR(OFFSET(#REF!,SMALL(IF(#REF!=RM시즌체크판!C420,ROW(#REF!)-20),5),)),"",(OFFSET(#REF!,SMALL(IF(#REF!=RM시즌체크판!C420,ROW(#REF!)-20),5),)))</f>
        <v/>
      </c>
      <c r="M420" s="35" t="str">
        <f t="array" aca="1" ref="M420" ca="1">IF(ISERROR(OFFSET(#REF!,SMALL(IF(#REF!=RM시즌체크판!C420,ROW(#REF!)-20),6),)),"",(OFFSET(#REF!,SMALL(IF(#REF!=RM시즌체크판!C420,ROW(#REF!)-20),6),)))</f>
        <v/>
      </c>
      <c r="N420" s="27" t="str">
        <f>IF(ISERROR(VLOOKUP(C420,모델촬영리스트!$C:$E,3,)),"",(VLOOKUP(C420,모델촬영리스트!$C:$E,3,)))</f>
        <v/>
      </c>
      <c r="O420" s="23" t="str">
        <f>IF(ISERROR(VLOOKUP(C420,배너촬영리스트!$C:$E,3,)),"",(VLOOKUP(C420,배너촬영리스트!$C:$E,3,)))</f>
        <v/>
      </c>
      <c r="P420" s="36" t="str">
        <f>IF(ISERROR(VLOOKUP(C420,배너촬영리스트!$C:$E,2,)),"",(VLOOKUP(C420,배너촬영리스트!$C:$E,2,)))</f>
        <v/>
      </c>
    </row>
    <row r="421" spans="2:16">
      <c r="B421" s="20" t="str">
        <f t="shared" si="6"/>
        <v/>
      </c>
      <c r="C421" s="11"/>
      <c r="D421" s="12" t="e">
        <f>VLOOKUP(C421,#REF!,2,0)</f>
        <v>#REF!</v>
      </c>
      <c r="E421" s="10" t="e">
        <f>VLOOKUP(C421,#REF!,4,0)</f>
        <v>#REF!</v>
      </c>
      <c r="F421" s="37" t="e">
        <f>VLOOKUP(C421,#REF!,8,0)</f>
        <v>#REF!</v>
      </c>
      <c r="G421" s="22" t="str">
        <f>IF(ISERROR(IF(VLOOKUP(C421,#REF!,2,0)&gt;0,"등록","")),"",(IF(VLOOKUP(C421,#REF!,2,0)&gt;0,"등록","")))</f>
        <v/>
      </c>
      <c r="H421" s="33" t="str">
        <f t="array" aca="1" ref="H421" ca="1">IF(ISERROR(OFFSET(#REF!,SMALL(IF(#REF!=RM시즌체크판!C421,ROW(#REF!)-20),1),)),"",(OFFSET(#REF!,SMALL(IF(#REF!=RM시즌체크판!C421,ROW(#REF!)-20),1),)))</f>
        <v/>
      </c>
      <c r="I421" s="34" t="str">
        <f t="array" aca="1" ref="I421" ca="1">IF(ISERROR(OFFSET(#REF!,SMALL(IF(#REF!=RM시즌체크판!C421,ROW(#REF!)-20),2),)),"",(OFFSET(#REF!,SMALL(IF(#REF!=RM시즌체크판!C421,ROW(#REF!)-20),2),)))</f>
        <v/>
      </c>
      <c r="J421" s="34" t="str">
        <f t="array" aca="1" ref="J421" ca="1">IF(ISERROR(OFFSET(#REF!,SMALL(IF(#REF!=RM시즌체크판!C421,ROW(#REF!)-20),3),)),"",(OFFSET(#REF!,SMALL(IF(#REF!=RM시즌체크판!C421,ROW(#REF!)-20),3),)))</f>
        <v/>
      </c>
      <c r="K421" s="34" t="str">
        <f t="array" aca="1" ref="K421" ca="1">IF(ISERROR(OFFSET(#REF!,SMALL(IF(#REF!=RM시즌체크판!C421,ROW(#REF!)-20),4),)),"",(OFFSET(#REF!,SMALL(IF(#REF!=RM시즌체크판!C421,ROW(#REF!)-20),4),)))</f>
        <v/>
      </c>
      <c r="L421" s="34" t="str">
        <f t="array" aca="1" ref="L421" ca="1">IF(ISERROR(OFFSET(#REF!,SMALL(IF(#REF!=RM시즌체크판!C421,ROW(#REF!)-20),5),)),"",(OFFSET(#REF!,SMALL(IF(#REF!=RM시즌체크판!C421,ROW(#REF!)-20),5),)))</f>
        <v/>
      </c>
      <c r="M421" s="35" t="str">
        <f t="array" aca="1" ref="M421" ca="1">IF(ISERROR(OFFSET(#REF!,SMALL(IF(#REF!=RM시즌체크판!C421,ROW(#REF!)-20),6),)),"",(OFFSET(#REF!,SMALL(IF(#REF!=RM시즌체크판!C421,ROW(#REF!)-20),6),)))</f>
        <v/>
      </c>
      <c r="N421" s="27" t="str">
        <f>IF(ISERROR(VLOOKUP(C421,모델촬영리스트!$C:$E,3,)),"",(VLOOKUP(C421,모델촬영리스트!$C:$E,3,)))</f>
        <v/>
      </c>
      <c r="O421" s="23" t="str">
        <f>IF(ISERROR(VLOOKUP(C421,배너촬영리스트!$C:$E,3,)),"",(VLOOKUP(C421,배너촬영리스트!$C:$E,3,)))</f>
        <v/>
      </c>
      <c r="P421" s="36" t="str">
        <f>IF(ISERROR(VLOOKUP(C421,배너촬영리스트!$C:$E,2,)),"",(VLOOKUP(C421,배너촬영리스트!$C:$E,2,)))</f>
        <v/>
      </c>
    </row>
    <row r="422" spans="2:16">
      <c r="B422" s="20" t="str">
        <f t="shared" si="6"/>
        <v/>
      </c>
      <c r="C422" s="11"/>
      <c r="D422" s="12" t="e">
        <f>VLOOKUP(C422,#REF!,2,0)</f>
        <v>#REF!</v>
      </c>
      <c r="E422" s="10" t="e">
        <f>VLOOKUP(C422,#REF!,4,0)</f>
        <v>#REF!</v>
      </c>
      <c r="F422" s="37" t="e">
        <f>VLOOKUP(C422,#REF!,8,0)</f>
        <v>#REF!</v>
      </c>
      <c r="G422" s="22" t="str">
        <f>IF(ISERROR(IF(VLOOKUP(C422,#REF!,2,0)&gt;0,"등록","")),"",(IF(VLOOKUP(C422,#REF!,2,0)&gt;0,"등록","")))</f>
        <v/>
      </c>
      <c r="H422" s="33" t="str">
        <f t="array" aca="1" ref="H422" ca="1">IF(ISERROR(OFFSET(#REF!,SMALL(IF(#REF!=RM시즌체크판!C422,ROW(#REF!)-20),1),)),"",(OFFSET(#REF!,SMALL(IF(#REF!=RM시즌체크판!C422,ROW(#REF!)-20),1),)))</f>
        <v/>
      </c>
      <c r="I422" s="34" t="str">
        <f t="array" aca="1" ref="I422" ca="1">IF(ISERROR(OFFSET(#REF!,SMALL(IF(#REF!=RM시즌체크판!C422,ROW(#REF!)-20),2),)),"",(OFFSET(#REF!,SMALL(IF(#REF!=RM시즌체크판!C422,ROW(#REF!)-20),2),)))</f>
        <v/>
      </c>
      <c r="J422" s="34" t="str">
        <f t="array" aca="1" ref="J422" ca="1">IF(ISERROR(OFFSET(#REF!,SMALL(IF(#REF!=RM시즌체크판!C422,ROW(#REF!)-20),3),)),"",(OFFSET(#REF!,SMALL(IF(#REF!=RM시즌체크판!C422,ROW(#REF!)-20),3),)))</f>
        <v/>
      </c>
      <c r="K422" s="34" t="str">
        <f t="array" aca="1" ref="K422" ca="1">IF(ISERROR(OFFSET(#REF!,SMALL(IF(#REF!=RM시즌체크판!C422,ROW(#REF!)-20),4),)),"",(OFFSET(#REF!,SMALL(IF(#REF!=RM시즌체크판!C422,ROW(#REF!)-20),4),)))</f>
        <v/>
      </c>
      <c r="L422" s="34" t="str">
        <f t="array" aca="1" ref="L422" ca="1">IF(ISERROR(OFFSET(#REF!,SMALL(IF(#REF!=RM시즌체크판!C422,ROW(#REF!)-20),5),)),"",(OFFSET(#REF!,SMALL(IF(#REF!=RM시즌체크판!C422,ROW(#REF!)-20),5),)))</f>
        <v/>
      </c>
      <c r="M422" s="35" t="str">
        <f t="array" aca="1" ref="M422" ca="1">IF(ISERROR(OFFSET(#REF!,SMALL(IF(#REF!=RM시즌체크판!C422,ROW(#REF!)-20),6),)),"",(OFFSET(#REF!,SMALL(IF(#REF!=RM시즌체크판!C422,ROW(#REF!)-20),6),)))</f>
        <v/>
      </c>
      <c r="N422" s="27" t="str">
        <f>IF(ISERROR(VLOOKUP(C422,모델촬영리스트!$C:$E,3,)),"",(VLOOKUP(C422,모델촬영리스트!$C:$E,3,)))</f>
        <v/>
      </c>
      <c r="O422" s="23" t="str">
        <f>IF(ISERROR(VLOOKUP(C422,배너촬영리스트!$C:$E,3,)),"",(VLOOKUP(C422,배너촬영리스트!$C:$E,3,)))</f>
        <v/>
      </c>
      <c r="P422" s="36" t="str">
        <f>IF(ISERROR(VLOOKUP(C422,배너촬영리스트!$C:$E,2,)),"",(VLOOKUP(C422,배너촬영리스트!$C:$E,2,)))</f>
        <v/>
      </c>
    </row>
    <row r="423" spans="2:16">
      <c r="B423" s="20" t="str">
        <f t="shared" si="6"/>
        <v/>
      </c>
      <c r="C423" s="11"/>
      <c r="D423" s="12" t="e">
        <f>VLOOKUP(C423,#REF!,2,0)</f>
        <v>#REF!</v>
      </c>
      <c r="E423" s="10" t="e">
        <f>VLOOKUP(C423,#REF!,4,0)</f>
        <v>#REF!</v>
      </c>
      <c r="F423" s="37" t="e">
        <f>VLOOKUP(C423,#REF!,8,0)</f>
        <v>#REF!</v>
      </c>
      <c r="G423" s="22" t="str">
        <f>IF(ISERROR(IF(VLOOKUP(C423,#REF!,2,0)&gt;0,"등록","")),"",(IF(VLOOKUP(C423,#REF!,2,0)&gt;0,"등록","")))</f>
        <v/>
      </c>
      <c r="H423" s="33" t="str">
        <f t="array" aca="1" ref="H423" ca="1">IF(ISERROR(OFFSET(#REF!,SMALL(IF(#REF!=RM시즌체크판!C423,ROW(#REF!)-20),1),)),"",(OFFSET(#REF!,SMALL(IF(#REF!=RM시즌체크판!C423,ROW(#REF!)-20),1),)))</f>
        <v/>
      </c>
      <c r="I423" s="34" t="str">
        <f t="array" aca="1" ref="I423" ca="1">IF(ISERROR(OFFSET(#REF!,SMALL(IF(#REF!=RM시즌체크판!C423,ROW(#REF!)-20),2),)),"",(OFFSET(#REF!,SMALL(IF(#REF!=RM시즌체크판!C423,ROW(#REF!)-20),2),)))</f>
        <v/>
      </c>
      <c r="J423" s="34" t="str">
        <f t="array" aca="1" ref="J423" ca="1">IF(ISERROR(OFFSET(#REF!,SMALL(IF(#REF!=RM시즌체크판!C423,ROW(#REF!)-20),3),)),"",(OFFSET(#REF!,SMALL(IF(#REF!=RM시즌체크판!C423,ROW(#REF!)-20),3),)))</f>
        <v/>
      </c>
      <c r="K423" s="34" t="str">
        <f t="array" aca="1" ref="K423" ca="1">IF(ISERROR(OFFSET(#REF!,SMALL(IF(#REF!=RM시즌체크판!C423,ROW(#REF!)-20),4),)),"",(OFFSET(#REF!,SMALL(IF(#REF!=RM시즌체크판!C423,ROW(#REF!)-20),4),)))</f>
        <v/>
      </c>
      <c r="L423" s="34" t="str">
        <f t="array" aca="1" ref="L423" ca="1">IF(ISERROR(OFFSET(#REF!,SMALL(IF(#REF!=RM시즌체크판!C423,ROW(#REF!)-20),5),)),"",(OFFSET(#REF!,SMALL(IF(#REF!=RM시즌체크판!C423,ROW(#REF!)-20),5),)))</f>
        <v/>
      </c>
      <c r="M423" s="35" t="str">
        <f t="array" aca="1" ref="M423" ca="1">IF(ISERROR(OFFSET(#REF!,SMALL(IF(#REF!=RM시즌체크판!C423,ROW(#REF!)-20),6),)),"",(OFFSET(#REF!,SMALL(IF(#REF!=RM시즌체크판!C423,ROW(#REF!)-20),6),)))</f>
        <v/>
      </c>
      <c r="N423" s="27" t="str">
        <f>IF(ISERROR(VLOOKUP(C423,모델촬영리스트!$C:$E,3,)),"",(VLOOKUP(C423,모델촬영리스트!$C:$E,3,)))</f>
        <v/>
      </c>
      <c r="O423" s="23" t="str">
        <f>IF(ISERROR(VLOOKUP(C423,배너촬영리스트!$C:$E,3,)),"",(VLOOKUP(C423,배너촬영리스트!$C:$E,3,)))</f>
        <v/>
      </c>
      <c r="P423" s="36" t="str">
        <f>IF(ISERROR(VLOOKUP(C423,배너촬영리스트!$C:$E,2,)),"",(VLOOKUP(C423,배너촬영리스트!$C:$E,2,)))</f>
        <v/>
      </c>
    </row>
    <row r="424" spans="2:16">
      <c r="B424" s="20" t="str">
        <f t="shared" si="6"/>
        <v/>
      </c>
      <c r="C424" s="11"/>
      <c r="D424" s="12" t="e">
        <f>VLOOKUP(C424,#REF!,2,0)</f>
        <v>#REF!</v>
      </c>
      <c r="E424" s="10" t="e">
        <f>VLOOKUP(C424,#REF!,4,0)</f>
        <v>#REF!</v>
      </c>
      <c r="F424" s="37" t="e">
        <f>VLOOKUP(C424,#REF!,8,0)</f>
        <v>#REF!</v>
      </c>
      <c r="G424" s="22" t="str">
        <f>IF(ISERROR(IF(VLOOKUP(C424,#REF!,2,0)&gt;0,"등록","")),"",(IF(VLOOKUP(C424,#REF!,2,0)&gt;0,"등록","")))</f>
        <v/>
      </c>
      <c r="H424" s="33" t="str">
        <f t="array" aca="1" ref="H424" ca="1">IF(ISERROR(OFFSET(#REF!,SMALL(IF(#REF!=RM시즌체크판!C424,ROW(#REF!)-20),1),)),"",(OFFSET(#REF!,SMALL(IF(#REF!=RM시즌체크판!C424,ROW(#REF!)-20),1),)))</f>
        <v/>
      </c>
      <c r="I424" s="34" t="str">
        <f t="array" aca="1" ref="I424" ca="1">IF(ISERROR(OFFSET(#REF!,SMALL(IF(#REF!=RM시즌체크판!C424,ROW(#REF!)-20),2),)),"",(OFFSET(#REF!,SMALL(IF(#REF!=RM시즌체크판!C424,ROW(#REF!)-20),2),)))</f>
        <v/>
      </c>
      <c r="J424" s="34" t="str">
        <f t="array" aca="1" ref="J424" ca="1">IF(ISERROR(OFFSET(#REF!,SMALL(IF(#REF!=RM시즌체크판!C424,ROW(#REF!)-20),3),)),"",(OFFSET(#REF!,SMALL(IF(#REF!=RM시즌체크판!C424,ROW(#REF!)-20),3),)))</f>
        <v/>
      </c>
      <c r="K424" s="34" t="str">
        <f t="array" aca="1" ref="K424" ca="1">IF(ISERROR(OFFSET(#REF!,SMALL(IF(#REF!=RM시즌체크판!C424,ROW(#REF!)-20),4),)),"",(OFFSET(#REF!,SMALL(IF(#REF!=RM시즌체크판!C424,ROW(#REF!)-20),4),)))</f>
        <v/>
      </c>
      <c r="L424" s="34" t="str">
        <f t="array" aca="1" ref="L424" ca="1">IF(ISERROR(OFFSET(#REF!,SMALL(IF(#REF!=RM시즌체크판!C424,ROW(#REF!)-20),5),)),"",(OFFSET(#REF!,SMALL(IF(#REF!=RM시즌체크판!C424,ROW(#REF!)-20),5),)))</f>
        <v/>
      </c>
      <c r="M424" s="35" t="str">
        <f t="array" aca="1" ref="M424" ca="1">IF(ISERROR(OFFSET(#REF!,SMALL(IF(#REF!=RM시즌체크판!C424,ROW(#REF!)-20),6),)),"",(OFFSET(#REF!,SMALL(IF(#REF!=RM시즌체크판!C424,ROW(#REF!)-20),6),)))</f>
        <v/>
      </c>
      <c r="N424" s="27" t="str">
        <f>IF(ISERROR(VLOOKUP(C424,모델촬영리스트!$C:$E,3,)),"",(VLOOKUP(C424,모델촬영리스트!$C:$E,3,)))</f>
        <v/>
      </c>
      <c r="O424" s="23" t="str">
        <f>IF(ISERROR(VLOOKUP(C424,배너촬영리스트!$C:$E,3,)),"",(VLOOKUP(C424,배너촬영리스트!$C:$E,3,)))</f>
        <v/>
      </c>
      <c r="P424" s="36" t="str">
        <f>IF(ISERROR(VLOOKUP(C424,배너촬영리스트!$C:$E,2,)),"",(VLOOKUP(C424,배너촬영리스트!$C:$E,2,)))</f>
        <v/>
      </c>
    </row>
    <row r="425" spans="2:16">
      <c r="B425" s="20" t="str">
        <f t="shared" si="6"/>
        <v/>
      </c>
      <c r="C425" s="11"/>
      <c r="D425" s="12" t="e">
        <f>VLOOKUP(C425,#REF!,2,0)</f>
        <v>#REF!</v>
      </c>
      <c r="E425" s="10" t="e">
        <f>VLOOKUP(C425,#REF!,4,0)</f>
        <v>#REF!</v>
      </c>
      <c r="F425" s="37" t="e">
        <f>VLOOKUP(C425,#REF!,8,0)</f>
        <v>#REF!</v>
      </c>
      <c r="G425" s="22" t="str">
        <f>IF(ISERROR(IF(VLOOKUP(C425,#REF!,2,0)&gt;0,"등록","")),"",(IF(VLOOKUP(C425,#REF!,2,0)&gt;0,"등록","")))</f>
        <v/>
      </c>
      <c r="H425" s="33" t="str">
        <f t="array" aca="1" ref="H425" ca="1">IF(ISERROR(OFFSET(#REF!,SMALL(IF(#REF!=RM시즌체크판!C425,ROW(#REF!)-20),1),)),"",(OFFSET(#REF!,SMALL(IF(#REF!=RM시즌체크판!C425,ROW(#REF!)-20),1),)))</f>
        <v/>
      </c>
      <c r="I425" s="34" t="str">
        <f t="array" aca="1" ref="I425" ca="1">IF(ISERROR(OFFSET(#REF!,SMALL(IF(#REF!=RM시즌체크판!C425,ROW(#REF!)-20),2),)),"",(OFFSET(#REF!,SMALL(IF(#REF!=RM시즌체크판!C425,ROW(#REF!)-20),2),)))</f>
        <v/>
      </c>
      <c r="J425" s="34" t="str">
        <f t="array" aca="1" ref="J425" ca="1">IF(ISERROR(OFFSET(#REF!,SMALL(IF(#REF!=RM시즌체크판!C425,ROW(#REF!)-20),3),)),"",(OFFSET(#REF!,SMALL(IF(#REF!=RM시즌체크판!C425,ROW(#REF!)-20),3),)))</f>
        <v/>
      </c>
      <c r="K425" s="34" t="str">
        <f t="array" aca="1" ref="K425" ca="1">IF(ISERROR(OFFSET(#REF!,SMALL(IF(#REF!=RM시즌체크판!C425,ROW(#REF!)-20),4),)),"",(OFFSET(#REF!,SMALL(IF(#REF!=RM시즌체크판!C425,ROW(#REF!)-20),4),)))</f>
        <v/>
      </c>
      <c r="L425" s="34" t="str">
        <f t="array" aca="1" ref="L425" ca="1">IF(ISERROR(OFFSET(#REF!,SMALL(IF(#REF!=RM시즌체크판!C425,ROW(#REF!)-20),5),)),"",(OFFSET(#REF!,SMALL(IF(#REF!=RM시즌체크판!C425,ROW(#REF!)-20),5),)))</f>
        <v/>
      </c>
      <c r="M425" s="35" t="str">
        <f t="array" aca="1" ref="M425" ca="1">IF(ISERROR(OFFSET(#REF!,SMALL(IF(#REF!=RM시즌체크판!C425,ROW(#REF!)-20),6),)),"",(OFFSET(#REF!,SMALL(IF(#REF!=RM시즌체크판!C425,ROW(#REF!)-20),6),)))</f>
        <v/>
      </c>
      <c r="N425" s="27" t="str">
        <f>IF(ISERROR(VLOOKUP(C425,모델촬영리스트!$C:$E,3,)),"",(VLOOKUP(C425,모델촬영리스트!$C:$E,3,)))</f>
        <v/>
      </c>
      <c r="O425" s="23" t="str">
        <f>IF(ISERROR(VLOOKUP(C425,배너촬영리스트!$C:$E,3,)),"",(VLOOKUP(C425,배너촬영리스트!$C:$E,3,)))</f>
        <v/>
      </c>
      <c r="P425" s="36" t="str">
        <f>IF(ISERROR(VLOOKUP(C425,배너촬영리스트!$C:$E,2,)),"",(VLOOKUP(C425,배너촬영리스트!$C:$E,2,)))</f>
        <v/>
      </c>
    </row>
  </sheetData>
  <autoFilter ref="B6:O362" xr:uid="{00000000-0009-0000-0000-000002000000}">
    <sortState ref="B7:O752">
      <sortCondition ref="B6:B752"/>
    </sortState>
  </autoFilter>
  <mergeCells count="2">
    <mergeCell ref="B2:D2"/>
    <mergeCell ref="H5:M5"/>
  </mergeCells>
  <phoneticPr fontId="21" type="noConversion"/>
  <conditionalFormatting sqref="G7:G425">
    <cfRule type="containsText" dxfId="5" priority="3" operator="containsText" text="등록">
      <formula>NOT(ISERROR(SEARCH("등록",G7)))</formula>
    </cfRule>
  </conditionalFormatting>
  <conditionalFormatting sqref="M4">
    <cfRule type="cellIs" dxfId="4" priority="4" operator="lessThan">
      <formula>0.9</formula>
    </cfRule>
    <cfRule type="cellIs" dxfId="3" priority="5" operator="greaterThan">
      <formula>0.9</formula>
    </cfRule>
  </conditionalFormatting>
  <dataValidations count="1">
    <dataValidation type="list" allowBlank="1" showInputMessage="1" showErrorMessage="1" sqref="B3" xr:uid="{00000000-0002-0000-0200-000000000000}">
      <formula1>$V$1:$V$3</formula1>
    </dataValidation>
  </dataValidations>
  <pageMargins left="0.7" right="0.7" top="0.75" bottom="0.75" header="0.3" footer="0.3"/>
  <pageSetup paperSize="9" orientation="portrait" horizontalDpi="4294967292" r:id="rId1"/>
  <customProperties>
    <customPr name="_pios_id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AK396"/>
  <sheetViews>
    <sheetView tabSelected="1" topLeftCell="J1" zoomScale="85" zoomScaleNormal="85" workbookViewId="0">
      <pane ySplit="1" topLeftCell="A80" activePane="bottomLeft" state="frozen"/>
      <selection activeCell="B1" sqref="B1"/>
      <selection pane="bottomLeft" activeCell="W89" sqref="W89"/>
    </sheetView>
  </sheetViews>
  <sheetFormatPr defaultColWidth="9" defaultRowHeight="17"/>
  <cols>
    <col min="1" max="1" width="8.5" style="51" bestFit="1" customWidth="1"/>
    <col min="2" max="2" width="16.08203125" style="42" customWidth="1"/>
    <col min="3" max="3" width="15" style="5" customWidth="1"/>
    <col min="4" max="4" width="16.58203125" style="5" customWidth="1"/>
    <col min="5" max="5" width="18.58203125" style="42" customWidth="1"/>
    <col min="6" max="6" width="22.33203125" style="45" customWidth="1"/>
    <col min="7" max="7" width="9" style="5" customWidth="1"/>
    <col min="8" max="8" width="6.5" style="5" customWidth="1"/>
    <col min="9" max="9" width="4.5" style="5" customWidth="1"/>
    <col min="10" max="10" width="12.83203125" style="1" customWidth="1"/>
    <col min="11" max="11" width="13.75" style="1" bestFit="1" customWidth="1"/>
    <col min="12" max="12" width="31" style="1" customWidth="1"/>
    <col min="13" max="13" width="11.08203125" style="5" bestFit="1" customWidth="1"/>
    <col min="14" max="14" width="9.75" style="5" customWidth="1"/>
    <col min="15" max="15" width="9" style="1"/>
    <col min="16" max="16" width="9.5" style="1" bestFit="1" customWidth="1"/>
    <col min="17" max="17" width="12.58203125" style="1" customWidth="1"/>
    <col min="18" max="18" width="12.25" style="1" customWidth="1"/>
    <col min="19" max="19" width="12.83203125" style="44" customWidth="1"/>
    <col min="20" max="20" width="9" style="44" customWidth="1"/>
    <col min="21" max="21" width="12.58203125" style="1" customWidth="1"/>
    <col min="22" max="22" width="9.5" style="1" customWidth="1"/>
    <col min="23" max="23" width="10" style="1" customWidth="1"/>
    <col min="24" max="24" width="11.33203125" style="1" customWidth="1"/>
    <col min="25" max="25" width="12.83203125" style="1" customWidth="1"/>
    <col min="26" max="26" width="16.5" style="1" customWidth="1"/>
    <col min="27" max="27" width="12" style="1" customWidth="1"/>
    <col min="28" max="28" width="13.58203125" style="1" customWidth="1"/>
    <col min="29" max="29" width="9.75" style="1" customWidth="1"/>
    <col min="30" max="30" width="12.08203125" style="1" customWidth="1"/>
    <col min="31" max="31" width="9" style="1"/>
    <col min="32" max="32" width="14.08203125" style="1" customWidth="1"/>
    <col min="33" max="33" width="15.08203125" style="1" customWidth="1"/>
    <col min="34" max="16384" width="9" style="1"/>
  </cols>
  <sheetData>
    <row r="1" spans="2:37" ht="38.65" customHeight="1">
      <c r="B1" s="43" t="s">
        <v>491</v>
      </c>
      <c r="C1" s="41" t="s">
        <v>458</v>
      </c>
      <c r="D1" s="41" t="s">
        <v>516</v>
      </c>
      <c r="E1" s="88" t="s">
        <v>459</v>
      </c>
      <c r="F1" s="46" t="s">
        <v>492</v>
      </c>
      <c r="G1" s="40" t="s">
        <v>493</v>
      </c>
      <c r="H1" s="18" t="s">
        <v>494</v>
      </c>
      <c r="I1" s="18" t="s">
        <v>495</v>
      </c>
      <c r="J1" s="18" t="s">
        <v>496</v>
      </c>
      <c r="K1" s="38" t="s">
        <v>367</v>
      </c>
      <c r="L1" s="18" t="s">
        <v>497</v>
      </c>
      <c r="M1" s="18" t="s">
        <v>498</v>
      </c>
      <c r="N1" s="38" t="s">
        <v>517</v>
      </c>
      <c r="O1" s="49" t="s">
        <v>489</v>
      </c>
      <c r="P1" s="18" t="s">
        <v>499</v>
      </c>
      <c r="Q1" s="19" t="s">
        <v>500</v>
      </c>
      <c r="R1" s="48" t="s">
        <v>511</v>
      </c>
      <c r="S1" s="48" t="s">
        <v>512</v>
      </c>
      <c r="T1" s="47" t="s">
        <v>501</v>
      </c>
      <c r="U1" s="47" t="s">
        <v>502</v>
      </c>
      <c r="V1" s="72" t="s">
        <v>513</v>
      </c>
      <c r="W1" s="41" t="s">
        <v>568</v>
      </c>
      <c r="X1" s="41" t="s">
        <v>567</v>
      </c>
      <c r="Y1" s="41" t="s">
        <v>569</v>
      </c>
      <c r="Z1" s="62" t="s">
        <v>533</v>
      </c>
      <c r="AA1" s="63"/>
      <c r="AB1" s="63"/>
      <c r="AC1" s="63"/>
      <c r="AD1" s="63"/>
      <c r="AE1" s="63"/>
      <c r="AF1" s="21" t="s">
        <v>503</v>
      </c>
      <c r="AG1" s="26" t="s">
        <v>504</v>
      </c>
      <c r="AH1" s="19" t="s">
        <v>505</v>
      </c>
      <c r="AI1" s="52" t="s">
        <v>514</v>
      </c>
      <c r="AJ1" s="53" t="s">
        <v>515</v>
      </c>
    </row>
    <row r="2" spans="2:37">
      <c r="B2" s="68" t="s">
        <v>1013</v>
      </c>
      <c r="C2" s="68">
        <v>45992</v>
      </c>
      <c r="D2" s="68">
        <v>45993</v>
      </c>
      <c r="E2" s="68">
        <v>45995</v>
      </c>
      <c r="F2" s="59">
        <v>3</v>
      </c>
      <c r="G2" s="55" t="s">
        <v>1252</v>
      </c>
      <c r="H2" s="55" t="s">
        <v>1253</v>
      </c>
      <c r="I2" s="55" t="s">
        <v>460</v>
      </c>
      <c r="J2" s="60" t="s">
        <v>461</v>
      </c>
      <c r="K2" s="76" t="s">
        <v>652</v>
      </c>
      <c r="L2" s="60" t="s">
        <v>527</v>
      </c>
      <c r="M2" s="55" t="s">
        <v>624</v>
      </c>
      <c r="N2" s="49" t="s">
        <v>488</v>
      </c>
      <c r="O2" s="49" t="s">
        <v>489</v>
      </c>
      <c r="P2" s="60" t="s">
        <v>4</v>
      </c>
      <c r="Q2" s="60" t="s">
        <v>1013</v>
      </c>
      <c r="R2" s="85">
        <v>45999</v>
      </c>
      <c r="S2" s="85">
        <v>45996</v>
      </c>
      <c r="T2" s="61">
        <v>7</v>
      </c>
      <c r="U2" s="60">
        <v>-3</v>
      </c>
      <c r="V2" s="58" t="s">
        <v>1254</v>
      </c>
      <c r="W2" s="58" t="s">
        <v>0</v>
      </c>
      <c r="X2" s="58" t="s">
        <v>0</v>
      </c>
      <c r="Y2" s="58" t="s">
        <v>0</v>
      </c>
      <c r="Z2" s="54" t="s">
        <v>472</v>
      </c>
      <c r="AA2" s="54" t="s">
        <v>468</v>
      </c>
      <c r="AB2" s="54" t="s">
        <v>469</v>
      </c>
      <c r="AC2" s="54" t="s">
        <v>471</v>
      </c>
      <c r="AD2" s="54" t="s">
        <v>464</v>
      </c>
      <c r="AE2" s="58" t="s">
        <v>0</v>
      </c>
      <c r="AF2" s="73"/>
      <c r="AG2" s="58"/>
      <c r="AH2" s="58"/>
      <c r="AI2" s="1">
        <v>1</v>
      </c>
      <c r="AJ2" s="1">
        <v>3</v>
      </c>
      <c r="AK2" s="1" t="s">
        <v>1255</v>
      </c>
    </row>
    <row r="3" spans="2:37">
      <c r="B3" s="68" t="s">
        <v>1009</v>
      </c>
      <c r="C3" s="68">
        <v>45989</v>
      </c>
      <c r="D3" s="68">
        <v>45989</v>
      </c>
      <c r="E3" s="68">
        <v>45989</v>
      </c>
      <c r="F3" s="59">
        <v>0</v>
      </c>
      <c r="G3" s="55" t="s">
        <v>1252</v>
      </c>
      <c r="H3" s="55" t="s">
        <v>1253</v>
      </c>
      <c r="I3" s="55" t="s">
        <v>460</v>
      </c>
      <c r="J3" s="60" t="s">
        <v>461</v>
      </c>
      <c r="K3" s="76" t="s">
        <v>653</v>
      </c>
      <c r="L3" s="60" t="s">
        <v>654</v>
      </c>
      <c r="M3" s="55" t="s">
        <v>624</v>
      </c>
      <c r="N3" s="49" t="s">
        <v>488</v>
      </c>
      <c r="O3" s="49" t="s">
        <v>489</v>
      </c>
      <c r="P3" s="60" t="s">
        <v>3</v>
      </c>
      <c r="Q3" s="60" t="s">
        <v>1009</v>
      </c>
      <c r="R3" s="85">
        <v>45999</v>
      </c>
      <c r="S3" s="85">
        <v>45992</v>
      </c>
      <c r="T3" s="61">
        <v>4</v>
      </c>
      <c r="U3" s="60">
        <v>-7</v>
      </c>
      <c r="V3" s="58" t="s">
        <v>1254</v>
      </c>
      <c r="W3" s="58" t="s">
        <v>0</v>
      </c>
      <c r="X3" s="58" t="s">
        <v>0</v>
      </c>
      <c r="Y3" s="58" t="s">
        <v>0</v>
      </c>
      <c r="Z3" s="54" t="s">
        <v>465</v>
      </c>
      <c r="AA3" s="54" t="s">
        <v>523</v>
      </c>
      <c r="AB3" s="54" t="s">
        <v>483</v>
      </c>
      <c r="AC3" s="58" t="s">
        <v>0</v>
      </c>
      <c r="AD3" s="58" t="s">
        <v>0</v>
      </c>
      <c r="AE3" s="58" t="s">
        <v>0</v>
      </c>
      <c r="AF3" s="73"/>
      <c r="AG3" s="58"/>
      <c r="AH3" s="58"/>
      <c r="AI3" s="1">
        <v>3</v>
      </c>
      <c r="AJ3" s="1">
        <v>0</v>
      </c>
      <c r="AK3" s="1" t="s">
        <v>1255</v>
      </c>
    </row>
    <row r="4" spans="2:37">
      <c r="B4" s="68" t="s">
        <v>1072</v>
      </c>
      <c r="C4" s="68">
        <v>46010</v>
      </c>
      <c r="D4" s="68">
        <v>46015</v>
      </c>
      <c r="E4" s="68">
        <v>46020</v>
      </c>
      <c r="F4" s="59">
        <v>10</v>
      </c>
      <c r="G4" s="55" t="s">
        <v>1252</v>
      </c>
      <c r="H4" s="55" t="s">
        <v>1253</v>
      </c>
      <c r="I4" s="55" t="s">
        <v>460</v>
      </c>
      <c r="J4" s="60" t="s">
        <v>461</v>
      </c>
      <c r="K4" s="76" t="s">
        <v>655</v>
      </c>
      <c r="L4" s="60" t="s">
        <v>552</v>
      </c>
      <c r="M4" s="55" t="s">
        <v>624</v>
      </c>
      <c r="N4" s="49" t="s">
        <v>488</v>
      </c>
      <c r="O4" s="49" t="s">
        <v>489</v>
      </c>
      <c r="P4" s="60" t="s">
        <v>1</v>
      </c>
      <c r="Q4" s="60" t="s">
        <v>1072</v>
      </c>
      <c r="R4" s="85">
        <v>46013</v>
      </c>
      <c r="S4" s="85">
        <v>46021</v>
      </c>
      <c r="T4" s="61">
        <v>12</v>
      </c>
      <c r="U4" s="60">
        <v>8</v>
      </c>
      <c r="V4" s="58" t="s">
        <v>1254</v>
      </c>
      <c r="W4" s="58" t="s">
        <v>0</v>
      </c>
      <c r="X4" s="58" t="s">
        <v>0</v>
      </c>
      <c r="Y4" s="58" t="s">
        <v>0</v>
      </c>
      <c r="Z4" s="54" t="s">
        <v>472</v>
      </c>
      <c r="AA4" s="54" t="s">
        <v>507</v>
      </c>
      <c r="AB4" s="54" t="s">
        <v>468</v>
      </c>
      <c r="AC4" s="54" t="s">
        <v>471</v>
      </c>
      <c r="AD4" s="54" t="s">
        <v>485</v>
      </c>
      <c r="AE4" s="58" t="s">
        <v>0</v>
      </c>
      <c r="AF4" s="73"/>
      <c r="AG4" s="58"/>
      <c r="AH4" s="58"/>
      <c r="AI4" s="1">
        <v>1</v>
      </c>
      <c r="AJ4" s="1">
        <v>10</v>
      </c>
      <c r="AK4" s="1" t="s">
        <v>1255</v>
      </c>
    </row>
    <row r="5" spans="2:37">
      <c r="B5" s="68" t="s">
        <v>1072</v>
      </c>
      <c r="C5" s="68">
        <v>46010</v>
      </c>
      <c r="D5" s="68">
        <v>46015</v>
      </c>
      <c r="E5" s="68">
        <v>46020</v>
      </c>
      <c r="F5" s="59">
        <v>10</v>
      </c>
      <c r="G5" s="55" t="s">
        <v>1252</v>
      </c>
      <c r="H5" s="55" t="s">
        <v>1253</v>
      </c>
      <c r="I5" s="55" t="s">
        <v>460</v>
      </c>
      <c r="J5" s="60" t="s">
        <v>461</v>
      </c>
      <c r="K5" s="76" t="s">
        <v>656</v>
      </c>
      <c r="L5" s="60" t="s">
        <v>657</v>
      </c>
      <c r="M5" s="55" t="s">
        <v>624</v>
      </c>
      <c r="N5" s="49" t="s">
        <v>488</v>
      </c>
      <c r="O5" s="49" t="s">
        <v>489</v>
      </c>
      <c r="P5" s="60" t="s">
        <v>2</v>
      </c>
      <c r="Q5" s="60" t="s">
        <v>1072</v>
      </c>
      <c r="R5" s="85">
        <v>46009</v>
      </c>
      <c r="S5" s="85">
        <v>46021</v>
      </c>
      <c r="T5" s="61">
        <v>12</v>
      </c>
      <c r="U5" s="60">
        <v>12</v>
      </c>
      <c r="V5" s="58" t="s">
        <v>1254</v>
      </c>
      <c r="W5" s="58" t="s">
        <v>0</v>
      </c>
      <c r="X5" s="58" t="s">
        <v>0</v>
      </c>
      <c r="Y5" s="58" t="s">
        <v>0</v>
      </c>
      <c r="Z5" s="54" t="s">
        <v>471</v>
      </c>
      <c r="AA5" s="54" t="s">
        <v>487</v>
      </c>
      <c r="AB5" s="58" t="s">
        <v>0</v>
      </c>
      <c r="AC5" s="58" t="s">
        <v>0</v>
      </c>
      <c r="AD5" s="58" t="s">
        <v>0</v>
      </c>
      <c r="AE5" s="58" t="s">
        <v>0</v>
      </c>
      <c r="AF5" s="73"/>
      <c r="AG5" s="58"/>
      <c r="AH5" s="58"/>
      <c r="AI5" s="1">
        <v>1</v>
      </c>
      <c r="AJ5" s="1">
        <v>10</v>
      </c>
      <c r="AK5" s="1" t="s">
        <v>1255</v>
      </c>
    </row>
    <row r="6" spans="2:37">
      <c r="B6" s="68" t="s">
        <v>1072</v>
      </c>
      <c r="C6" s="68">
        <v>46010</v>
      </c>
      <c r="D6" s="68">
        <v>46015</v>
      </c>
      <c r="E6" s="68">
        <v>46020</v>
      </c>
      <c r="F6" s="59">
        <v>10</v>
      </c>
      <c r="G6" s="55" t="s">
        <v>1252</v>
      </c>
      <c r="H6" s="55" t="s">
        <v>1253</v>
      </c>
      <c r="I6" s="55" t="s">
        <v>460</v>
      </c>
      <c r="J6" s="60" t="s">
        <v>461</v>
      </c>
      <c r="K6" s="76" t="s">
        <v>658</v>
      </c>
      <c r="L6" s="60" t="s">
        <v>659</v>
      </c>
      <c r="M6" s="55" t="s">
        <v>624</v>
      </c>
      <c r="N6" s="49" t="s">
        <v>488</v>
      </c>
      <c r="O6" s="49" t="s">
        <v>489</v>
      </c>
      <c r="P6" s="60" t="s">
        <v>2</v>
      </c>
      <c r="Q6" s="60" t="s">
        <v>1072</v>
      </c>
      <c r="R6" s="85">
        <v>46009</v>
      </c>
      <c r="S6" s="85">
        <v>46021</v>
      </c>
      <c r="T6" s="61">
        <v>12</v>
      </c>
      <c r="U6" s="60">
        <v>12</v>
      </c>
      <c r="V6" s="58" t="s">
        <v>1254</v>
      </c>
      <c r="W6" s="58" t="s">
        <v>0</v>
      </c>
      <c r="X6" s="58" t="s">
        <v>0</v>
      </c>
      <c r="Y6" s="58" t="s">
        <v>0</v>
      </c>
      <c r="Z6" s="54" t="s">
        <v>470</v>
      </c>
      <c r="AA6" s="54" t="s">
        <v>471</v>
      </c>
      <c r="AB6" s="58" t="s">
        <v>0</v>
      </c>
      <c r="AC6" s="58" t="s">
        <v>0</v>
      </c>
      <c r="AD6" s="58" t="s">
        <v>0</v>
      </c>
      <c r="AE6" s="58" t="s">
        <v>0</v>
      </c>
      <c r="AF6" s="73"/>
      <c r="AG6" s="58"/>
      <c r="AH6" s="58"/>
      <c r="AI6" s="1">
        <v>1</v>
      </c>
      <c r="AJ6" s="1">
        <v>10</v>
      </c>
      <c r="AK6" s="1" t="s">
        <v>1255</v>
      </c>
    </row>
    <row r="7" spans="2:37">
      <c r="B7" s="68" t="s">
        <v>1072</v>
      </c>
      <c r="C7" s="68">
        <v>46010</v>
      </c>
      <c r="D7" s="68">
        <v>46015</v>
      </c>
      <c r="E7" s="68">
        <v>46020</v>
      </c>
      <c r="F7" s="59">
        <v>10</v>
      </c>
      <c r="G7" s="55" t="s">
        <v>1252</v>
      </c>
      <c r="H7" s="55" t="s">
        <v>1253</v>
      </c>
      <c r="I7" s="55" t="s">
        <v>460</v>
      </c>
      <c r="J7" s="60" t="s">
        <v>461</v>
      </c>
      <c r="K7" s="76" t="s">
        <v>660</v>
      </c>
      <c r="L7" s="60" t="s">
        <v>661</v>
      </c>
      <c r="M7" s="55" t="s">
        <v>624</v>
      </c>
      <c r="N7" s="49" t="s">
        <v>488</v>
      </c>
      <c r="O7" s="49" t="s">
        <v>489</v>
      </c>
      <c r="P7" s="60" t="s">
        <v>2</v>
      </c>
      <c r="Q7" s="60" t="s">
        <v>1072</v>
      </c>
      <c r="R7" s="85">
        <v>46009</v>
      </c>
      <c r="S7" s="85">
        <v>46021</v>
      </c>
      <c r="T7" s="61">
        <v>12</v>
      </c>
      <c r="U7" s="60">
        <v>12</v>
      </c>
      <c r="V7" s="58" t="s">
        <v>1254</v>
      </c>
      <c r="W7" s="58" t="s">
        <v>0</v>
      </c>
      <c r="X7" s="58" t="s">
        <v>0</v>
      </c>
      <c r="Y7" s="58" t="s">
        <v>0</v>
      </c>
      <c r="Z7" s="54" t="s">
        <v>506</v>
      </c>
      <c r="AA7" s="58" t="s">
        <v>0</v>
      </c>
      <c r="AB7" s="58" t="s">
        <v>0</v>
      </c>
      <c r="AC7" s="58" t="s">
        <v>0</v>
      </c>
      <c r="AD7" s="58" t="s">
        <v>0</v>
      </c>
      <c r="AE7" s="58" t="s">
        <v>0</v>
      </c>
      <c r="AF7" s="73"/>
      <c r="AG7" s="58"/>
      <c r="AH7" s="58"/>
      <c r="AI7" s="1">
        <v>1</v>
      </c>
      <c r="AJ7" s="1">
        <v>10</v>
      </c>
      <c r="AK7" s="1" t="s">
        <v>1255</v>
      </c>
    </row>
    <row r="8" spans="2:37">
      <c r="B8" s="68" t="s">
        <v>1256</v>
      </c>
      <c r="C8" s="68">
        <v>45996</v>
      </c>
      <c r="D8" s="68">
        <v>46014</v>
      </c>
      <c r="E8" s="68">
        <v>46015</v>
      </c>
      <c r="F8" s="59">
        <v>19</v>
      </c>
      <c r="G8" s="55" t="s">
        <v>1252</v>
      </c>
      <c r="H8" s="55" t="s">
        <v>1253</v>
      </c>
      <c r="I8" s="55" t="s">
        <v>460</v>
      </c>
      <c r="J8" s="60" t="s">
        <v>461</v>
      </c>
      <c r="K8" s="76" t="s">
        <v>662</v>
      </c>
      <c r="L8" s="60" t="s">
        <v>553</v>
      </c>
      <c r="M8" s="55" t="s">
        <v>624</v>
      </c>
      <c r="N8" s="49" t="s">
        <v>488</v>
      </c>
      <c r="O8" s="49" t="s">
        <v>489</v>
      </c>
      <c r="P8" s="60" t="s">
        <v>3</v>
      </c>
      <c r="Q8" s="60" t="s">
        <v>1050</v>
      </c>
      <c r="R8" s="85">
        <v>46002</v>
      </c>
      <c r="S8" s="85">
        <v>46020</v>
      </c>
      <c r="T8" s="61">
        <v>25</v>
      </c>
      <c r="U8" s="60">
        <v>18</v>
      </c>
      <c r="V8" s="58" t="s">
        <v>1254</v>
      </c>
      <c r="W8" s="58" t="s">
        <v>0</v>
      </c>
      <c r="X8" s="58" t="s">
        <v>0</v>
      </c>
      <c r="Y8" s="58" t="s">
        <v>0</v>
      </c>
      <c r="Z8" s="54" t="s">
        <v>472</v>
      </c>
      <c r="AA8" s="54" t="s">
        <v>470</v>
      </c>
      <c r="AB8" s="54" t="s">
        <v>468</v>
      </c>
      <c r="AC8" s="54" t="s">
        <v>471</v>
      </c>
      <c r="AD8" s="58" t="s">
        <v>0</v>
      </c>
      <c r="AE8" s="58" t="s">
        <v>0</v>
      </c>
      <c r="AF8" s="73"/>
      <c r="AG8" s="58"/>
      <c r="AH8" s="58"/>
      <c r="AI8" s="1">
        <v>5</v>
      </c>
      <c r="AJ8" s="1">
        <v>19</v>
      </c>
      <c r="AK8" s="1" t="s">
        <v>1255</v>
      </c>
    </row>
    <row r="9" spans="2:37">
      <c r="B9" s="68" t="s">
        <v>1009</v>
      </c>
      <c r="C9" s="68">
        <v>45989</v>
      </c>
      <c r="D9" s="68">
        <v>45989</v>
      </c>
      <c r="E9" s="68">
        <v>45992</v>
      </c>
      <c r="F9" s="59">
        <v>3</v>
      </c>
      <c r="G9" s="55" t="s">
        <v>1252</v>
      </c>
      <c r="H9" s="55" t="s">
        <v>1253</v>
      </c>
      <c r="I9" s="55" t="s">
        <v>460</v>
      </c>
      <c r="J9" s="60" t="s">
        <v>461</v>
      </c>
      <c r="K9" s="76" t="s">
        <v>663</v>
      </c>
      <c r="L9" s="60" t="s">
        <v>664</v>
      </c>
      <c r="M9" s="55" t="s">
        <v>624</v>
      </c>
      <c r="N9" s="49" t="s">
        <v>488</v>
      </c>
      <c r="O9" s="49" t="s">
        <v>489</v>
      </c>
      <c r="P9" s="60" t="s">
        <v>5</v>
      </c>
      <c r="Q9" s="60" t="s">
        <v>1009</v>
      </c>
      <c r="R9" s="85" t="s">
        <v>0</v>
      </c>
      <c r="S9" s="85">
        <v>45993</v>
      </c>
      <c r="T9" s="61">
        <v>5</v>
      </c>
      <c r="U9" s="60" t="s">
        <v>0</v>
      </c>
      <c r="V9" s="58" t="s">
        <v>1254</v>
      </c>
      <c r="W9" s="58" t="s">
        <v>0</v>
      </c>
      <c r="X9" s="58" t="s">
        <v>0</v>
      </c>
      <c r="Y9" s="58" t="s">
        <v>0</v>
      </c>
      <c r="Z9" s="54" t="s">
        <v>472</v>
      </c>
      <c r="AA9" s="54" t="s">
        <v>470</v>
      </c>
      <c r="AB9" s="54" t="s">
        <v>468</v>
      </c>
      <c r="AC9" s="58" t="s">
        <v>0</v>
      </c>
      <c r="AD9" s="58" t="s">
        <v>0</v>
      </c>
      <c r="AE9" s="58" t="s">
        <v>0</v>
      </c>
      <c r="AF9" s="73"/>
      <c r="AG9" s="58"/>
      <c r="AH9" s="58"/>
      <c r="AI9" s="1">
        <v>1</v>
      </c>
      <c r="AJ9" s="1">
        <v>3</v>
      </c>
      <c r="AK9" s="1" t="s">
        <v>1255</v>
      </c>
    </row>
    <row r="10" spans="2:37">
      <c r="B10" s="68" t="s">
        <v>1070</v>
      </c>
      <c r="C10" s="68">
        <v>46007</v>
      </c>
      <c r="D10" s="68">
        <v>46021</v>
      </c>
      <c r="E10" s="68">
        <v>46021</v>
      </c>
      <c r="F10" s="59">
        <v>14</v>
      </c>
      <c r="G10" s="55" t="s">
        <v>1257</v>
      </c>
      <c r="H10" s="55" t="s">
        <v>1253</v>
      </c>
      <c r="I10" s="55" t="s">
        <v>460</v>
      </c>
      <c r="J10" s="60" t="s">
        <v>461</v>
      </c>
      <c r="K10" s="76" t="s">
        <v>665</v>
      </c>
      <c r="L10" s="60" t="s">
        <v>562</v>
      </c>
      <c r="M10" s="55" t="s">
        <v>624</v>
      </c>
      <c r="N10" s="49" t="s">
        <v>488</v>
      </c>
      <c r="O10" s="49" t="s">
        <v>489</v>
      </c>
      <c r="P10" s="60" t="s">
        <v>5</v>
      </c>
      <c r="Q10" s="60" t="s">
        <v>1070</v>
      </c>
      <c r="R10" s="85">
        <v>46006</v>
      </c>
      <c r="S10" s="85">
        <v>46024</v>
      </c>
      <c r="T10" s="61">
        <v>18</v>
      </c>
      <c r="U10" s="60">
        <v>18</v>
      </c>
      <c r="V10" s="58" t="s">
        <v>1254</v>
      </c>
      <c r="W10" s="58" t="s">
        <v>0</v>
      </c>
      <c r="X10" s="58" t="s">
        <v>0</v>
      </c>
      <c r="Y10" s="58" t="s">
        <v>0</v>
      </c>
      <c r="Z10" s="54" t="s">
        <v>472</v>
      </c>
      <c r="AA10" s="54" t="s">
        <v>474</v>
      </c>
      <c r="AB10" s="54" t="s">
        <v>471</v>
      </c>
      <c r="AC10" s="54" t="s">
        <v>464</v>
      </c>
      <c r="AD10" s="58" t="s">
        <v>0</v>
      </c>
      <c r="AE10" s="58" t="s">
        <v>0</v>
      </c>
      <c r="AF10" s="73"/>
      <c r="AG10" s="58"/>
      <c r="AH10" s="58"/>
      <c r="AI10" s="1">
        <v>3</v>
      </c>
      <c r="AJ10" s="1">
        <v>14</v>
      </c>
      <c r="AK10" s="1" t="s">
        <v>1255</v>
      </c>
    </row>
    <row r="11" spans="2:37">
      <c r="B11" s="68" t="s">
        <v>1258</v>
      </c>
      <c r="C11" s="68">
        <v>45995</v>
      </c>
      <c r="D11" s="68">
        <v>45999</v>
      </c>
      <c r="E11" s="68">
        <v>46001</v>
      </c>
      <c r="F11" s="59">
        <v>6</v>
      </c>
      <c r="G11" s="55" t="s">
        <v>1257</v>
      </c>
      <c r="H11" s="55" t="s">
        <v>1253</v>
      </c>
      <c r="I11" s="55" t="s">
        <v>462</v>
      </c>
      <c r="J11" s="60" t="s">
        <v>461</v>
      </c>
      <c r="K11" s="76" t="s">
        <v>666</v>
      </c>
      <c r="L11" s="60" t="s">
        <v>528</v>
      </c>
      <c r="M11" s="55" t="s">
        <v>624</v>
      </c>
      <c r="N11" s="49" t="s">
        <v>488</v>
      </c>
      <c r="O11" s="49" t="s">
        <v>489</v>
      </c>
      <c r="P11" s="60" t="s">
        <v>5</v>
      </c>
      <c r="Q11" s="60" t="s">
        <v>1012</v>
      </c>
      <c r="R11" s="85">
        <v>45994</v>
      </c>
      <c r="S11" s="85">
        <v>46002</v>
      </c>
      <c r="T11" s="61">
        <v>9</v>
      </c>
      <c r="U11" s="60">
        <v>8</v>
      </c>
      <c r="V11" s="58" t="s">
        <v>1254</v>
      </c>
      <c r="W11" s="58" t="s">
        <v>0</v>
      </c>
      <c r="X11" s="58" t="s">
        <v>0</v>
      </c>
      <c r="Y11" s="58" t="s">
        <v>0</v>
      </c>
      <c r="Z11" s="54" t="s">
        <v>472</v>
      </c>
      <c r="AA11" s="54" t="s">
        <v>507</v>
      </c>
      <c r="AB11" s="54" t="s">
        <v>468</v>
      </c>
      <c r="AC11" s="54" t="s">
        <v>467</v>
      </c>
      <c r="AD11" s="58" t="s">
        <v>485</v>
      </c>
      <c r="AE11" s="58" t="s">
        <v>0</v>
      </c>
      <c r="AF11" s="73"/>
      <c r="AG11" s="58"/>
      <c r="AH11" s="58"/>
      <c r="AI11" s="58">
        <v>1</v>
      </c>
      <c r="AJ11" s="58">
        <v>6</v>
      </c>
      <c r="AK11" s="1" t="s">
        <v>1255</v>
      </c>
    </row>
    <row r="12" spans="2:37">
      <c r="B12" s="68" t="s">
        <v>0</v>
      </c>
      <c r="C12" s="68" t="s">
        <v>0</v>
      </c>
      <c r="D12" s="68" t="s">
        <v>0</v>
      </c>
      <c r="E12" s="68" t="s">
        <v>0</v>
      </c>
      <c r="F12" s="59" t="s">
        <v>0</v>
      </c>
      <c r="G12" s="55" t="s">
        <v>1257</v>
      </c>
      <c r="H12" s="55" t="s">
        <v>1253</v>
      </c>
      <c r="I12" s="55" t="s">
        <v>460</v>
      </c>
      <c r="J12" s="60" t="s">
        <v>461</v>
      </c>
      <c r="K12" s="76" t="s">
        <v>667</v>
      </c>
      <c r="L12" s="60" t="s">
        <v>529</v>
      </c>
      <c r="M12" s="55" t="s">
        <v>0</v>
      </c>
      <c r="N12" s="2"/>
      <c r="O12" s="58"/>
      <c r="P12" s="60" t="s">
        <v>379</v>
      </c>
      <c r="Q12" s="60" t="s">
        <v>522</v>
      </c>
      <c r="R12" s="85" t="s">
        <v>0</v>
      </c>
      <c r="S12" s="85" t="s">
        <v>0</v>
      </c>
      <c r="T12" s="61" t="s">
        <v>0</v>
      </c>
      <c r="U12" s="60" t="s">
        <v>0</v>
      </c>
      <c r="V12" s="58" t="s">
        <v>0</v>
      </c>
      <c r="W12" s="58" t="s">
        <v>0</v>
      </c>
      <c r="X12" s="58" t="s">
        <v>0</v>
      </c>
      <c r="Y12" s="58" t="s">
        <v>0</v>
      </c>
      <c r="Z12" s="58" t="s">
        <v>472</v>
      </c>
      <c r="AA12" s="58" t="s">
        <v>0</v>
      </c>
      <c r="AB12" s="58" t="s">
        <v>0</v>
      </c>
      <c r="AC12" s="58" t="s">
        <v>0</v>
      </c>
      <c r="AD12" s="58" t="s">
        <v>0</v>
      </c>
      <c r="AE12" s="58" t="s">
        <v>0</v>
      </c>
      <c r="AF12" s="73"/>
      <c r="AG12" s="58"/>
      <c r="AH12" s="58"/>
      <c r="AI12" s="1" t="s">
        <v>0</v>
      </c>
      <c r="AJ12" s="1" t="s">
        <v>0</v>
      </c>
      <c r="AK12" s="1" t="s">
        <v>1255</v>
      </c>
    </row>
    <row r="13" spans="2:37">
      <c r="B13" s="68" t="s">
        <v>1259</v>
      </c>
      <c r="C13" s="68">
        <v>45994</v>
      </c>
      <c r="D13" s="68">
        <v>45995</v>
      </c>
      <c r="E13" s="68">
        <v>45996</v>
      </c>
      <c r="F13" s="59">
        <v>2</v>
      </c>
      <c r="G13" s="55" t="s">
        <v>1257</v>
      </c>
      <c r="H13" s="55" t="s">
        <v>1253</v>
      </c>
      <c r="I13" s="55" t="s">
        <v>460</v>
      </c>
      <c r="J13" s="55" t="s">
        <v>461</v>
      </c>
      <c r="K13" s="76" t="s">
        <v>668</v>
      </c>
      <c r="L13" s="60" t="s">
        <v>669</v>
      </c>
      <c r="M13" s="55" t="s">
        <v>624</v>
      </c>
      <c r="N13" s="49" t="s">
        <v>488</v>
      </c>
      <c r="O13" s="49" t="s">
        <v>489</v>
      </c>
      <c r="P13" s="60" t="s">
        <v>8</v>
      </c>
      <c r="Q13" s="60" t="s">
        <v>1012</v>
      </c>
      <c r="R13" s="85">
        <v>46006</v>
      </c>
      <c r="S13" s="85">
        <v>46000</v>
      </c>
      <c r="T13" s="61">
        <v>7</v>
      </c>
      <c r="U13" s="60">
        <v>-6</v>
      </c>
      <c r="V13" s="58" t="s">
        <v>1254</v>
      </c>
      <c r="W13" s="58" t="s">
        <v>1066</v>
      </c>
      <c r="X13" s="58" t="s">
        <v>1218</v>
      </c>
      <c r="Y13" s="58" t="s">
        <v>1219</v>
      </c>
      <c r="Z13" s="54" t="s">
        <v>472</v>
      </c>
      <c r="AA13" s="54" t="s">
        <v>471</v>
      </c>
      <c r="AB13" s="54" t="s">
        <v>483</v>
      </c>
      <c r="AC13" s="58" t="s">
        <v>0</v>
      </c>
      <c r="AD13" s="58" t="s">
        <v>0</v>
      </c>
      <c r="AE13" s="58" t="s">
        <v>0</v>
      </c>
      <c r="AF13" s="73"/>
      <c r="AG13" s="58"/>
      <c r="AH13" s="58"/>
      <c r="AI13" s="1">
        <v>4</v>
      </c>
      <c r="AJ13" s="1">
        <v>2</v>
      </c>
      <c r="AK13" s="1" t="s">
        <v>1255</v>
      </c>
    </row>
    <row r="14" spans="2:37">
      <c r="B14" s="68" t="s">
        <v>1260</v>
      </c>
      <c r="C14" s="68">
        <v>46000</v>
      </c>
      <c r="D14" s="68">
        <v>46008</v>
      </c>
      <c r="E14" s="68">
        <v>46008</v>
      </c>
      <c r="F14" s="59">
        <v>8</v>
      </c>
      <c r="G14" s="55" t="s">
        <v>1257</v>
      </c>
      <c r="H14" s="55" t="s">
        <v>1253</v>
      </c>
      <c r="I14" s="55" t="s">
        <v>460</v>
      </c>
      <c r="J14" s="60" t="s">
        <v>461</v>
      </c>
      <c r="K14" s="76" t="s">
        <v>670</v>
      </c>
      <c r="L14" s="60" t="s">
        <v>579</v>
      </c>
      <c r="M14" s="55" t="s">
        <v>624</v>
      </c>
      <c r="N14" s="49" t="s">
        <v>488</v>
      </c>
      <c r="O14" s="49" t="s">
        <v>489</v>
      </c>
      <c r="P14" s="60" t="s">
        <v>9</v>
      </c>
      <c r="Q14" s="60" t="s">
        <v>1054</v>
      </c>
      <c r="R14" s="85">
        <v>46001</v>
      </c>
      <c r="S14" s="85">
        <v>46009</v>
      </c>
      <c r="T14" s="61">
        <v>10</v>
      </c>
      <c r="U14" s="60">
        <v>8</v>
      </c>
      <c r="V14" s="58" t="s">
        <v>1254</v>
      </c>
      <c r="W14" s="58" t="s">
        <v>0</v>
      </c>
      <c r="X14" s="58" t="s">
        <v>0</v>
      </c>
      <c r="Y14" s="58" t="s">
        <v>0</v>
      </c>
      <c r="Z14" s="54" t="s">
        <v>523</v>
      </c>
      <c r="AA14" s="54" t="s">
        <v>487</v>
      </c>
      <c r="AB14" s="58" t="s">
        <v>0</v>
      </c>
      <c r="AC14" s="58" t="s">
        <v>0</v>
      </c>
      <c r="AD14" s="58" t="s">
        <v>0</v>
      </c>
      <c r="AE14" s="58" t="s">
        <v>0</v>
      </c>
      <c r="AF14" s="73"/>
      <c r="AG14" s="58"/>
      <c r="AH14" s="58"/>
      <c r="AI14" s="1">
        <v>1</v>
      </c>
      <c r="AJ14" s="1">
        <v>8</v>
      </c>
      <c r="AK14" s="1" t="s">
        <v>1255</v>
      </c>
    </row>
    <row r="15" spans="2:37">
      <c r="B15" s="68" t="s">
        <v>1261</v>
      </c>
      <c r="C15" s="68">
        <v>46043</v>
      </c>
      <c r="D15" s="68">
        <v>46043</v>
      </c>
      <c r="E15" s="68">
        <v>46044</v>
      </c>
      <c r="F15" s="59">
        <v>1</v>
      </c>
      <c r="G15" s="55" t="s">
        <v>1262</v>
      </c>
      <c r="H15" s="55" t="s">
        <v>1253</v>
      </c>
      <c r="I15" s="55" t="s">
        <v>460</v>
      </c>
      <c r="J15" s="60" t="s">
        <v>461</v>
      </c>
      <c r="K15" s="76" t="s">
        <v>671</v>
      </c>
      <c r="L15" s="60" t="s">
        <v>672</v>
      </c>
      <c r="M15" s="55" t="s">
        <v>624</v>
      </c>
      <c r="N15" s="49" t="s">
        <v>488</v>
      </c>
      <c r="O15" s="49" t="s">
        <v>489</v>
      </c>
      <c r="P15" s="60" t="s">
        <v>457</v>
      </c>
      <c r="Q15" s="60" t="s">
        <v>522</v>
      </c>
      <c r="R15" s="85" t="s">
        <v>0</v>
      </c>
      <c r="S15" s="85" t="s">
        <v>0</v>
      </c>
      <c r="T15" s="61" t="s">
        <v>0</v>
      </c>
      <c r="U15" s="60" t="s">
        <v>0</v>
      </c>
      <c r="V15" s="58" t="s">
        <v>0</v>
      </c>
      <c r="W15" s="58" t="s">
        <v>0</v>
      </c>
      <c r="X15" s="58" t="s">
        <v>0</v>
      </c>
      <c r="Y15" s="58" t="s">
        <v>0</v>
      </c>
      <c r="Z15" s="54" t="s">
        <v>464</v>
      </c>
      <c r="AA15" s="54" t="s">
        <v>486</v>
      </c>
      <c r="AB15" s="58" t="s">
        <v>0</v>
      </c>
      <c r="AC15" s="58" t="s">
        <v>0</v>
      </c>
      <c r="AD15" s="58" t="s">
        <v>0</v>
      </c>
      <c r="AE15" s="58" t="s">
        <v>0</v>
      </c>
      <c r="AF15" s="73"/>
      <c r="AG15" s="58"/>
      <c r="AH15" s="58"/>
      <c r="AI15" s="1" t="s">
        <v>0</v>
      </c>
      <c r="AJ15" s="1">
        <v>1</v>
      </c>
      <c r="AK15" s="1" t="s">
        <v>1255</v>
      </c>
    </row>
    <row r="16" spans="2:37">
      <c r="B16" s="68" t="s">
        <v>1263</v>
      </c>
      <c r="C16" s="68">
        <v>46031</v>
      </c>
      <c r="D16" s="68">
        <v>46048</v>
      </c>
      <c r="E16" s="68">
        <v>46048</v>
      </c>
      <c r="F16" s="59">
        <v>17</v>
      </c>
      <c r="G16" s="55" t="s">
        <v>1257</v>
      </c>
      <c r="H16" s="55" t="s">
        <v>1253</v>
      </c>
      <c r="I16" s="55" t="s">
        <v>460</v>
      </c>
      <c r="J16" s="60" t="s">
        <v>461</v>
      </c>
      <c r="K16" s="76" t="s">
        <v>673</v>
      </c>
      <c r="L16" s="60" t="s">
        <v>626</v>
      </c>
      <c r="M16" s="55" t="s">
        <v>624</v>
      </c>
      <c r="N16" s="49" t="s">
        <v>488</v>
      </c>
      <c r="O16" s="49" t="s">
        <v>489</v>
      </c>
      <c r="P16" s="60" t="s">
        <v>457</v>
      </c>
      <c r="Q16" s="60" t="s">
        <v>1249</v>
      </c>
      <c r="R16" s="85">
        <v>46030</v>
      </c>
      <c r="S16" s="85" t="s">
        <v>0</v>
      </c>
      <c r="T16" s="61" t="s">
        <v>0</v>
      </c>
      <c r="U16" s="60" t="s">
        <v>0</v>
      </c>
      <c r="V16" s="58" t="s">
        <v>0</v>
      </c>
      <c r="W16" s="58" t="s">
        <v>0</v>
      </c>
      <c r="X16" s="58" t="s">
        <v>0</v>
      </c>
      <c r="Y16" s="58" t="s">
        <v>0</v>
      </c>
      <c r="Z16" s="54" t="s">
        <v>472</v>
      </c>
      <c r="AA16" s="54" t="s">
        <v>471</v>
      </c>
      <c r="AB16" s="58" t="s">
        <v>0</v>
      </c>
      <c r="AC16" s="58" t="s">
        <v>0</v>
      </c>
      <c r="AD16" s="58" t="s">
        <v>0</v>
      </c>
      <c r="AE16" s="58" t="s">
        <v>0</v>
      </c>
      <c r="AF16" s="73"/>
      <c r="AG16" s="58"/>
      <c r="AH16" s="58"/>
      <c r="AI16" s="1" t="s">
        <v>0</v>
      </c>
      <c r="AK16" s="1" t="s">
        <v>1255</v>
      </c>
    </row>
    <row r="17" spans="2:37">
      <c r="B17" s="68" t="s">
        <v>0</v>
      </c>
      <c r="C17" s="68" t="s">
        <v>0</v>
      </c>
      <c r="D17" s="68" t="s">
        <v>0</v>
      </c>
      <c r="E17" s="68" t="s">
        <v>0</v>
      </c>
      <c r="F17" s="59" t="s">
        <v>0</v>
      </c>
      <c r="G17" s="55" t="s">
        <v>1257</v>
      </c>
      <c r="H17" s="55" t="s">
        <v>1253</v>
      </c>
      <c r="I17" s="55" t="s">
        <v>460</v>
      </c>
      <c r="J17" s="60" t="s">
        <v>461</v>
      </c>
      <c r="K17" s="76" t="s">
        <v>674</v>
      </c>
      <c r="L17" s="60" t="s">
        <v>627</v>
      </c>
      <c r="M17" s="55" t="s">
        <v>0</v>
      </c>
      <c r="N17" s="2"/>
      <c r="O17" s="58"/>
      <c r="P17" s="60" t="s">
        <v>379</v>
      </c>
      <c r="Q17" s="60" t="s">
        <v>522</v>
      </c>
      <c r="R17" s="85" t="s">
        <v>0</v>
      </c>
      <c r="S17" s="85" t="s">
        <v>0</v>
      </c>
      <c r="T17" s="61" t="s">
        <v>0</v>
      </c>
      <c r="U17" s="60" t="s">
        <v>0</v>
      </c>
      <c r="V17" s="58" t="s">
        <v>0</v>
      </c>
      <c r="W17" s="58" t="s">
        <v>0</v>
      </c>
      <c r="X17" s="58" t="s">
        <v>0</v>
      </c>
      <c r="Y17" s="58" t="s">
        <v>0</v>
      </c>
      <c r="Z17" s="58" t="s">
        <v>472</v>
      </c>
      <c r="AA17" s="58" t="s">
        <v>0</v>
      </c>
      <c r="AB17" s="58" t="s">
        <v>0</v>
      </c>
      <c r="AC17" s="58" t="s">
        <v>0</v>
      </c>
      <c r="AD17" s="58" t="s">
        <v>0</v>
      </c>
      <c r="AE17" s="58" t="s">
        <v>0</v>
      </c>
      <c r="AF17" s="73"/>
      <c r="AG17" s="58"/>
      <c r="AH17" s="58"/>
      <c r="AI17" s="1" t="s">
        <v>0</v>
      </c>
      <c r="AJ17" s="1" t="s">
        <v>0</v>
      </c>
      <c r="AK17" s="1" t="s">
        <v>1255</v>
      </c>
    </row>
    <row r="18" spans="2:37">
      <c r="B18" s="68" t="s">
        <v>0</v>
      </c>
      <c r="C18" s="68" t="s">
        <v>0</v>
      </c>
      <c r="D18" s="68" t="s">
        <v>0</v>
      </c>
      <c r="E18" s="68" t="s">
        <v>0</v>
      </c>
      <c r="F18" s="59" t="s">
        <v>0</v>
      </c>
      <c r="G18" s="55" t="s">
        <v>1262</v>
      </c>
      <c r="H18" s="55" t="s">
        <v>1253</v>
      </c>
      <c r="I18" s="55" t="s">
        <v>460</v>
      </c>
      <c r="J18" s="60" t="s">
        <v>461</v>
      </c>
      <c r="K18" s="76" t="s">
        <v>675</v>
      </c>
      <c r="L18" s="60" t="s">
        <v>563</v>
      </c>
      <c r="M18" s="55" t="s">
        <v>0</v>
      </c>
      <c r="N18" s="2"/>
      <c r="O18" s="58"/>
      <c r="P18" s="60" t="s">
        <v>379</v>
      </c>
      <c r="Q18" s="60" t="s">
        <v>522</v>
      </c>
      <c r="R18" s="85" t="s">
        <v>0</v>
      </c>
      <c r="S18" s="85" t="s">
        <v>0</v>
      </c>
      <c r="T18" s="61" t="s">
        <v>0</v>
      </c>
      <c r="U18" s="60" t="s">
        <v>0</v>
      </c>
      <c r="V18" s="58" t="s">
        <v>0</v>
      </c>
      <c r="W18" s="58" t="s">
        <v>0</v>
      </c>
      <c r="X18" s="58" t="s">
        <v>0</v>
      </c>
      <c r="Y18" s="58" t="s">
        <v>0</v>
      </c>
      <c r="Z18" s="58" t="s">
        <v>477</v>
      </c>
      <c r="AA18" s="58" t="s">
        <v>0</v>
      </c>
      <c r="AB18" s="58" t="s">
        <v>0</v>
      </c>
      <c r="AC18" s="58" t="s">
        <v>0</v>
      </c>
      <c r="AD18" s="58" t="s">
        <v>0</v>
      </c>
      <c r="AE18" s="58" t="s">
        <v>0</v>
      </c>
      <c r="AF18" s="73"/>
      <c r="AG18" s="58"/>
      <c r="AH18" s="58"/>
      <c r="AI18" s="1" t="s">
        <v>0</v>
      </c>
      <c r="AJ18" s="1" t="s">
        <v>0</v>
      </c>
      <c r="AK18" s="1" t="s">
        <v>1255</v>
      </c>
    </row>
    <row r="19" spans="2:37">
      <c r="B19" s="68" t="s">
        <v>1068</v>
      </c>
      <c r="C19" s="68">
        <v>46017</v>
      </c>
      <c r="D19" s="68">
        <v>46035</v>
      </c>
      <c r="E19" s="68">
        <v>46035</v>
      </c>
      <c r="F19" s="59">
        <v>18</v>
      </c>
      <c r="G19" s="55" t="s">
        <v>1262</v>
      </c>
      <c r="H19" s="55" t="s">
        <v>1253</v>
      </c>
      <c r="I19" s="55" t="s">
        <v>460</v>
      </c>
      <c r="J19" s="60" t="s">
        <v>461</v>
      </c>
      <c r="K19" s="76" t="s">
        <v>676</v>
      </c>
      <c r="L19" s="60" t="s">
        <v>641</v>
      </c>
      <c r="M19" s="55" t="s">
        <v>624</v>
      </c>
      <c r="N19" s="49" t="s">
        <v>488</v>
      </c>
      <c r="O19" s="50" t="s">
        <v>490</v>
      </c>
      <c r="P19" s="60" t="s">
        <v>457</v>
      </c>
      <c r="Q19" s="60" t="s">
        <v>1068</v>
      </c>
      <c r="R19" s="85">
        <v>46015</v>
      </c>
      <c r="S19" s="85" t="s">
        <v>0</v>
      </c>
      <c r="T19" s="61" t="s">
        <v>0</v>
      </c>
      <c r="U19" s="60" t="s">
        <v>0</v>
      </c>
      <c r="V19" s="58" t="s">
        <v>0</v>
      </c>
      <c r="W19" s="58" t="s">
        <v>0</v>
      </c>
      <c r="X19" s="58" t="s">
        <v>0</v>
      </c>
      <c r="Y19" s="58" t="s">
        <v>0</v>
      </c>
      <c r="Z19" s="54" t="s">
        <v>472</v>
      </c>
      <c r="AA19" s="54" t="s">
        <v>471</v>
      </c>
      <c r="AB19" s="58" t="s">
        <v>677</v>
      </c>
      <c r="AC19" s="58" t="s">
        <v>0</v>
      </c>
      <c r="AD19" s="58" t="s">
        <v>0</v>
      </c>
      <c r="AE19" s="58" t="s">
        <v>0</v>
      </c>
      <c r="AF19" s="73"/>
      <c r="AG19" s="58"/>
      <c r="AH19" s="58"/>
      <c r="AI19" s="1" t="s">
        <v>0</v>
      </c>
      <c r="AK19" s="1" t="s">
        <v>1255</v>
      </c>
    </row>
    <row r="20" spans="2:37">
      <c r="B20" s="68" t="s">
        <v>1067</v>
      </c>
      <c r="C20" s="68">
        <v>46020</v>
      </c>
      <c r="D20" s="68">
        <v>46030</v>
      </c>
      <c r="E20" s="68">
        <v>46036</v>
      </c>
      <c r="F20" s="59">
        <v>16</v>
      </c>
      <c r="G20" s="55" t="s">
        <v>1257</v>
      </c>
      <c r="H20" s="55" t="s">
        <v>1253</v>
      </c>
      <c r="I20" s="55" t="s">
        <v>460</v>
      </c>
      <c r="J20" s="60" t="s">
        <v>461</v>
      </c>
      <c r="K20" s="76" t="s">
        <v>678</v>
      </c>
      <c r="L20" s="60" t="s">
        <v>531</v>
      </c>
      <c r="M20" s="55" t="s">
        <v>624</v>
      </c>
      <c r="N20" s="49" t="s">
        <v>488</v>
      </c>
      <c r="O20" s="49" t="s">
        <v>489</v>
      </c>
      <c r="P20" s="60" t="s">
        <v>5</v>
      </c>
      <c r="Q20" s="60" t="s">
        <v>1067</v>
      </c>
      <c r="R20" s="85">
        <v>46017</v>
      </c>
      <c r="S20" s="85" t="s">
        <v>0</v>
      </c>
      <c r="T20" s="61" t="s">
        <v>0</v>
      </c>
      <c r="U20" s="60" t="s">
        <v>0</v>
      </c>
      <c r="V20" s="58" t="s">
        <v>0</v>
      </c>
      <c r="W20" s="58" t="s">
        <v>0</v>
      </c>
      <c r="X20" s="58" t="s">
        <v>0</v>
      </c>
      <c r="Y20" s="58" t="s">
        <v>0</v>
      </c>
      <c r="Z20" s="54" t="s">
        <v>463</v>
      </c>
      <c r="AA20" s="54" t="s">
        <v>472</v>
      </c>
      <c r="AB20" s="54" t="s">
        <v>470</v>
      </c>
      <c r="AC20" s="54" t="s">
        <v>485</v>
      </c>
      <c r="AD20" s="58" t="s">
        <v>0</v>
      </c>
      <c r="AE20" s="58" t="s">
        <v>0</v>
      </c>
      <c r="AF20" s="73"/>
      <c r="AG20" s="58"/>
      <c r="AH20" s="58"/>
      <c r="AI20" s="1" t="s">
        <v>0</v>
      </c>
      <c r="AK20" s="1" t="s">
        <v>1255</v>
      </c>
    </row>
    <row r="21" spans="2:37">
      <c r="B21" s="68" t="s">
        <v>1071</v>
      </c>
      <c r="C21" s="68">
        <v>46008</v>
      </c>
      <c r="D21" s="68">
        <v>46027</v>
      </c>
      <c r="E21" s="68">
        <v>46028</v>
      </c>
      <c r="F21" s="59">
        <v>20</v>
      </c>
      <c r="G21" s="55" t="s">
        <v>466</v>
      </c>
      <c r="H21" s="55" t="s">
        <v>1253</v>
      </c>
      <c r="I21" s="55" t="s">
        <v>460</v>
      </c>
      <c r="J21" s="60" t="s">
        <v>461</v>
      </c>
      <c r="K21" s="76" t="s">
        <v>679</v>
      </c>
      <c r="L21" s="60" t="s">
        <v>530</v>
      </c>
      <c r="M21" s="55" t="s">
        <v>624</v>
      </c>
      <c r="N21" s="49" t="s">
        <v>488</v>
      </c>
      <c r="O21" s="49" t="s">
        <v>489</v>
      </c>
      <c r="P21" s="60" t="s">
        <v>6</v>
      </c>
      <c r="Q21" s="60" t="s">
        <v>1071</v>
      </c>
      <c r="R21" s="85">
        <v>46007</v>
      </c>
      <c r="S21" s="85">
        <v>46030</v>
      </c>
      <c r="T21" s="61">
        <v>23</v>
      </c>
      <c r="U21" s="60">
        <v>23</v>
      </c>
      <c r="V21" s="58" t="s">
        <v>1254</v>
      </c>
      <c r="W21" s="58" t="s">
        <v>0</v>
      </c>
      <c r="X21" s="58" t="s">
        <v>0</v>
      </c>
      <c r="Y21" s="58" t="s">
        <v>0</v>
      </c>
      <c r="Z21" s="54" t="s">
        <v>471</v>
      </c>
      <c r="AA21" s="54" t="s">
        <v>483</v>
      </c>
      <c r="AB21" s="54" t="s">
        <v>464</v>
      </c>
      <c r="AC21" s="54" t="s">
        <v>485</v>
      </c>
      <c r="AD21" s="58" t="s">
        <v>0</v>
      </c>
      <c r="AE21" s="58" t="s">
        <v>0</v>
      </c>
      <c r="AF21" s="73"/>
      <c r="AG21" s="58"/>
      <c r="AH21" s="58"/>
      <c r="AI21" s="1">
        <v>2</v>
      </c>
      <c r="AJ21" s="1">
        <v>20</v>
      </c>
      <c r="AK21" s="1" t="s">
        <v>1255</v>
      </c>
    </row>
    <row r="22" spans="2:37">
      <c r="B22" s="68" t="s">
        <v>1260</v>
      </c>
      <c r="C22" s="68">
        <v>46000</v>
      </c>
      <c r="D22" s="68">
        <v>46002</v>
      </c>
      <c r="E22" s="68">
        <v>46006</v>
      </c>
      <c r="F22" s="59">
        <v>6</v>
      </c>
      <c r="G22" s="55" t="s">
        <v>1257</v>
      </c>
      <c r="H22" s="55" t="s">
        <v>1253</v>
      </c>
      <c r="I22" s="55" t="s">
        <v>460</v>
      </c>
      <c r="J22" s="60" t="s">
        <v>461</v>
      </c>
      <c r="K22" s="76" t="s">
        <v>680</v>
      </c>
      <c r="L22" s="60" t="s">
        <v>681</v>
      </c>
      <c r="M22" s="55" t="s">
        <v>624</v>
      </c>
      <c r="N22" s="49" t="s">
        <v>488</v>
      </c>
      <c r="O22" s="49" t="s">
        <v>489</v>
      </c>
      <c r="P22" s="60" t="s">
        <v>6</v>
      </c>
      <c r="Q22" s="60" t="s">
        <v>1054</v>
      </c>
      <c r="R22" s="85">
        <v>45999</v>
      </c>
      <c r="S22" s="85">
        <v>46009</v>
      </c>
      <c r="T22" s="61">
        <v>10</v>
      </c>
      <c r="U22" s="60">
        <v>10</v>
      </c>
      <c r="V22" s="58" t="s">
        <v>1254</v>
      </c>
      <c r="W22" s="58" t="s">
        <v>0</v>
      </c>
      <c r="X22" s="58" t="s">
        <v>0</v>
      </c>
      <c r="Y22" s="58" t="s">
        <v>0</v>
      </c>
      <c r="Z22" s="54" t="s">
        <v>476</v>
      </c>
      <c r="AA22" s="54" t="s">
        <v>471</v>
      </c>
      <c r="AB22" s="58" t="s">
        <v>0</v>
      </c>
      <c r="AC22" s="58" t="s">
        <v>0</v>
      </c>
      <c r="AD22" s="58" t="s">
        <v>0</v>
      </c>
      <c r="AE22" s="58" t="s">
        <v>0</v>
      </c>
      <c r="AF22" s="73"/>
      <c r="AG22" s="58"/>
      <c r="AH22" s="58"/>
      <c r="AI22" s="1">
        <v>3</v>
      </c>
      <c r="AJ22" s="1">
        <v>6</v>
      </c>
      <c r="AK22" s="1" t="s">
        <v>1255</v>
      </c>
    </row>
    <row r="23" spans="2:37">
      <c r="B23" s="68" t="s">
        <v>1256</v>
      </c>
      <c r="C23" s="68">
        <v>45996</v>
      </c>
      <c r="D23" s="68">
        <v>46002</v>
      </c>
      <c r="E23" s="68">
        <v>46006</v>
      </c>
      <c r="F23" s="59">
        <v>10</v>
      </c>
      <c r="G23" s="55" t="s">
        <v>1262</v>
      </c>
      <c r="H23" s="55" t="s">
        <v>1253</v>
      </c>
      <c r="I23" s="55" t="s">
        <v>462</v>
      </c>
      <c r="J23" s="60" t="s">
        <v>461</v>
      </c>
      <c r="K23" s="76" t="s">
        <v>682</v>
      </c>
      <c r="L23" s="60" t="s">
        <v>642</v>
      </c>
      <c r="M23" s="55" t="s">
        <v>624</v>
      </c>
      <c r="N23" s="49" t="s">
        <v>488</v>
      </c>
      <c r="O23" s="49" t="s">
        <v>489</v>
      </c>
      <c r="P23" s="60" t="s">
        <v>7</v>
      </c>
      <c r="Q23" s="60" t="s">
        <v>1050</v>
      </c>
      <c r="R23" s="85">
        <v>45995</v>
      </c>
      <c r="S23" s="85">
        <v>46009</v>
      </c>
      <c r="T23" s="61">
        <v>14</v>
      </c>
      <c r="U23" s="60">
        <v>14</v>
      </c>
      <c r="V23" s="58" t="s">
        <v>1254</v>
      </c>
      <c r="W23" s="58" t="s">
        <v>0</v>
      </c>
      <c r="X23" s="58" t="s">
        <v>0</v>
      </c>
      <c r="Y23" s="58" t="s">
        <v>0</v>
      </c>
      <c r="Z23" s="54" t="s">
        <v>471</v>
      </c>
      <c r="AA23" s="54" t="s">
        <v>464</v>
      </c>
      <c r="AB23" s="58" t="s">
        <v>0</v>
      </c>
      <c r="AC23" s="58" t="s">
        <v>0</v>
      </c>
      <c r="AD23" s="58" t="s">
        <v>0</v>
      </c>
      <c r="AE23" s="58" t="s">
        <v>0</v>
      </c>
      <c r="AF23" s="73"/>
      <c r="AG23" s="58"/>
      <c r="AH23" s="58"/>
      <c r="AI23" s="1">
        <v>3</v>
      </c>
      <c r="AJ23" s="1">
        <v>10</v>
      </c>
      <c r="AK23" s="1" t="s">
        <v>1255</v>
      </c>
    </row>
    <row r="24" spans="2:37">
      <c r="B24" s="68" t="s">
        <v>1264</v>
      </c>
      <c r="C24" s="68">
        <v>46001</v>
      </c>
      <c r="D24" s="68">
        <v>46002</v>
      </c>
      <c r="E24" s="68">
        <v>46006</v>
      </c>
      <c r="F24" s="59">
        <v>5</v>
      </c>
      <c r="G24" s="55" t="s">
        <v>1262</v>
      </c>
      <c r="H24" s="55" t="s">
        <v>1253</v>
      </c>
      <c r="I24" s="55" t="s">
        <v>462</v>
      </c>
      <c r="J24" s="60" t="s">
        <v>461</v>
      </c>
      <c r="K24" s="76" t="s">
        <v>683</v>
      </c>
      <c r="L24" s="60" t="s">
        <v>555</v>
      </c>
      <c r="M24" s="55" t="s">
        <v>624</v>
      </c>
      <c r="N24" s="49" t="s">
        <v>488</v>
      </c>
      <c r="O24" s="49" t="s">
        <v>489</v>
      </c>
      <c r="P24" s="60" t="s">
        <v>5</v>
      </c>
      <c r="Q24" s="60" t="s">
        <v>1053</v>
      </c>
      <c r="R24" s="85">
        <v>46001</v>
      </c>
      <c r="S24" s="85">
        <v>46009</v>
      </c>
      <c r="T24" s="61">
        <v>9</v>
      </c>
      <c r="U24" s="60">
        <v>8</v>
      </c>
      <c r="V24" s="58" t="s">
        <v>1254</v>
      </c>
      <c r="W24" s="58" t="s">
        <v>0</v>
      </c>
      <c r="X24" s="58" t="s">
        <v>0</v>
      </c>
      <c r="Y24" s="58" t="s">
        <v>0</v>
      </c>
      <c r="Z24" s="54" t="s">
        <v>507</v>
      </c>
      <c r="AA24" s="54" t="s">
        <v>508</v>
      </c>
      <c r="AB24" s="58" t="s">
        <v>0</v>
      </c>
      <c r="AC24" s="58" t="s">
        <v>0</v>
      </c>
      <c r="AD24" s="58" t="s">
        <v>0</v>
      </c>
      <c r="AE24" s="58" t="s">
        <v>0</v>
      </c>
      <c r="AF24" s="73"/>
      <c r="AG24" s="58"/>
      <c r="AH24" s="58"/>
      <c r="AI24" s="1">
        <v>3</v>
      </c>
      <c r="AJ24" s="1">
        <v>5</v>
      </c>
      <c r="AK24" s="1" t="s">
        <v>1255</v>
      </c>
    </row>
    <row r="25" spans="2:37">
      <c r="B25" s="68" t="s">
        <v>1013</v>
      </c>
      <c r="C25" s="68">
        <v>45992</v>
      </c>
      <c r="D25" s="68">
        <v>45993</v>
      </c>
      <c r="E25" s="68">
        <v>45994</v>
      </c>
      <c r="F25" s="59">
        <v>2</v>
      </c>
      <c r="G25" s="55" t="s">
        <v>1262</v>
      </c>
      <c r="H25" s="55" t="s">
        <v>1253</v>
      </c>
      <c r="I25" s="55" t="s">
        <v>462</v>
      </c>
      <c r="J25" s="60" t="s">
        <v>461</v>
      </c>
      <c r="K25" s="76" t="s">
        <v>684</v>
      </c>
      <c r="L25" s="60" t="s">
        <v>556</v>
      </c>
      <c r="M25" s="55" t="s">
        <v>624</v>
      </c>
      <c r="N25" s="49" t="s">
        <v>488</v>
      </c>
      <c r="O25" s="49" t="s">
        <v>489</v>
      </c>
      <c r="P25" s="60" t="s">
        <v>3</v>
      </c>
      <c r="Q25" s="60" t="s">
        <v>1013</v>
      </c>
      <c r="R25" s="85">
        <v>45992</v>
      </c>
      <c r="S25" s="85">
        <v>45995</v>
      </c>
      <c r="T25" s="61">
        <v>6</v>
      </c>
      <c r="U25" s="60">
        <v>3</v>
      </c>
      <c r="V25" s="58" t="s">
        <v>1254</v>
      </c>
      <c r="W25" s="58" t="s">
        <v>1046</v>
      </c>
      <c r="X25" s="58" t="s">
        <v>1066</v>
      </c>
      <c r="Y25" s="58" t="s">
        <v>1066</v>
      </c>
      <c r="Z25" s="54" t="s">
        <v>523</v>
      </c>
      <c r="AA25" s="54" t="s">
        <v>471</v>
      </c>
      <c r="AB25" s="54" t="s">
        <v>464</v>
      </c>
      <c r="AC25" s="54" t="s">
        <v>520</v>
      </c>
      <c r="AD25" s="58" t="s">
        <v>0</v>
      </c>
      <c r="AE25" s="58" t="s">
        <v>0</v>
      </c>
      <c r="AF25" s="73"/>
      <c r="AG25" s="58"/>
      <c r="AH25" s="58"/>
      <c r="AI25" s="1">
        <v>1</v>
      </c>
      <c r="AJ25" s="1">
        <v>2</v>
      </c>
      <c r="AK25" s="1" t="s">
        <v>1255</v>
      </c>
    </row>
    <row r="26" spans="2:37">
      <c r="B26" s="68" t="s">
        <v>988</v>
      </c>
      <c r="C26" s="68">
        <v>45978</v>
      </c>
      <c r="D26" s="68">
        <v>45978</v>
      </c>
      <c r="E26" s="68">
        <v>45979</v>
      </c>
      <c r="F26" s="59">
        <v>1</v>
      </c>
      <c r="G26" s="55" t="s">
        <v>1257</v>
      </c>
      <c r="H26" s="55" t="s">
        <v>1253</v>
      </c>
      <c r="I26" s="55" t="s">
        <v>460</v>
      </c>
      <c r="J26" s="60" t="s">
        <v>461</v>
      </c>
      <c r="K26" s="76" t="s">
        <v>685</v>
      </c>
      <c r="L26" s="60" t="s">
        <v>554</v>
      </c>
      <c r="M26" s="55" t="s">
        <v>624</v>
      </c>
      <c r="N26" s="49" t="s">
        <v>488</v>
      </c>
      <c r="O26" s="49" t="s">
        <v>489</v>
      </c>
      <c r="P26" s="60" t="s">
        <v>7</v>
      </c>
      <c r="Q26" s="60" t="s">
        <v>988</v>
      </c>
      <c r="R26" s="85">
        <v>45993</v>
      </c>
      <c r="S26" s="85">
        <v>45979</v>
      </c>
      <c r="T26" s="61">
        <v>5</v>
      </c>
      <c r="U26" s="60">
        <v>-14</v>
      </c>
      <c r="V26" s="58" t="s">
        <v>1254</v>
      </c>
      <c r="W26" s="58" t="s">
        <v>0</v>
      </c>
      <c r="X26" s="58" t="s">
        <v>0</v>
      </c>
      <c r="Y26" s="58" t="s">
        <v>0</v>
      </c>
      <c r="Z26" s="54" t="s">
        <v>471</v>
      </c>
      <c r="AA26" s="54" t="s">
        <v>464</v>
      </c>
      <c r="AB26" s="54" t="s">
        <v>487</v>
      </c>
      <c r="AC26" s="54" t="s">
        <v>520</v>
      </c>
      <c r="AD26" s="58" t="s">
        <v>0</v>
      </c>
      <c r="AE26" s="58" t="s">
        <v>0</v>
      </c>
      <c r="AF26" s="73"/>
      <c r="AG26" s="58"/>
      <c r="AH26" s="58"/>
      <c r="AI26" s="1">
        <v>0</v>
      </c>
      <c r="AJ26" s="1">
        <v>1</v>
      </c>
      <c r="AK26" s="1" t="s">
        <v>1255</v>
      </c>
    </row>
    <row r="27" spans="2:37">
      <c r="B27" s="68" t="s">
        <v>1258</v>
      </c>
      <c r="C27" s="68">
        <v>45995</v>
      </c>
      <c r="D27" s="68">
        <v>45995</v>
      </c>
      <c r="E27" s="68">
        <v>45996</v>
      </c>
      <c r="F27" s="59">
        <v>1</v>
      </c>
      <c r="G27" s="55" t="s">
        <v>1262</v>
      </c>
      <c r="H27" s="55" t="s">
        <v>1253</v>
      </c>
      <c r="I27" s="55" t="s">
        <v>460</v>
      </c>
      <c r="J27" s="60" t="s">
        <v>461</v>
      </c>
      <c r="K27" s="76" t="s">
        <v>686</v>
      </c>
      <c r="L27" s="60" t="s">
        <v>532</v>
      </c>
      <c r="M27" s="55" t="s">
        <v>624</v>
      </c>
      <c r="N27" s="49" t="s">
        <v>488</v>
      </c>
      <c r="O27" s="49" t="s">
        <v>489</v>
      </c>
      <c r="P27" s="60" t="s">
        <v>7</v>
      </c>
      <c r="Q27" s="60" t="s">
        <v>1010</v>
      </c>
      <c r="R27" s="85">
        <v>46008</v>
      </c>
      <c r="S27" s="85">
        <v>46000</v>
      </c>
      <c r="T27" s="61">
        <v>6</v>
      </c>
      <c r="U27" s="60">
        <v>-8</v>
      </c>
      <c r="V27" s="58" t="s">
        <v>1254</v>
      </c>
      <c r="W27" s="58" t="s">
        <v>1066</v>
      </c>
      <c r="X27" s="58" t="s">
        <v>1218</v>
      </c>
      <c r="Y27" s="58" t="s">
        <v>1219</v>
      </c>
      <c r="Z27" s="54" t="s">
        <v>471</v>
      </c>
      <c r="AA27" s="54" t="s">
        <v>464</v>
      </c>
      <c r="AB27" s="54" t="s">
        <v>520</v>
      </c>
      <c r="AC27" s="54" t="s">
        <v>485</v>
      </c>
      <c r="AD27" s="58" t="s">
        <v>0</v>
      </c>
      <c r="AE27" s="58" t="s">
        <v>0</v>
      </c>
      <c r="AF27" s="73"/>
      <c r="AG27" s="58"/>
      <c r="AH27" s="58"/>
      <c r="AI27" s="58">
        <v>4</v>
      </c>
      <c r="AJ27" s="58">
        <v>1</v>
      </c>
      <c r="AK27" s="1" t="s">
        <v>1255</v>
      </c>
    </row>
    <row r="28" spans="2:37">
      <c r="B28" s="68" t="s">
        <v>1265</v>
      </c>
      <c r="C28" s="68">
        <v>45966</v>
      </c>
      <c r="D28" s="68">
        <v>45966</v>
      </c>
      <c r="E28" s="68">
        <v>45968</v>
      </c>
      <c r="F28" s="59">
        <v>2</v>
      </c>
      <c r="G28" s="55" t="s">
        <v>1262</v>
      </c>
      <c r="H28" s="55" t="s">
        <v>1253</v>
      </c>
      <c r="I28" s="55" t="s">
        <v>460</v>
      </c>
      <c r="J28" s="55" t="s">
        <v>461</v>
      </c>
      <c r="K28" s="76" t="s">
        <v>687</v>
      </c>
      <c r="L28" s="60" t="s">
        <v>582</v>
      </c>
      <c r="M28" s="55" t="s">
        <v>624</v>
      </c>
      <c r="N28" s="49" t="s">
        <v>488</v>
      </c>
      <c r="O28" s="50" t="s">
        <v>490</v>
      </c>
      <c r="P28" s="60" t="s">
        <v>7</v>
      </c>
      <c r="Q28" s="60" t="s">
        <v>982</v>
      </c>
      <c r="R28" s="85">
        <v>46024</v>
      </c>
      <c r="S28" s="85">
        <v>45968</v>
      </c>
      <c r="T28" s="61">
        <v>3</v>
      </c>
      <c r="U28" s="60">
        <v>-56</v>
      </c>
      <c r="V28" s="58" t="s">
        <v>1254</v>
      </c>
      <c r="W28" s="58" t="s">
        <v>1046</v>
      </c>
      <c r="X28" s="58" t="s">
        <v>1066</v>
      </c>
      <c r="Y28" s="58" t="s">
        <v>1066</v>
      </c>
      <c r="Z28" s="58" t="s">
        <v>472</v>
      </c>
      <c r="AA28" s="54" t="s">
        <v>484</v>
      </c>
      <c r="AB28" s="54" t="s">
        <v>464</v>
      </c>
      <c r="AC28" s="58" t="s">
        <v>0</v>
      </c>
      <c r="AD28" s="58" t="s">
        <v>0</v>
      </c>
      <c r="AE28" s="58" t="s">
        <v>0</v>
      </c>
      <c r="AF28" s="73"/>
      <c r="AG28" s="58"/>
      <c r="AH28" s="58"/>
      <c r="AI28" s="1">
        <v>0</v>
      </c>
      <c r="AJ28" s="1">
        <v>2</v>
      </c>
      <c r="AK28" s="1" t="s">
        <v>1255</v>
      </c>
    </row>
    <row r="29" spans="2:37">
      <c r="B29" s="68" t="s">
        <v>988</v>
      </c>
      <c r="C29" s="68">
        <v>45978</v>
      </c>
      <c r="D29" s="68">
        <v>45978</v>
      </c>
      <c r="E29" s="68">
        <v>45979</v>
      </c>
      <c r="F29" s="59">
        <v>1</v>
      </c>
      <c r="G29" s="55" t="s">
        <v>1257</v>
      </c>
      <c r="H29" s="55" t="s">
        <v>1253</v>
      </c>
      <c r="I29" s="55" t="s">
        <v>460</v>
      </c>
      <c r="J29" s="60" t="s">
        <v>461</v>
      </c>
      <c r="K29" s="76" t="s">
        <v>688</v>
      </c>
      <c r="L29" s="60" t="s">
        <v>566</v>
      </c>
      <c r="M29" s="55" t="s">
        <v>624</v>
      </c>
      <c r="N29" s="49" t="s">
        <v>488</v>
      </c>
      <c r="O29" s="49" t="s">
        <v>489</v>
      </c>
      <c r="P29" s="60" t="s">
        <v>5</v>
      </c>
      <c r="Q29" s="60" t="s">
        <v>988</v>
      </c>
      <c r="R29" s="85">
        <v>46010</v>
      </c>
      <c r="S29" s="85">
        <v>45979</v>
      </c>
      <c r="T29" s="61">
        <v>5</v>
      </c>
      <c r="U29" s="60">
        <v>-31</v>
      </c>
      <c r="V29" s="58" t="s">
        <v>1254</v>
      </c>
      <c r="W29" s="58" t="s">
        <v>0</v>
      </c>
      <c r="X29" s="58" t="s">
        <v>0</v>
      </c>
      <c r="Y29" s="58" t="s">
        <v>0</v>
      </c>
      <c r="Z29" s="54" t="s">
        <v>471</v>
      </c>
      <c r="AA29" s="54" t="s">
        <v>464</v>
      </c>
      <c r="AB29" s="54" t="s">
        <v>520</v>
      </c>
      <c r="AC29" s="58" t="s">
        <v>0</v>
      </c>
      <c r="AD29" s="58" t="s">
        <v>0</v>
      </c>
      <c r="AE29" s="58" t="s">
        <v>0</v>
      </c>
      <c r="AF29" s="73"/>
      <c r="AG29" s="58"/>
      <c r="AH29" s="58"/>
      <c r="AI29" s="1">
        <v>0</v>
      </c>
      <c r="AJ29" s="1">
        <v>1</v>
      </c>
      <c r="AK29" s="1" t="s">
        <v>1255</v>
      </c>
    </row>
    <row r="30" spans="2:37">
      <c r="B30" s="68" t="s">
        <v>1258</v>
      </c>
      <c r="C30" s="68">
        <v>45995</v>
      </c>
      <c r="D30" s="68">
        <v>45996</v>
      </c>
      <c r="E30" s="68">
        <v>46000</v>
      </c>
      <c r="F30" s="59">
        <v>5</v>
      </c>
      <c r="G30" s="55" t="s">
        <v>1262</v>
      </c>
      <c r="H30" s="55" t="s">
        <v>1253</v>
      </c>
      <c r="I30" s="55" t="s">
        <v>460</v>
      </c>
      <c r="J30" s="60" t="s">
        <v>461</v>
      </c>
      <c r="K30" s="76" t="s">
        <v>689</v>
      </c>
      <c r="L30" s="60" t="s">
        <v>690</v>
      </c>
      <c r="M30" s="55" t="s">
        <v>624</v>
      </c>
      <c r="N30" s="49" t="s">
        <v>488</v>
      </c>
      <c r="O30" s="49" t="s">
        <v>489</v>
      </c>
      <c r="P30" s="60" t="s">
        <v>5</v>
      </c>
      <c r="Q30" s="60" t="s">
        <v>1010</v>
      </c>
      <c r="R30" s="85">
        <v>46009</v>
      </c>
      <c r="S30" s="85">
        <v>46001</v>
      </c>
      <c r="T30" s="61">
        <v>7</v>
      </c>
      <c r="U30" s="60">
        <v>-8</v>
      </c>
      <c r="V30" s="58" t="s">
        <v>1254</v>
      </c>
      <c r="W30" s="58" t="s">
        <v>0</v>
      </c>
      <c r="X30" s="58" t="s">
        <v>0</v>
      </c>
      <c r="Y30" s="58" t="s">
        <v>0</v>
      </c>
      <c r="Z30" s="54" t="s">
        <v>464</v>
      </c>
      <c r="AA30" s="54" t="s">
        <v>485</v>
      </c>
      <c r="AB30" s="58" t="s">
        <v>0</v>
      </c>
      <c r="AC30" s="58" t="s">
        <v>0</v>
      </c>
      <c r="AD30" s="58" t="s">
        <v>0</v>
      </c>
      <c r="AE30" s="58" t="s">
        <v>0</v>
      </c>
      <c r="AF30" s="73"/>
      <c r="AG30" s="58"/>
      <c r="AH30" s="58"/>
      <c r="AI30" s="58">
        <v>1</v>
      </c>
      <c r="AJ30" s="58">
        <v>5</v>
      </c>
      <c r="AK30" s="1" t="s">
        <v>1255</v>
      </c>
    </row>
    <row r="31" spans="2:37">
      <c r="B31" s="68" t="s">
        <v>0</v>
      </c>
      <c r="C31" s="68" t="s">
        <v>0</v>
      </c>
      <c r="D31" s="68" t="s">
        <v>0</v>
      </c>
      <c r="E31" s="68" t="s">
        <v>0</v>
      </c>
      <c r="F31" s="59" t="s">
        <v>0</v>
      </c>
      <c r="G31" s="55" t="s">
        <v>1262</v>
      </c>
      <c r="H31" s="55" t="s">
        <v>1253</v>
      </c>
      <c r="I31" s="55" t="s">
        <v>460</v>
      </c>
      <c r="J31" s="60" t="s">
        <v>461</v>
      </c>
      <c r="K31" s="76" t="s">
        <v>691</v>
      </c>
      <c r="L31" s="60" t="s">
        <v>620</v>
      </c>
      <c r="M31" s="55" t="s">
        <v>0</v>
      </c>
      <c r="N31" s="2"/>
      <c r="O31" s="58"/>
      <c r="P31" s="60" t="s">
        <v>379</v>
      </c>
      <c r="Q31" s="60" t="s">
        <v>522</v>
      </c>
      <c r="R31" s="85" t="s">
        <v>0</v>
      </c>
      <c r="S31" s="85" t="s">
        <v>0</v>
      </c>
      <c r="T31" s="61" t="s">
        <v>0</v>
      </c>
      <c r="U31" s="60" t="s">
        <v>0</v>
      </c>
      <c r="V31" s="58" t="s">
        <v>0</v>
      </c>
      <c r="W31" s="58" t="s">
        <v>0</v>
      </c>
      <c r="X31" s="58" t="s">
        <v>0</v>
      </c>
      <c r="Y31" s="58" t="s">
        <v>0</v>
      </c>
      <c r="Z31" s="58" t="s">
        <v>472</v>
      </c>
      <c r="AA31" s="58" t="s">
        <v>0</v>
      </c>
      <c r="AB31" s="58" t="s">
        <v>0</v>
      </c>
      <c r="AC31" s="58" t="s">
        <v>0</v>
      </c>
      <c r="AD31" s="58" t="s">
        <v>0</v>
      </c>
      <c r="AE31" s="58" t="s">
        <v>0</v>
      </c>
      <c r="AF31" s="73"/>
      <c r="AG31" s="58"/>
      <c r="AH31" s="58"/>
      <c r="AI31" s="1" t="s">
        <v>0</v>
      </c>
      <c r="AJ31" s="1" t="s">
        <v>0</v>
      </c>
      <c r="AK31" s="1" t="s">
        <v>1255</v>
      </c>
    </row>
    <row r="32" spans="2:37">
      <c r="B32" s="68" t="s">
        <v>1068</v>
      </c>
      <c r="C32" s="68">
        <v>46017</v>
      </c>
      <c r="D32" s="68">
        <v>46038</v>
      </c>
      <c r="E32" s="68">
        <v>46038</v>
      </c>
      <c r="F32" s="59">
        <v>21</v>
      </c>
      <c r="G32" s="55" t="s">
        <v>1252</v>
      </c>
      <c r="H32" s="55" t="s">
        <v>1266</v>
      </c>
      <c r="I32" s="55" t="s">
        <v>462</v>
      </c>
      <c r="J32" s="60" t="s">
        <v>461</v>
      </c>
      <c r="K32" s="76" t="s">
        <v>692</v>
      </c>
      <c r="L32" s="60" t="s">
        <v>693</v>
      </c>
      <c r="M32" s="55" t="s">
        <v>624</v>
      </c>
      <c r="N32" s="49" t="s">
        <v>488</v>
      </c>
      <c r="O32" s="49" t="s">
        <v>489</v>
      </c>
      <c r="P32" s="60" t="s">
        <v>3</v>
      </c>
      <c r="Q32" s="60" t="s">
        <v>1068</v>
      </c>
      <c r="R32" s="85">
        <v>46027</v>
      </c>
      <c r="S32" s="85" t="s">
        <v>0</v>
      </c>
      <c r="T32" s="61" t="s">
        <v>0</v>
      </c>
      <c r="U32" s="60" t="s">
        <v>0</v>
      </c>
      <c r="V32" s="58" t="s">
        <v>0</v>
      </c>
      <c r="W32" s="58" t="s">
        <v>0</v>
      </c>
      <c r="X32" s="58" t="s">
        <v>0</v>
      </c>
      <c r="Y32" s="58" t="s">
        <v>0</v>
      </c>
      <c r="Z32" s="54" t="s">
        <v>480</v>
      </c>
      <c r="AA32" s="54" t="s">
        <v>525</v>
      </c>
      <c r="AB32" s="58" t="s">
        <v>0</v>
      </c>
      <c r="AC32" s="58" t="s">
        <v>0</v>
      </c>
      <c r="AD32" s="58" t="s">
        <v>0</v>
      </c>
      <c r="AE32" s="58" t="s">
        <v>0</v>
      </c>
      <c r="AF32" s="73"/>
      <c r="AG32" s="58"/>
      <c r="AH32" s="58"/>
      <c r="AI32" s="1" t="s">
        <v>0</v>
      </c>
      <c r="AK32" s="1" t="s">
        <v>1255</v>
      </c>
    </row>
    <row r="33" spans="2:37">
      <c r="B33" s="68" t="s">
        <v>1009</v>
      </c>
      <c r="C33" s="68">
        <v>45989</v>
      </c>
      <c r="D33" s="68">
        <v>45989</v>
      </c>
      <c r="E33" s="68">
        <v>45992</v>
      </c>
      <c r="F33" s="59">
        <v>3</v>
      </c>
      <c r="G33" s="55" t="s">
        <v>1252</v>
      </c>
      <c r="H33" s="55" t="s">
        <v>1266</v>
      </c>
      <c r="I33" s="55" t="s">
        <v>462</v>
      </c>
      <c r="J33" s="60" t="s">
        <v>461</v>
      </c>
      <c r="K33" s="76" t="s">
        <v>694</v>
      </c>
      <c r="L33" s="60" t="s">
        <v>695</v>
      </c>
      <c r="M33" s="55" t="s">
        <v>624</v>
      </c>
      <c r="N33" s="49" t="s">
        <v>488</v>
      </c>
      <c r="O33" s="49" t="s">
        <v>489</v>
      </c>
      <c r="P33" s="60" t="s">
        <v>3</v>
      </c>
      <c r="Q33" s="60" t="s">
        <v>1009</v>
      </c>
      <c r="R33" s="85">
        <v>45999</v>
      </c>
      <c r="S33" s="85">
        <v>45993</v>
      </c>
      <c r="T33" s="61">
        <v>5</v>
      </c>
      <c r="U33" s="60">
        <v>-6</v>
      </c>
      <c r="V33" s="58" t="s">
        <v>1254</v>
      </c>
      <c r="W33" s="58" t="s">
        <v>0</v>
      </c>
      <c r="X33" s="58" t="s">
        <v>0</v>
      </c>
      <c r="Y33" s="58" t="s">
        <v>0</v>
      </c>
      <c r="Z33" s="54" t="s">
        <v>474</v>
      </c>
      <c r="AA33" s="54" t="s">
        <v>471</v>
      </c>
      <c r="AB33" s="54" t="s">
        <v>464</v>
      </c>
      <c r="AC33" s="58" t="s">
        <v>0</v>
      </c>
      <c r="AD33" s="58" t="s">
        <v>0</v>
      </c>
      <c r="AE33" s="58" t="s">
        <v>0</v>
      </c>
      <c r="AF33" s="73"/>
      <c r="AG33" s="58"/>
      <c r="AH33" s="58"/>
      <c r="AI33" s="1">
        <v>1</v>
      </c>
      <c r="AJ33" s="1">
        <v>3</v>
      </c>
      <c r="AK33" s="1" t="s">
        <v>1255</v>
      </c>
    </row>
    <row r="34" spans="2:37">
      <c r="B34" s="68" t="s">
        <v>1068</v>
      </c>
      <c r="C34" s="68">
        <v>46017</v>
      </c>
      <c r="D34" s="68">
        <v>46038</v>
      </c>
      <c r="E34" s="68">
        <v>46038</v>
      </c>
      <c r="F34" s="59">
        <v>21</v>
      </c>
      <c r="G34" s="55" t="s">
        <v>1252</v>
      </c>
      <c r="H34" s="55" t="s">
        <v>1266</v>
      </c>
      <c r="I34" s="55" t="s">
        <v>1267</v>
      </c>
      <c r="J34" s="60" t="s">
        <v>461</v>
      </c>
      <c r="K34" s="76" t="s">
        <v>696</v>
      </c>
      <c r="L34" s="60" t="s">
        <v>697</v>
      </c>
      <c r="M34" s="55" t="s">
        <v>624</v>
      </c>
      <c r="N34" s="49" t="s">
        <v>488</v>
      </c>
      <c r="O34" s="49" t="s">
        <v>489</v>
      </c>
      <c r="P34" s="60" t="s">
        <v>3</v>
      </c>
      <c r="Q34" s="60" t="s">
        <v>1068</v>
      </c>
      <c r="R34" s="85">
        <v>46027</v>
      </c>
      <c r="S34" s="85" t="s">
        <v>0</v>
      </c>
      <c r="T34" s="61" t="s">
        <v>0</v>
      </c>
      <c r="U34" s="60" t="s">
        <v>0</v>
      </c>
      <c r="V34" s="58" t="s">
        <v>0</v>
      </c>
      <c r="W34" s="58" t="s">
        <v>0</v>
      </c>
      <c r="X34" s="58" t="s">
        <v>0</v>
      </c>
      <c r="Y34" s="58" t="s">
        <v>0</v>
      </c>
      <c r="Z34" s="54" t="s">
        <v>479</v>
      </c>
      <c r="AA34" s="54" t="s">
        <v>480</v>
      </c>
      <c r="AB34" s="58" t="s">
        <v>0</v>
      </c>
      <c r="AC34" s="58" t="s">
        <v>0</v>
      </c>
      <c r="AD34" s="58" t="s">
        <v>0</v>
      </c>
      <c r="AE34" s="58" t="s">
        <v>0</v>
      </c>
      <c r="AF34" s="73"/>
      <c r="AG34" s="58"/>
      <c r="AH34" s="58"/>
      <c r="AI34" s="1" t="s">
        <v>0</v>
      </c>
      <c r="AK34" s="1" t="s">
        <v>1255</v>
      </c>
    </row>
    <row r="35" spans="2:37">
      <c r="B35" s="68" t="s">
        <v>1013</v>
      </c>
      <c r="C35" s="68">
        <v>45992</v>
      </c>
      <c r="D35" s="68">
        <v>45993</v>
      </c>
      <c r="E35" s="68">
        <v>45995</v>
      </c>
      <c r="F35" s="59">
        <v>3</v>
      </c>
      <c r="G35" s="55" t="s">
        <v>1252</v>
      </c>
      <c r="H35" s="55" t="s">
        <v>1266</v>
      </c>
      <c r="I35" s="55" t="s">
        <v>1267</v>
      </c>
      <c r="J35" s="60" t="s">
        <v>461</v>
      </c>
      <c r="K35" s="76" t="s">
        <v>698</v>
      </c>
      <c r="L35" s="60" t="s">
        <v>699</v>
      </c>
      <c r="M35" s="55" t="s">
        <v>624</v>
      </c>
      <c r="N35" s="49" t="s">
        <v>488</v>
      </c>
      <c r="O35" s="49" t="s">
        <v>489</v>
      </c>
      <c r="P35" s="60" t="s">
        <v>3</v>
      </c>
      <c r="Q35" s="60" t="s">
        <v>1013</v>
      </c>
      <c r="R35" s="85" t="s">
        <v>0</v>
      </c>
      <c r="S35" s="85">
        <v>45996</v>
      </c>
      <c r="T35" s="61">
        <v>7</v>
      </c>
      <c r="U35" s="60" t="s">
        <v>0</v>
      </c>
      <c r="V35" s="58" t="s">
        <v>1254</v>
      </c>
      <c r="W35" s="58" t="s">
        <v>0</v>
      </c>
      <c r="X35" s="58" t="s">
        <v>0</v>
      </c>
      <c r="Y35" s="58" t="s">
        <v>0</v>
      </c>
      <c r="Z35" s="54" t="s">
        <v>523</v>
      </c>
      <c r="AA35" s="54" t="s">
        <v>483</v>
      </c>
      <c r="AB35" s="54" t="s">
        <v>473</v>
      </c>
      <c r="AC35" s="58" t="s">
        <v>0</v>
      </c>
      <c r="AD35" s="58" t="s">
        <v>0</v>
      </c>
      <c r="AE35" s="58" t="s">
        <v>0</v>
      </c>
      <c r="AF35" s="73"/>
      <c r="AG35" s="58"/>
      <c r="AH35" s="58"/>
      <c r="AI35" s="1">
        <v>1</v>
      </c>
      <c r="AJ35" s="1">
        <v>3</v>
      </c>
      <c r="AK35" s="1" t="s">
        <v>1255</v>
      </c>
    </row>
    <row r="36" spans="2:37">
      <c r="B36" s="68" t="s">
        <v>1268</v>
      </c>
      <c r="C36" s="68">
        <v>46038</v>
      </c>
      <c r="D36" s="68">
        <v>46049</v>
      </c>
      <c r="E36" s="68">
        <v>46049</v>
      </c>
      <c r="F36" s="59">
        <v>11</v>
      </c>
      <c r="G36" s="55" t="s">
        <v>1252</v>
      </c>
      <c r="H36" s="55" t="s">
        <v>1266</v>
      </c>
      <c r="I36" s="55" t="s">
        <v>1269</v>
      </c>
      <c r="J36" s="60" t="s">
        <v>461</v>
      </c>
      <c r="K36" s="76" t="s">
        <v>700</v>
      </c>
      <c r="L36" s="60" t="s">
        <v>584</v>
      </c>
      <c r="M36" s="55" t="s">
        <v>624</v>
      </c>
      <c r="N36" s="49" t="s">
        <v>488</v>
      </c>
      <c r="O36" s="49" t="s">
        <v>489</v>
      </c>
      <c r="P36" s="60" t="s">
        <v>4</v>
      </c>
      <c r="Q36" s="60" t="s">
        <v>1248</v>
      </c>
      <c r="R36" s="85" t="s">
        <v>0</v>
      </c>
      <c r="S36" s="85" t="s">
        <v>0</v>
      </c>
      <c r="T36" s="61" t="s">
        <v>0</v>
      </c>
      <c r="U36" s="60" t="s">
        <v>0</v>
      </c>
      <c r="V36" s="58" t="s">
        <v>0</v>
      </c>
      <c r="W36" s="58" t="s">
        <v>0</v>
      </c>
      <c r="X36" s="58" t="s">
        <v>0</v>
      </c>
      <c r="Y36" s="58" t="s">
        <v>0</v>
      </c>
      <c r="Z36" s="54" t="s">
        <v>471</v>
      </c>
      <c r="AA36" s="54" t="s">
        <v>475</v>
      </c>
      <c r="AB36" s="54" t="s">
        <v>677</v>
      </c>
      <c r="AC36" s="58" t="s">
        <v>0</v>
      </c>
      <c r="AD36" s="58" t="s">
        <v>0</v>
      </c>
      <c r="AE36" s="58" t="s">
        <v>0</v>
      </c>
      <c r="AF36" s="73"/>
      <c r="AG36" s="58"/>
      <c r="AH36" s="58"/>
      <c r="AI36" s="1" t="s">
        <v>0</v>
      </c>
      <c r="AJ36" s="1">
        <v>11</v>
      </c>
      <c r="AK36" s="1" t="s">
        <v>1255</v>
      </c>
    </row>
    <row r="37" spans="2:37">
      <c r="B37" s="68" t="s">
        <v>1268</v>
      </c>
      <c r="C37" s="68">
        <v>46038</v>
      </c>
      <c r="D37" s="68">
        <v>46049</v>
      </c>
      <c r="E37" s="68">
        <v>46049</v>
      </c>
      <c r="F37" s="59">
        <v>11</v>
      </c>
      <c r="G37" s="55" t="s">
        <v>1252</v>
      </c>
      <c r="H37" s="55" t="s">
        <v>1266</v>
      </c>
      <c r="I37" s="55" t="s">
        <v>1269</v>
      </c>
      <c r="J37" s="60" t="s">
        <v>461</v>
      </c>
      <c r="K37" s="76" t="s">
        <v>701</v>
      </c>
      <c r="L37" s="60" t="s">
        <v>585</v>
      </c>
      <c r="M37" s="55" t="s">
        <v>624</v>
      </c>
      <c r="N37" s="49" t="s">
        <v>488</v>
      </c>
      <c r="O37" s="49" t="s">
        <v>489</v>
      </c>
      <c r="P37" s="60" t="s">
        <v>4</v>
      </c>
      <c r="Q37" s="60" t="s">
        <v>1248</v>
      </c>
      <c r="R37" s="85" t="s">
        <v>0</v>
      </c>
      <c r="S37" s="85" t="s">
        <v>0</v>
      </c>
      <c r="T37" s="61" t="s">
        <v>0</v>
      </c>
      <c r="U37" s="60" t="s">
        <v>0</v>
      </c>
      <c r="V37" s="58" t="s">
        <v>0</v>
      </c>
      <c r="W37" s="58" t="s">
        <v>0</v>
      </c>
      <c r="X37" s="58" t="s">
        <v>0</v>
      </c>
      <c r="Y37" s="58" t="s">
        <v>0</v>
      </c>
      <c r="Z37" s="54" t="s">
        <v>472</v>
      </c>
      <c r="AA37" s="54" t="s">
        <v>471</v>
      </c>
      <c r="AB37" s="58" t="s">
        <v>0</v>
      </c>
      <c r="AC37" s="58" t="s">
        <v>0</v>
      </c>
      <c r="AD37" s="58" t="s">
        <v>0</v>
      </c>
      <c r="AE37" s="58" t="s">
        <v>0</v>
      </c>
      <c r="AF37" s="73"/>
      <c r="AG37" s="58"/>
      <c r="AH37" s="58"/>
      <c r="AI37" s="1" t="s">
        <v>0</v>
      </c>
      <c r="AJ37" s="1">
        <v>11</v>
      </c>
      <c r="AK37" s="1" t="s">
        <v>1255</v>
      </c>
    </row>
    <row r="38" spans="2:37">
      <c r="B38" s="68" t="s">
        <v>1270</v>
      </c>
      <c r="C38" s="68">
        <v>46028</v>
      </c>
      <c r="D38" s="68">
        <v>46037</v>
      </c>
      <c r="E38" s="68">
        <v>46038</v>
      </c>
      <c r="F38" s="59">
        <v>10</v>
      </c>
      <c r="G38" s="55" t="s">
        <v>1252</v>
      </c>
      <c r="H38" s="55" t="s">
        <v>1266</v>
      </c>
      <c r="I38" s="55" t="s">
        <v>462</v>
      </c>
      <c r="J38" s="60" t="s">
        <v>461</v>
      </c>
      <c r="K38" s="76" t="s">
        <v>702</v>
      </c>
      <c r="L38" s="60" t="s">
        <v>703</v>
      </c>
      <c r="M38" s="55" t="s">
        <v>624</v>
      </c>
      <c r="N38" s="49" t="s">
        <v>488</v>
      </c>
      <c r="O38" s="49" t="s">
        <v>489</v>
      </c>
      <c r="P38" s="60" t="s">
        <v>2</v>
      </c>
      <c r="Q38" s="60" t="s">
        <v>1228</v>
      </c>
      <c r="R38" s="85">
        <v>46028</v>
      </c>
      <c r="S38" s="85" t="s">
        <v>0</v>
      </c>
      <c r="T38" s="61" t="s">
        <v>0</v>
      </c>
      <c r="U38" s="60" t="s">
        <v>0</v>
      </c>
      <c r="V38" s="58" t="s">
        <v>0</v>
      </c>
      <c r="W38" s="58" t="s">
        <v>0</v>
      </c>
      <c r="X38" s="58" t="s">
        <v>0</v>
      </c>
      <c r="Y38" s="58" t="s">
        <v>0</v>
      </c>
      <c r="Z38" s="54" t="s">
        <v>479</v>
      </c>
      <c r="AA38" s="54" t="s">
        <v>480</v>
      </c>
      <c r="AB38" s="58" t="s">
        <v>0</v>
      </c>
      <c r="AC38" s="58" t="s">
        <v>0</v>
      </c>
      <c r="AD38" s="58" t="s">
        <v>0</v>
      </c>
      <c r="AE38" s="58" t="s">
        <v>0</v>
      </c>
      <c r="AF38" s="73"/>
      <c r="AG38" s="58"/>
      <c r="AH38" s="58"/>
      <c r="AI38" s="1" t="s">
        <v>0</v>
      </c>
      <c r="AK38" s="1" t="s">
        <v>1255</v>
      </c>
    </row>
    <row r="39" spans="2:37">
      <c r="B39" s="68" t="s">
        <v>1270</v>
      </c>
      <c r="C39" s="68">
        <v>46028</v>
      </c>
      <c r="D39" s="68">
        <v>46048</v>
      </c>
      <c r="E39" s="68">
        <v>46048</v>
      </c>
      <c r="F39" s="59">
        <v>20</v>
      </c>
      <c r="G39" s="55" t="s">
        <v>1252</v>
      </c>
      <c r="H39" s="55" t="s">
        <v>1266</v>
      </c>
      <c r="I39" s="55" t="s">
        <v>462</v>
      </c>
      <c r="J39" s="60" t="s">
        <v>461</v>
      </c>
      <c r="K39" s="76" t="s">
        <v>704</v>
      </c>
      <c r="L39" s="60" t="s">
        <v>644</v>
      </c>
      <c r="M39" s="55" t="s">
        <v>624</v>
      </c>
      <c r="N39" s="49" t="s">
        <v>488</v>
      </c>
      <c r="O39" s="49" t="s">
        <v>489</v>
      </c>
      <c r="P39" s="60" t="s">
        <v>2</v>
      </c>
      <c r="Q39" s="60" t="s">
        <v>1228</v>
      </c>
      <c r="R39" s="85" t="s">
        <v>0</v>
      </c>
      <c r="S39" s="85" t="s">
        <v>0</v>
      </c>
      <c r="T39" s="61" t="s">
        <v>0</v>
      </c>
      <c r="U39" s="60" t="s">
        <v>0</v>
      </c>
      <c r="V39" s="58" t="s">
        <v>0</v>
      </c>
      <c r="W39" s="58" t="s">
        <v>0</v>
      </c>
      <c r="X39" s="58" t="s">
        <v>0</v>
      </c>
      <c r="Y39" s="58" t="s">
        <v>0</v>
      </c>
      <c r="Z39" s="54" t="s">
        <v>474</v>
      </c>
      <c r="AA39" s="54" t="s">
        <v>471</v>
      </c>
      <c r="AB39" s="54" t="s">
        <v>464</v>
      </c>
      <c r="AC39" s="58" t="s">
        <v>0</v>
      </c>
      <c r="AD39" s="58" t="s">
        <v>0</v>
      </c>
      <c r="AE39" s="58" t="s">
        <v>0</v>
      </c>
      <c r="AF39" s="73"/>
      <c r="AG39" s="58"/>
      <c r="AH39" s="58"/>
      <c r="AI39" s="1" t="s">
        <v>0</v>
      </c>
      <c r="AK39" s="1" t="s">
        <v>1255</v>
      </c>
    </row>
    <row r="40" spans="2:37">
      <c r="B40" s="68" t="s">
        <v>1270</v>
      </c>
      <c r="C40" s="68">
        <v>46028</v>
      </c>
      <c r="D40" s="68">
        <v>46037</v>
      </c>
      <c r="E40" s="68">
        <v>46038</v>
      </c>
      <c r="F40" s="59">
        <v>10</v>
      </c>
      <c r="G40" s="55" t="s">
        <v>1252</v>
      </c>
      <c r="H40" s="55" t="s">
        <v>1266</v>
      </c>
      <c r="I40" s="55" t="s">
        <v>462</v>
      </c>
      <c r="J40" s="60" t="s">
        <v>461</v>
      </c>
      <c r="K40" s="76" t="s">
        <v>705</v>
      </c>
      <c r="L40" s="60" t="s">
        <v>706</v>
      </c>
      <c r="M40" s="55" t="s">
        <v>624</v>
      </c>
      <c r="N40" s="49" t="s">
        <v>488</v>
      </c>
      <c r="O40" s="49" t="s">
        <v>489</v>
      </c>
      <c r="P40" s="60" t="s">
        <v>2</v>
      </c>
      <c r="Q40" s="60" t="s">
        <v>1228</v>
      </c>
      <c r="R40" s="85" t="s">
        <v>0</v>
      </c>
      <c r="S40" s="85" t="s">
        <v>0</v>
      </c>
      <c r="T40" s="61" t="s">
        <v>0</v>
      </c>
      <c r="U40" s="60" t="s">
        <v>0</v>
      </c>
      <c r="V40" s="58" t="s">
        <v>0</v>
      </c>
      <c r="W40" s="58" t="s">
        <v>0</v>
      </c>
      <c r="X40" s="58" t="s">
        <v>0</v>
      </c>
      <c r="Y40" s="58" t="s">
        <v>0</v>
      </c>
      <c r="Z40" s="54" t="s">
        <v>474</v>
      </c>
      <c r="AA40" s="58" t="s">
        <v>0</v>
      </c>
      <c r="AB40" s="58" t="s">
        <v>0</v>
      </c>
      <c r="AC40" s="58" t="s">
        <v>0</v>
      </c>
      <c r="AD40" s="58" t="s">
        <v>0</v>
      </c>
      <c r="AE40" s="58" t="s">
        <v>0</v>
      </c>
      <c r="AF40" s="73"/>
      <c r="AG40" s="58"/>
      <c r="AH40" s="58"/>
      <c r="AI40" s="1" t="s">
        <v>0</v>
      </c>
      <c r="AK40" s="1" t="s">
        <v>1255</v>
      </c>
    </row>
    <row r="41" spans="2:37">
      <c r="B41" s="68" t="s">
        <v>1067</v>
      </c>
      <c r="C41" s="68">
        <v>46020</v>
      </c>
      <c r="D41" s="68">
        <v>46030</v>
      </c>
      <c r="E41" s="68">
        <v>46035</v>
      </c>
      <c r="F41" s="59">
        <v>15</v>
      </c>
      <c r="G41" s="55" t="s">
        <v>1252</v>
      </c>
      <c r="H41" s="55" t="s">
        <v>1266</v>
      </c>
      <c r="I41" s="55" t="s">
        <v>1267</v>
      </c>
      <c r="J41" s="60" t="s">
        <v>461</v>
      </c>
      <c r="K41" s="76" t="s">
        <v>707</v>
      </c>
      <c r="L41" s="60" t="s">
        <v>708</v>
      </c>
      <c r="M41" s="55" t="s">
        <v>624</v>
      </c>
      <c r="N41" s="49" t="s">
        <v>488</v>
      </c>
      <c r="O41" s="49" t="s">
        <v>489</v>
      </c>
      <c r="P41" s="60" t="s">
        <v>4</v>
      </c>
      <c r="Q41" s="60" t="s">
        <v>1067</v>
      </c>
      <c r="R41" s="85">
        <v>46027</v>
      </c>
      <c r="S41" s="85" t="s">
        <v>0</v>
      </c>
      <c r="T41" s="61" t="s">
        <v>0</v>
      </c>
      <c r="U41" s="60" t="s">
        <v>0</v>
      </c>
      <c r="V41" s="58" t="s">
        <v>0</v>
      </c>
      <c r="W41" s="58" t="s">
        <v>0</v>
      </c>
      <c r="X41" s="58" t="s">
        <v>0</v>
      </c>
      <c r="Y41" s="58" t="s">
        <v>0</v>
      </c>
      <c r="Z41" s="54" t="s">
        <v>479</v>
      </c>
      <c r="AA41" s="54" t="s">
        <v>480</v>
      </c>
      <c r="AB41" s="58" t="s">
        <v>0</v>
      </c>
      <c r="AC41" s="58" t="s">
        <v>0</v>
      </c>
      <c r="AD41" s="58" t="s">
        <v>0</v>
      </c>
      <c r="AE41" s="58" t="s">
        <v>0</v>
      </c>
      <c r="AF41" s="73"/>
      <c r="AG41" s="58"/>
      <c r="AH41" s="58"/>
      <c r="AI41" s="1" t="s">
        <v>0</v>
      </c>
      <c r="AK41" s="1" t="s">
        <v>1255</v>
      </c>
    </row>
    <row r="42" spans="2:37">
      <c r="B42" s="68" t="s">
        <v>0</v>
      </c>
      <c r="C42" s="68" t="s">
        <v>0</v>
      </c>
      <c r="D42" s="68" t="s">
        <v>0</v>
      </c>
      <c r="E42" s="68" t="s">
        <v>0</v>
      </c>
      <c r="F42" s="59" t="s">
        <v>0</v>
      </c>
      <c r="G42" s="55" t="s">
        <v>1252</v>
      </c>
      <c r="H42" s="55" t="s">
        <v>1266</v>
      </c>
      <c r="I42" s="55" t="s">
        <v>1271</v>
      </c>
      <c r="J42" s="60" t="s">
        <v>461</v>
      </c>
      <c r="K42" s="76" t="s">
        <v>709</v>
      </c>
      <c r="L42" s="60" t="s">
        <v>710</v>
      </c>
      <c r="M42" s="55" t="s">
        <v>0</v>
      </c>
      <c r="N42" s="2"/>
      <c r="O42" s="58"/>
      <c r="P42" s="60" t="s">
        <v>379</v>
      </c>
      <c r="Q42" s="60" t="s">
        <v>522</v>
      </c>
      <c r="R42" s="85" t="s">
        <v>0</v>
      </c>
      <c r="S42" s="85" t="s">
        <v>0</v>
      </c>
      <c r="T42" s="61" t="s">
        <v>0</v>
      </c>
      <c r="U42" s="60" t="s">
        <v>0</v>
      </c>
      <c r="V42" s="58" t="s">
        <v>0</v>
      </c>
      <c r="W42" s="58" t="s">
        <v>0</v>
      </c>
      <c r="X42" s="58" t="s">
        <v>0</v>
      </c>
      <c r="Y42" s="58" t="s">
        <v>0</v>
      </c>
      <c r="Z42" s="58" t="s">
        <v>474</v>
      </c>
      <c r="AA42" s="58" t="s">
        <v>464</v>
      </c>
      <c r="AB42" s="58" t="s">
        <v>0</v>
      </c>
      <c r="AC42" s="58" t="s">
        <v>0</v>
      </c>
      <c r="AD42" s="58" t="s">
        <v>0</v>
      </c>
      <c r="AE42" s="58" t="s">
        <v>0</v>
      </c>
      <c r="AF42" s="73"/>
      <c r="AG42" s="58"/>
      <c r="AH42" s="58"/>
      <c r="AI42" s="1" t="s">
        <v>0</v>
      </c>
      <c r="AJ42" s="1" t="s">
        <v>0</v>
      </c>
      <c r="AK42" s="1" t="s">
        <v>1255</v>
      </c>
    </row>
    <row r="43" spans="2:37">
      <c r="B43" s="68" t="s">
        <v>1072</v>
      </c>
      <c r="C43" s="68">
        <v>46010</v>
      </c>
      <c r="D43" s="68">
        <v>46015</v>
      </c>
      <c r="E43" s="68">
        <v>46020</v>
      </c>
      <c r="F43" s="59">
        <v>10</v>
      </c>
      <c r="G43" s="55" t="s">
        <v>1252</v>
      </c>
      <c r="H43" s="55" t="s">
        <v>1266</v>
      </c>
      <c r="I43" s="55" t="s">
        <v>462</v>
      </c>
      <c r="J43" s="60" t="s">
        <v>461</v>
      </c>
      <c r="K43" s="76" t="s">
        <v>711</v>
      </c>
      <c r="L43" s="60" t="s">
        <v>712</v>
      </c>
      <c r="M43" s="55" t="s">
        <v>624</v>
      </c>
      <c r="N43" s="49" t="s">
        <v>488</v>
      </c>
      <c r="O43" s="49" t="s">
        <v>489</v>
      </c>
      <c r="P43" s="60" t="s">
        <v>1</v>
      </c>
      <c r="Q43" s="60" t="s">
        <v>1072</v>
      </c>
      <c r="R43" s="85">
        <v>46010</v>
      </c>
      <c r="S43" s="85">
        <v>46021</v>
      </c>
      <c r="T43" s="61">
        <v>12</v>
      </c>
      <c r="U43" s="60">
        <v>11</v>
      </c>
      <c r="V43" s="58" t="s">
        <v>1254</v>
      </c>
      <c r="W43" s="58" t="s">
        <v>0</v>
      </c>
      <c r="X43" s="58" t="s">
        <v>0</v>
      </c>
      <c r="Y43" s="58" t="s">
        <v>0</v>
      </c>
      <c r="Z43" s="54" t="s">
        <v>469</v>
      </c>
      <c r="AA43" s="54" t="s">
        <v>471</v>
      </c>
      <c r="AB43" s="54" t="s">
        <v>485</v>
      </c>
      <c r="AC43" s="58" t="s">
        <v>0</v>
      </c>
      <c r="AD43" s="58" t="s">
        <v>0</v>
      </c>
      <c r="AE43" s="58" t="s">
        <v>0</v>
      </c>
      <c r="AF43" s="73"/>
      <c r="AG43" s="58"/>
      <c r="AH43" s="58"/>
      <c r="AI43" s="1">
        <v>1</v>
      </c>
      <c r="AJ43" s="1">
        <v>10</v>
      </c>
      <c r="AK43" s="1" t="s">
        <v>1255</v>
      </c>
    </row>
    <row r="44" spans="2:37">
      <c r="B44" s="68" t="s">
        <v>1256</v>
      </c>
      <c r="C44" s="68">
        <v>45996</v>
      </c>
      <c r="D44" s="68">
        <v>46014</v>
      </c>
      <c r="E44" s="68">
        <v>46015</v>
      </c>
      <c r="F44" s="59">
        <v>19</v>
      </c>
      <c r="G44" s="55" t="s">
        <v>1252</v>
      </c>
      <c r="H44" s="55" t="s">
        <v>1266</v>
      </c>
      <c r="I44" s="55" t="s">
        <v>462</v>
      </c>
      <c r="J44" s="60" t="s">
        <v>461</v>
      </c>
      <c r="K44" s="76" t="s">
        <v>713</v>
      </c>
      <c r="L44" s="60" t="s">
        <v>714</v>
      </c>
      <c r="M44" s="55" t="s">
        <v>624</v>
      </c>
      <c r="N44" s="49" t="s">
        <v>488</v>
      </c>
      <c r="O44" s="49" t="s">
        <v>489</v>
      </c>
      <c r="P44" s="60" t="s">
        <v>7</v>
      </c>
      <c r="Q44" s="60" t="s">
        <v>1050</v>
      </c>
      <c r="R44" s="85">
        <v>46002</v>
      </c>
      <c r="S44" s="85">
        <v>46020</v>
      </c>
      <c r="T44" s="61">
        <v>25</v>
      </c>
      <c r="U44" s="60">
        <v>18</v>
      </c>
      <c r="V44" s="58" t="s">
        <v>1254</v>
      </c>
      <c r="W44" s="58" t="s">
        <v>0</v>
      </c>
      <c r="X44" s="58" t="s">
        <v>0</v>
      </c>
      <c r="Y44" s="58" t="s">
        <v>0</v>
      </c>
      <c r="Z44" s="54" t="s">
        <v>472</v>
      </c>
      <c r="AA44" s="54" t="s">
        <v>471</v>
      </c>
      <c r="AB44" s="54" t="s">
        <v>487</v>
      </c>
      <c r="AC44" s="58" t="s">
        <v>0</v>
      </c>
      <c r="AD44" s="58" t="s">
        <v>0</v>
      </c>
      <c r="AE44" s="58" t="s">
        <v>0</v>
      </c>
      <c r="AF44" s="73"/>
      <c r="AG44" s="58"/>
      <c r="AH44" s="58"/>
      <c r="AI44" s="1">
        <v>5</v>
      </c>
      <c r="AJ44" s="1">
        <v>19</v>
      </c>
      <c r="AK44" s="1" t="s">
        <v>1255</v>
      </c>
    </row>
    <row r="45" spans="2:37">
      <c r="B45" s="68" t="s">
        <v>1256</v>
      </c>
      <c r="C45" s="68">
        <v>45996</v>
      </c>
      <c r="D45" s="68">
        <v>46015</v>
      </c>
      <c r="E45" s="68">
        <v>46015</v>
      </c>
      <c r="F45" s="59">
        <v>19</v>
      </c>
      <c r="G45" s="55" t="s">
        <v>1252</v>
      </c>
      <c r="H45" s="55" t="s">
        <v>1266</v>
      </c>
      <c r="I45" s="55" t="s">
        <v>462</v>
      </c>
      <c r="J45" s="60" t="s">
        <v>461</v>
      </c>
      <c r="K45" s="76" t="s">
        <v>715</v>
      </c>
      <c r="L45" s="60" t="s">
        <v>716</v>
      </c>
      <c r="M45" s="55" t="s">
        <v>624</v>
      </c>
      <c r="N45" s="49" t="s">
        <v>488</v>
      </c>
      <c r="O45" s="49" t="s">
        <v>489</v>
      </c>
      <c r="P45" s="60" t="s">
        <v>5</v>
      </c>
      <c r="Q45" s="60" t="s">
        <v>1050</v>
      </c>
      <c r="R45" s="85">
        <v>46003</v>
      </c>
      <c r="S45" s="85">
        <v>46020</v>
      </c>
      <c r="T45" s="61">
        <v>25</v>
      </c>
      <c r="U45" s="60">
        <v>17</v>
      </c>
      <c r="V45" s="58" t="s">
        <v>1254</v>
      </c>
      <c r="W45" s="58" t="s">
        <v>0</v>
      </c>
      <c r="X45" s="58" t="s">
        <v>0</v>
      </c>
      <c r="Y45" s="58" t="s">
        <v>0</v>
      </c>
      <c r="Z45" s="54" t="s">
        <v>471</v>
      </c>
      <c r="AA45" s="54" t="s">
        <v>487</v>
      </c>
      <c r="AB45" s="58" t="s">
        <v>0</v>
      </c>
      <c r="AC45" s="58" t="s">
        <v>0</v>
      </c>
      <c r="AD45" s="58" t="s">
        <v>0</v>
      </c>
      <c r="AE45" s="58" t="s">
        <v>0</v>
      </c>
      <c r="AF45" s="73"/>
      <c r="AG45" s="58"/>
      <c r="AH45" s="58"/>
      <c r="AI45" s="1">
        <v>5</v>
      </c>
      <c r="AJ45" s="1">
        <v>19</v>
      </c>
      <c r="AK45" s="1" t="s">
        <v>1255</v>
      </c>
    </row>
    <row r="46" spans="2:37">
      <c r="B46" s="68" t="s">
        <v>1256</v>
      </c>
      <c r="C46" s="68">
        <v>45996</v>
      </c>
      <c r="D46" s="68">
        <v>46015</v>
      </c>
      <c r="E46" s="68">
        <v>46015</v>
      </c>
      <c r="F46" s="59">
        <v>19</v>
      </c>
      <c r="G46" s="55" t="s">
        <v>1252</v>
      </c>
      <c r="H46" s="55" t="s">
        <v>1266</v>
      </c>
      <c r="I46" s="55" t="s">
        <v>462</v>
      </c>
      <c r="J46" s="60" t="s">
        <v>461</v>
      </c>
      <c r="K46" s="76" t="s">
        <v>717</v>
      </c>
      <c r="L46" s="60" t="s">
        <v>718</v>
      </c>
      <c r="M46" s="55" t="s">
        <v>624</v>
      </c>
      <c r="N46" s="49" t="s">
        <v>488</v>
      </c>
      <c r="O46" s="49" t="s">
        <v>489</v>
      </c>
      <c r="P46" s="60" t="s">
        <v>5</v>
      </c>
      <c r="Q46" s="60" t="s">
        <v>1050</v>
      </c>
      <c r="R46" s="85">
        <v>46002</v>
      </c>
      <c r="S46" s="85">
        <v>46020</v>
      </c>
      <c r="T46" s="61">
        <v>25</v>
      </c>
      <c r="U46" s="60">
        <v>18</v>
      </c>
      <c r="V46" s="58" t="s">
        <v>1254</v>
      </c>
      <c r="W46" s="58" t="s">
        <v>0</v>
      </c>
      <c r="X46" s="58" t="s">
        <v>0</v>
      </c>
      <c r="Y46" s="58" t="s">
        <v>0</v>
      </c>
      <c r="Z46" s="54" t="s">
        <v>472</v>
      </c>
      <c r="AA46" s="54" t="s">
        <v>471</v>
      </c>
      <c r="AB46" s="54" t="s">
        <v>487</v>
      </c>
      <c r="AC46" s="58" t="s">
        <v>0</v>
      </c>
      <c r="AD46" s="58" t="s">
        <v>0</v>
      </c>
      <c r="AE46" s="58" t="s">
        <v>0</v>
      </c>
      <c r="AF46" s="73"/>
      <c r="AG46" s="58"/>
      <c r="AH46" s="58"/>
      <c r="AI46" s="1">
        <v>5</v>
      </c>
      <c r="AJ46" s="1">
        <v>19</v>
      </c>
      <c r="AK46" s="1" t="s">
        <v>1255</v>
      </c>
    </row>
    <row r="47" spans="2:37">
      <c r="B47" s="68" t="s">
        <v>1256</v>
      </c>
      <c r="C47" s="68">
        <v>45996</v>
      </c>
      <c r="D47" s="68">
        <v>46014</v>
      </c>
      <c r="E47" s="68">
        <v>46015</v>
      </c>
      <c r="F47" s="59">
        <v>19</v>
      </c>
      <c r="G47" s="55" t="s">
        <v>1252</v>
      </c>
      <c r="H47" s="55" t="s">
        <v>1266</v>
      </c>
      <c r="I47" s="55" t="s">
        <v>462</v>
      </c>
      <c r="J47" s="60" t="s">
        <v>461</v>
      </c>
      <c r="K47" s="76" t="s">
        <v>719</v>
      </c>
      <c r="L47" s="60" t="s">
        <v>586</v>
      </c>
      <c r="M47" s="55" t="s">
        <v>624</v>
      </c>
      <c r="N47" s="49" t="s">
        <v>488</v>
      </c>
      <c r="O47" s="49" t="s">
        <v>489</v>
      </c>
      <c r="P47" s="60" t="s">
        <v>6</v>
      </c>
      <c r="Q47" s="60" t="s">
        <v>1050</v>
      </c>
      <c r="R47" s="85">
        <v>46003</v>
      </c>
      <c r="S47" s="85">
        <v>46020</v>
      </c>
      <c r="T47" s="61">
        <v>25</v>
      </c>
      <c r="U47" s="60">
        <v>17</v>
      </c>
      <c r="V47" s="58" t="s">
        <v>1254</v>
      </c>
      <c r="W47" s="58" t="s">
        <v>0</v>
      </c>
      <c r="X47" s="58" t="s">
        <v>0</v>
      </c>
      <c r="Y47" s="58" t="s">
        <v>0</v>
      </c>
      <c r="Z47" s="54" t="s">
        <v>471</v>
      </c>
      <c r="AA47" s="54" t="s">
        <v>487</v>
      </c>
      <c r="AB47" s="58" t="s">
        <v>0</v>
      </c>
      <c r="AC47" s="58" t="s">
        <v>0</v>
      </c>
      <c r="AD47" s="58" t="s">
        <v>0</v>
      </c>
      <c r="AE47" s="58" t="s">
        <v>0</v>
      </c>
      <c r="AF47" s="73"/>
      <c r="AG47" s="58"/>
      <c r="AH47" s="58"/>
      <c r="AI47" s="1">
        <v>5</v>
      </c>
      <c r="AJ47" s="1">
        <v>19</v>
      </c>
      <c r="AK47" s="1" t="s">
        <v>1255</v>
      </c>
    </row>
    <row r="48" spans="2:37">
      <c r="B48" s="68" t="s">
        <v>0</v>
      </c>
      <c r="C48" s="68" t="s">
        <v>0</v>
      </c>
      <c r="D48" s="68" t="s">
        <v>0</v>
      </c>
      <c r="E48" s="68" t="s">
        <v>0</v>
      </c>
      <c r="F48" s="59" t="s">
        <v>0</v>
      </c>
      <c r="G48" s="55" t="s">
        <v>1252</v>
      </c>
      <c r="H48" s="55" t="s">
        <v>1266</v>
      </c>
      <c r="I48" s="55" t="s">
        <v>1267</v>
      </c>
      <c r="J48" s="60" t="s">
        <v>461</v>
      </c>
      <c r="K48" s="76" t="s">
        <v>720</v>
      </c>
      <c r="L48" s="60" t="s">
        <v>721</v>
      </c>
      <c r="M48" s="55" t="s">
        <v>0</v>
      </c>
      <c r="N48" s="2"/>
      <c r="O48" s="58"/>
      <c r="P48" s="60" t="s">
        <v>379</v>
      </c>
      <c r="Q48" s="60" t="s">
        <v>522</v>
      </c>
      <c r="R48" s="85" t="s">
        <v>0</v>
      </c>
      <c r="S48" s="85" t="s">
        <v>0</v>
      </c>
      <c r="T48" s="61" t="s">
        <v>0</v>
      </c>
      <c r="U48" s="60" t="s">
        <v>0</v>
      </c>
      <c r="V48" s="58" t="s">
        <v>0</v>
      </c>
      <c r="W48" s="58" t="s">
        <v>0</v>
      </c>
      <c r="X48" s="58" t="s">
        <v>0</v>
      </c>
      <c r="Y48" s="58" t="s">
        <v>0</v>
      </c>
      <c r="Z48" s="58" t="s">
        <v>472</v>
      </c>
      <c r="AA48" s="58" t="s">
        <v>473</v>
      </c>
      <c r="AB48" s="58" t="s">
        <v>0</v>
      </c>
      <c r="AC48" s="58" t="s">
        <v>0</v>
      </c>
      <c r="AD48" s="58" t="s">
        <v>0</v>
      </c>
      <c r="AE48" s="58" t="s">
        <v>0</v>
      </c>
      <c r="AF48" s="73"/>
      <c r="AG48" s="58"/>
      <c r="AH48" s="58"/>
      <c r="AI48" s="1" t="s">
        <v>0</v>
      </c>
      <c r="AJ48" s="1" t="s">
        <v>0</v>
      </c>
      <c r="AK48" s="1" t="s">
        <v>1255</v>
      </c>
    </row>
    <row r="49" spans="2:37">
      <c r="B49" s="68" t="s">
        <v>0</v>
      </c>
      <c r="C49" s="68" t="s">
        <v>0</v>
      </c>
      <c r="D49" s="68" t="s">
        <v>0</v>
      </c>
      <c r="E49" s="68" t="s">
        <v>0</v>
      </c>
      <c r="F49" s="59" t="s">
        <v>0</v>
      </c>
      <c r="G49" s="55" t="s">
        <v>1252</v>
      </c>
      <c r="H49" s="55" t="s">
        <v>1266</v>
      </c>
      <c r="I49" s="55" t="s">
        <v>1267</v>
      </c>
      <c r="J49" s="60" t="s">
        <v>461</v>
      </c>
      <c r="K49" s="76" t="s">
        <v>722</v>
      </c>
      <c r="L49" s="60" t="s">
        <v>723</v>
      </c>
      <c r="M49" s="55" t="s">
        <v>0</v>
      </c>
      <c r="N49" s="2"/>
      <c r="O49" s="58"/>
      <c r="P49" s="60" t="s">
        <v>379</v>
      </c>
      <c r="Q49" s="60" t="s">
        <v>522</v>
      </c>
      <c r="R49" s="85" t="s">
        <v>0</v>
      </c>
      <c r="S49" s="85" t="s">
        <v>0</v>
      </c>
      <c r="T49" s="61" t="s">
        <v>0</v>
      </c>
      <c r="U49" s="60" t="s">
        <v>0</v>
      </c>
      <c r="V49" s="58" t="s">
        <v>0</v>
      </c>
      <c r="W49" s="58" t="s">
        <v>0</v>
      </c>
      <c r="X49" s="58" t="s">
        <v>0</v>
      </c>
      <c r="Y49" s="58" t="s">
        <v>0</v>
      </c>
      <c r="Z49" s="58" t="s">
        <v>472</v>
      </c>
      <c r="AA49" s="58" t="s">
        <v>473</v>
      </c>
      <c r="AB49" s="58" t="s">
        <v>0</v>
      </c>
      <c r="AC49" s="58" t="s">
        <v>0</v>
      </c>
      <c r="AD49" s="58" t="s">
        <v>0</v>
      </c>
      <c r="AE49" s="58" t="s">
        <v>0</v>
      </c>
      <c r="AF49" s="73"/>
      <c r="AG49" s="58"/>
      <c r="AH49" s="58"/>
      <c r="AI49" s="1" t="s">
        <v>0</v>
      </c>
      <c r="AJ49" s="1" t="s">
        <v>0</v>
      </c>
      <c r="AK49" s="1" t="s">
        <v>1255</v>
      </c>
    </row>
    <row r="50" spans="2:37">
      <c r="B50" s="68" t="s">
        <v>1272</v>
      </c>
      <c r="C50" s="68">
        <v>46030</v>
      </c>
      <c r="D50" s="68">
        <v>46037</v>
      </c>
      <c r="E50" s="68">
        <v>46038</v>
      </c>
      <c r="F50" s="59">
        <v>8</v>
      </c>
      <c r="G50" s="55" t="s">
        <v>1252</v>
      </c>
      <c r="H50" s="55" t="s">
        <v>1266</v>
      </c>
      <c r="I50" s="55" t="s">
        <v>1267</v>
      </c>
      <c r="J50" s="60" t="s">
        <v>461</v>
      </c>
      <c r="K50" s="76" t="s">
        <v>724</v>
      </c>
      <c r="L50" s="60" t="s">
        <v>725</v>
      </c>
      <c r="M50" s="55" t="s">
        <v>624</v>
      </c>
      <c r="N50" s="49" t="s">
        <v>488</v>
      </c>
      <c r="O50" s="49" t="s">
        <v>489</v>
      </c>
      <c r="P50" s="60" t="s">
        <v>3</v>
      </c>
      <c r="Q50" s="60" t="s">
        <v>1224</v>
      </c>
      <c r="R50" s="85" t="s">
        <v>0</v>
      </c>
      <c r="S50" s="85" t="s">
        <v>0</v>
      </c>
      <c r="T50" s="61" t="s">
        <v>0</v>
      </c>
      <c r="U50" s="60" t="s">
        <v>0</v>
      </c>
      <c r="V50" s="58" t="s">
        <v>0</v>
      </c>
      <c r="W50" s="58" t="s">
        <v>0</v>
      </c>
      <c r="X50" s="58" t="s">
        <v>0</v>
      </c>
      <c r="Y50" s="58" t="s">
        <v>0</v>
      </c>
      <c r="Z50" s="54" t="s">
        <v>479</v>
      </c>
      <c r="AA50" s="54" t="s">
        <v>480</v>
      </c>
      <c r="AB50" s="58" t="s">
        <v>0</v>
      </c>
      <c r="AC50" s="58" t="s">
        <v>0</v>
      </c>
      <c r="AD50" s="58" t="s">
        <v>0</v>
      </c>
      <c r="AE50" s="58" t="s">
        <v>0</v>
      </c>
      <c r="AF50" s="73"/>
      <c r="AG50" s="58"/>
      <c r="AH50" s="58"/>
      <c r="AI50" s="1" t="s">
        <v>0</v>
      </c>
      <c r="AK50" s="1" t="s">
        <v>1255</v>
      </c>
    </row>
    <row r="51" spans="2:37">
      <c r="B51" s="68" t="s">
        <v>1272</v>
      </c>
      <c r="C51" s="68">
        <v>46030</v>
      </c>
      <c r="D51" s="68">
        <v>46048</v>
      </c>
      <c r="E51" s="68">
        <v>46048</v>
      </c>
      <c r="F51" s="59">
        <v>18</v>
      </c>
      <c r="G51" s="55" t="s">
        <v>1252</v>
      </c>
      <c r="H51" s="55" t="s">
        <v>1266</v>
      </c>
      <c r="I51" s="55" t="s">
        <v>1267</v>
      </c>
      <c r="J51" s="60" t="s">
        <v>461</v>
      </c>
      <c r="K51" s="76" t="s">
        <v>726</v>
      </c>
      <c r="L51" s="60" t="s">
        <v>727</v>
      </c>
      <c r="M51" s="55" t="s">
        <v>624</v>
      </c>
      <c r="N51" s="49" t="s">
        <v>488</v>
      </c>
      <c r="O51" s="49" t="s">
        <v>489</v>
      </c>
      <c r="P51" s="60" t="s">
        <v>5</v>
      </c>
      <c r="Q51" s="60" t="s">
        <v>1224</v>
      </c>
      <c r="R51" s="85" t="s">
        <v>0</v>
      </c>
      <c r="S51" s="85" t="s">
        <v>0</v>
      </c>
      <c r="T51" s="61" t="s">
        <v>0</v>
      </c>
      <c r="U51" s="60" t="s">
        <v>0</v>
      </c>
      <c r="V51" s="58" t="s">
        <v>0</v>
      </c>
      <c r="W51" s="58" t="s">
        <v>0</v>
      </c>
      <c r="X51" s="58" t="s">
        <v>0</v>
      </c>
      <c r="Y51" s="58" t="s">
        <v>0</v>
      </c>
      <c r="Z51" s="54" t="s">
        <v>479</v>
      </c>
      <c r="AA51" s="54" t="s">
        <v>480</v>
      </c>
      <c r="AB51" s="58" t="s">
        <v>0</v>
      </c>
      <c r="AC51" s="58" t="s">
        <v>0</v>
      </c>
      <c r="AD51" s="58" t="s">
        <v>0</v>
      </c>
      <c r="AE51" s="58" t="s">
        <v>0</v>
      </c>
      <c r="AF51" s="73"/>
      <c r="AG51" s="58"/>
      <c r="AH51" s="58"/>
      <c r="AI51" s="1" t="s">
        <v>0</v>
      </c>
      <c r="AK51" s="1" t="s">
        <v>1255</v>
      </c>
    </row>
    <row r="52" spans="2:37">
      <c r="B52" s="68" t="s">
        <v>0</v>
      </c>
      <c r="C52" s="68" t="s">
        <v>0</v>
      </c>
      <c r="D52" s="68" t="s">
        <v>0</v>
      </c>
      <c r="E52" s="68" t="s">
        <v>0</v>
      </c>
      <c r="F52" s="59" t="s">
        <v>0</v>
      </c>
      <c r="G52" s="55" t="s">
        <v>1252</v>
      </c>
      <c r="H52" s="55" t="s">
        <v>1266</v>
      </c>
      <c r="I52" s="55" t="s">
        <v>1267</v>
      </c>
      <c r="J52" s="60" t="s">
        <v>461</v>
      </c>
      <c r="K52" s="76" t="s">
        <v>728</v>
      </c>
      <c r="L52" s="60" t="s">
        <v>729</v>
      </c>
      <c r="M52" s="55" t="s">
        <v>0</v>
      </c>
      <c r="N52" s="2"/>
      <c r="O52" s="58"/>
      <c r="P52" s="60" t="s">
        <v>379</v>
      </c>
      <c r="Q52" s="60" t="s">
        <v>522</v>
      </c>
      <c r="R52" s="85" t="s">
        <v>0</v>
      </c>
      <c r="S52" s="85" t="s">
        <v>0</v>
      </c>
      <c r="T52" s="61" t="s">
        <v>0</v>
      </c>
      <c r="U52" s="60" t="s">
        <v>0</v>
      </c>
      <c r="V52" s="58" t="s">
        <v>0</v>
      </c>
      <c r="W52" s="58" t="s">
        <v>0</v>
      </c>
      <c r="X52" s="58" t="s">
        <v>0</v>
      </c>
      <c r="Y52" s="58" t="s">
        <v>0</v>
      </c>
      <c r="Z52" s="58" t="s">
        <v>472</v>
      </c>
      <c r="AA52" s="58" t="s">
        <v>0</v>
      </c>
      <c r="AB52" s="58" t="s">
        <v>0</v>
      </c>
      <c r="AC52" s="58" t="s">
        <v>0</v>
      </c>
      <c r="AD52" s="58" t="s">
        <v>0</v>
      </c>
      <c r="AE52" s="58" t="s">
        <v>0</v>
      </c>
      <c r="AF52" s="73"/>
      <c r="AG52" s="58"/>
      <c r="AH52" s="58"/>
      <c r="AI52" s="1" t="s">
        <v>0</v>
      </c>
      <c r="AJ52" s="1" t="s">
        <v>0</v>
      </c>
      <c r="AK52" s="1" t="s">
        <v>1255</v>
      </c>
    </row>
    <row r="53" spans="2:37">
      <c r="B53" s="68" t="s">
        <v>0</v>
      </c>
      <c r="C53" s="68" t="s">
        <v>0</v>
      </c>
      <c r="D53" s="68" t="s">
        <v>0</v>
      </c>
      <c r="E53" s="68" t="s">
        <v>0</v>
      </c>
      <c r="F53" s="59" t="s">
        <v>0</v>
      </c>
      <c r="G53" s="55" t="s">
        <v>1252</v>
      </c>
      <c r="H53" s="55" t="s">
        <v>1266</v>
      </c>
      <c r="I53" s="55" t="s">
        <v>1271</v>
      </c>
      <c r="J53" s="60" t="s">
        <v>461</v>
      </c>
      <c r="K53" s="76" t="s">
        <v>730</v>
      </c>
      <c r="L53" s="60" t="s">
        <v>587</v>
      </c>
      <c r="M53" s="55" t="s">
        <v>0</v>
      </c>
      <c r="N53" s="2"/>
      <c r="O53" s="58"/>
      <c r="P53" s="60" t="s">
        <v>379</v>
      </c>
      <c r="Q53" s="60" t="s">
        <v>522</v>
      </c>
      <c r="R53" s="85" t="s">
        <v>0</v>
      </c>
      <c r="S53" s="85" t="s">
        <v>0</v>
      </c>
      <c r="T53" s="61" t="s">
        <v>0</v>
      </c>
      <c r="U53" s="60" t="s">
        <v>0</v>
      </c>
      <c r="V53" s="58" t="s">
        <v>0</v>
      </c>
      <c r="W53" s="58" t="s">
        <v>0</v>
      </c>
      <c r="X53" s="58" t="s">
        <v>0</v>
      </c>
      <c r="Y53" s="58" t="s">
        <v>0</v>
      </c>
      <c r="Z53" s="58" t="s">
        <v>472</v>
      </c>
      <c r="AA53" s="58" t="s">
        <v>483</v>
      </c>
      <c r="AB53" s="58" t="s">
        <v>464</v>
      </c>
      <c r="AC53" s="58" t="s">
        <v>0</v>
      </c>
      <c r="AD53" s="58" t="s">
        <v>0</v>
      </c>
      <c r="AE53" s="58" t="s">
        <v>0</v>
      </c>
      <c r="AF53" s="73"/>
      <c r="AG53" s="58"/>
      <c r="AH53" s="58"/>
      <c r="AI53" s="1" t="s">
        <v>0</v>
      </c>
      <c r="AJ53" s="1" t="s">
        <v>0</v>
      </c>
      <c r="AK53" s="1" t="s">
        <v>1255</v>
      </c>
    </row>
    <row r="54" spans="2:37">
      <c r="B54" s="68" t="s">
        <v>0</v>
      </c>
      <c r="C54" s="68" t="s">
        <v>0</v>
      </c>
      <c r="D54" s="68" t="s">
        <v>0</v>
      </c>
      <c r="E54" s="68" t="s">
        <v>0</v>
      </c>
      <c r="F54" s="59" t="s">
        <v>0</v>
      </c>
      <c r="G54" s="55" t="s">
        <v>1252</v>
      </c>
      <c r="H54" s="55" t="s">
        <v>1266</v>
      </c>
      <c r="I54" s="55" t="s">
        <v>1271</v>
      </c>
      <c r="J54" s="60" t="s">
        <v>461</v>
      </c>
      <c r="K54" s="76" t="s">
        <v>731</v>
      </c>
      <c r="L54" s="60" t="s">
        <v>645</v>
      </c>
      <c r="M54" s="55" t="s">
        <v>0</v>
      </c>
      <c r="N54" s="2"/>
      <c r="O54" s="58"/>
      <c r="P54" s="60" t="s">
        <v>379</v>
      </c>
      <c r="Q54" s="60" t="s">
        <v>522</v>
      </c>
      <c r="R54" s="85" t="s">
        <v>0</v>
      </c>
      <c r="S54" s="85" t="s">
        <v>0</v>
      </c>
      <c r="T54" s="61" t="s">
        <v>0</v>
      </c>
      <c r="U54" s="60" t="s">
        <v>0</v>
      </c>
      <c r="V54" s="58" t="s">
        <v>0</v>
      </c>
      <c r="W54" s="58" t="s">
        <v>0</v>
      </c>
      <c r="X54" s="58" t="s">
        <v>0</v>
      </c>
      <c r="Y54" s="58" t="s">
        <v>0</v>
      </c>
      <c r="Z54" s="58" t="s">
        <v>471</v>
      </c>
      <c r="AA54" s="58" t="s">
        <v>464</v>
      </c>
      <c r="AB54" s="58" t="s">
        <v>0</v>
      </c>
      <c r="AC54" s="58" t="s">
        <v>0</v>
      </c>
      <c r="AD54" s="58" t="s">
        <v>0</v>
      </c>
      <c r="AE54" s="58" t="s">
        <v>0</v>
      </c>
      <c r="AF54" s="73"/>
      <c r="AG54" s="58"/>
      <c r="AH54" s="58"/>
      <c r="AI54" s="1" t="s">
        <v>0</v>
      </c>
      <c r="AJ54" s="1" t="s">
        <v>0</v>
      </c>
      <c r="AK54" s="1" t="s">
        <v>1255</v>
      </c>
    </row>
    <row r="55" spans="2:37">
      <c r="B55" s="68" t="s">
        <v>0</v>
      </c>
      <c r="C55" s="68" t="s">
        <v>0</v>
      </c>
      <c r="D55" s="68" t="s">
        <v>0</v>
      </c>
      <c r="E55" s="68" t="s">
        <v>0</v>
      </c>
      <c r="F55" s="59" t="s">
        <v>0</v>
      </c>
      <c r="G55" s="55" t="s">
        <v>1252</v>
      </c>
      <c r="H55" s="55" t="s">
        <v>1266</v>
      </c>
      <c r="I55" s="55" t="s">
        <v>1271</v>
      </c>
      <c r="J55" s="60" t="s">
        <v>461</v>
      </c>
      <c r="K55" s="76" t="s">
        <v>732</v>
      </c>
      <c r="L55" s="60" t="s">
        <v>733</v>
      </c>
      <c r="M55" s="55" t="s">
        <v>0</v>
      </c>
      <c r="N55" s="2"/>
      <c r="O55" s="58"/>
      <c r="P55" s="60" t="s">
        <v>379</v>
      </c>
      <c r="Q55" s="60" t="s">
        <v>522</v>
      </c>
      <c r="R55" s="85" t="s">
        <v>0</v>
      </c>
      <c r="S55" s="85" t="s">
        <v>0</v>
      </c>
      <c r="T55" s="61" t="s">
        <v>0</v>
      </c>
      <c r="U55" s="60" t="s">
        <v>0</v>
      </c>
      <c r="V55" s="58" t="s">
        <v>0</v>
      </c>
      <c r="W55" s="58" t="s">
        <v>0</v>
      </c>
      <c r="X55" s="58" t="s">
        <v>0</v>
      </c>
      <c r="Y55" s="58" t="s">
        <v>0</v>
      </c>
      <c r="Z55" s="58" t="s">
        <v>474</v>
      </c>
      <c r="AA55" s="58" t="s">
        <v>0</v>
      </c>
      <c r="AB55" s="58" t="s">
        <v>0</v>
      </c>
      <c r="AC55" s="58" t="s">
        <v>0</v>
      </c>
      <c r="AD55" s="58" t="s">
        <v>0</v>
      </c>
      <c r="AE55" s="58" t="s">
        <v>0</v>
      </c>
      <c r="AF55" s="73"/>
      <c r="AG55" s="58"/>
      <c r="AH55" s="58"/>
      <c r="AI55" s="1" t="s">
        <v>0</v>
      </c>
      <c r="AJ55" s="1" t="s">
        <v>0</v>
      </c>
      <c r="AK55" s="1" t="s">
        <v>1255</v>
      </c>
    </row>
    <row r="56" spans="2:37">
      <c r="B56" s="68" t="s">
        <v>0</v>
      </c>
      <c r="C56" s="68" t="s">
        <v>0</v>
      </c>
      <c r="D56" s="68" t="s">
        <v>0</v>
      </c>
      <c r="E56" s="68" t="s">
        <v>0</v>
      </c>
      <c r="F56" s="59" t="s">
        <v>0</v>
      </c>
      <c r="G56" s="55" t="s">
        <v>1252</v>
      </c>
      <c r="H56" s="55" t="s">
        <v>1266</v>
      </c>
      <c r="I56" s="55" t="s">
        <v>1269</v>
      </c>
      <c r="J56" s="60" t="s">
        <v>461</v>
      </c>
      <c r="K56" s="76" t="s">
        <v>734</v>
      </c>
      <c r="L56" s="60" t="s">
        <v>735</v>
      </c>
      <c r="M56" s="55" t="s">
        <v>0</v>
      </c>
      <c r="N56" s="2"/>
      <c r="O56" s="58"/>
      <c r="P56" s="60" t="s">
        <v>379</v>
      </c>
      <c r="Q56" s="60" t="s">
        <v>522</v>
      </c>
      <c r="R56" s="85" t="s">
        <v>0</v>
      </c>
      <c r="S56" s="85" t="s">
        <v>0</v>
      </c>
      <c r="T56" s="61" t="s">
        <v>0</v>
      </c>
      <c r="U56" s="60" t="s">
        <v>0</v>
      </c>
      <c r="V56" s="58" t="s">
        <v>0</v>
      </c>
      <c r="W56" s="58" t="s">
        <v>0</v>
      </c>
      <c r="X56" s="58" t="s">
        <v>0</v>
      </c>
      <c r="Y56" s="58" t="s">
        <v>0</v>
      </c>
      <c r="Z56" s="58" t="s">
        <v>472</v>
      </c>
      <c r="AA56" s="58" t="s">
        <v>471</v>
      </c>
      <c r="AB56" s="58" t="s">
        <v>0</v>
      </c>
      <c r="AC56" s="58" t="s">
        <v>0</v>
      </c>
      <c r="AD56" s="58" t="s">
        <v>0</v>
      </c>
      <c r="AE56" s="58" t="s">
        <v>0</v>
      </c>
      <c r="AF56" s="73"/>
      <c r="AG56" s="58"/>
      <c r="AH56" s="58"/>
      <c r="AI56" s="1" t="s">
        <v>0</v>
      </c>
      <c r="AJ56" s="1" t="s">
        <v>0</v>
      </c>
      <c r="AK56" s="1" t="s">
        <v>1255</v>
      </c>
    </row>
    <row r="57" spans="2:37">
      <c r="B57" s="68" t="s">
        <v>0</v>
      </c>
      <c r="C57" s="68" t="s">
        <v>0</v>
      </c>
      <c r="D57" s="68" t="s">
        <v>0</v>
      </c>
      <c r="E57" s="68" t="s">
        <v>0</v>
      </c>
      <c r="F57" s="59" t="s">
        <v>0</v>
      </c>
      <c r="G57" s="55" t="s">
        <v>1257</v>
      </c>
      <c r="H57" s="55" t="s">
        <v>1266</v>
      </c>
      <c r="I57" s="55" t="s">
        <v>1269</v>
      </c>
      <c r="J57" s="60" t="s">
        <v>461</v>
      </c>
      <c r="K57" s="76" t="s">
        <v>736</v>
      </c>
      <c r="L57" s="60" t="s">
        <v>547</v>
      </c>
      <c r="M57" s="55" t="s">
        <v>0</v>
      </c>
      <c r="N57" s="2"/>
      <c r="O57" s="58"/>
      <c r="P57" s="60" t="s">
        <v>379</v>
      </c>
      <c r="Q57" s="60" t="s">
        <v>522</v>
      </c>
      <c r="R57" s="85" t="s">
        <v>0</v>
      </c>
      <c r="S57" s="85" t="s">
        <v>0</v>
      </c>
      <c r="T57" s="61" t="s">
        <v>0</v>
      </c>
      <c r="U57" s="60" t="s">
        <v>0</v>
      </c>
      <c r="V57" s="58" t="s">
        <v>0</v>
      </c>
      <c r="W57" s="58" t="s">
        <v>0</v>
      </c>
      <c r="X57" s="58" t="s">
        <v>0</v>
      </c>
      <c r="Y57" s="58" t="s">
        <v>0</v>
      </c>
      <c r="Z57" s="58" t="s">
        <v>471</v>
      </c>
      <c r="AA57" s="58" t="s">
        <v>464</v>
      </c>
      <c r="AB57" s="58" t="s">
        <v>506</v>
      </c>
      <c r="AC57" s="58" t="s">
        <v>0</v>
      </c>
      <c r="AD57" s="58" t="s">
        <v>0</v>
      </c>
      <c r="AE57" s="58" t="s">
        <v>0</v>
      </c>
      <c r="AF57" s="73"/>
      <c r="AG57" s="58"/>
      <c r="AH57" s="58"/>
      <c r="AI57" s="1" t="s">
        <v>0</v>
      </c>
      <c r="AJ57" s="1" t="s">
        <v>0</v>
      </c>
      <c r="AK57" s="1" t="s">
        <v>1255</v>
      </c>
    </row>
    <row r="58" spans="2:37">
      <c r="B58" s="68" t="s">
        <v>1258</v>
      </c>
      <c r="C58" s="68">
        <v>45995</v>
      </c>
      <c r="D58" s="68">
        <v>45999</v>
      </c>
      <c r="E58" s="68">
        <v>46001</v>
      </c>
      <c r="F58" s="59">
        <v>6</v>
      </c>
      <c r="G58" s="55" t="s">
        <v>1257</v>
      </c>
      <c r="H58" s="55" t="s">
        <v>1266</v>
      </c>
      <c r="I58" s="55" t="s">
        <v>462</v>
      </c>
      <c r="J58" s="60" t="s">
        <v>461</v>
      </c>
      <c r="K58" s="76" t="s">
        <v>737</v>
      </c>
      <c r="L58" s="60" t="s">
        <v>561</v>
      </c>
      <c r="M58" s="55" t="s">
        <v>624</v>
      </c>
      <c r="N58" s="49" t="s">
        <v>488</v>
      </c>
      <c r="O58" s="49" t="s">
        <v>489</v>
      </c>
      <c r="P58" s="60" t="s">
        <v>6</v>
      </c>
      <c r="Q58" s="60" t="s">
        <v>1012</v>
      </c>
      <c r="R58" s="85">
        <v>45995</v>
      </c>
      <c r="S58" s="85">
        <v>46002</v>
      </c>
      <c r="T58" s="61">
        <v>9</v>
      </c>
      <c r="U58" s="60">
        <v>7</v>
      </c>
      <c r="V58" s="58" t="s">
        <v>1254</v>
      </c>
      <c r="W58" s="58" t="s">
        <v>0</v>
      </c>
      <c r="X58" s="58" t="s">
        <v>0</v>
      </c>
      <c r="Y58" s="58" t="s">
        <v>0</v>
      </c>
      <c r="Z58" s="54" t="s">
        <v>474</v>
      </c>
      <c r="AA58" s="54" t="s">
        <v>468</v>
      </c>
      <c r="AB58" s="54" t="s">
        <v>471</v>
      </c>
      <c r="AC58" s="54" t="s">
        <v>483</v>
      </c>
      <c r="AD58" s="54" t="s">
        <v>464</v>
      </c>
      <c r="AE58" s="58" t="s">
        <v>0</v>
      </c>
      <c r="AF58" s="73"/>
      <c r="AG58" s="58"/>
      <c r="AH58" s="58"/>
      <c r="AI58" s="58">
        <v>1</v>
      </c>
      <c r="AJ58" s="58">
        <v>6</v>
      </c>
      <c r="AK58" s="1" t="s">
        <v>1255</v>
      </c>
    </row>
    <row r="59" spans="2:37">
      <c r="B59" s="68" t="s">
        <v>1258</v>
      </c>
      <c r="C59" s="68">
        <v>45995</v>
      </c>
      <c r="D59" s="68">
        <v>45999</v>
      </c>
      <c r="E59" s="68">
        <v>46002</v>
      </c>
      <c r="F59" s="59">
        <v>7</v>
      </c>
      <c r="G59" s="55" t="s">
        <v>1257</v>
      </c>
      <c r="H59" s="55" t="s">
        <v>1266</v>
      </c>
      <c r="I59" s="55" t="s">
        <v>1267</v>
      </c>
      <c r="J59" s="60" t="s">
        <v>461</v>
      </c>
      <c r="K59" s="76" t="s">
        <v>738</v>
      </c>
      <c r="L59" s="60" t="s">
        <v>638</v>
      </c>
      <c r="M59" s="55" t="s">
        <v>624</v>
      </c>
      <c r="N59" s="49" t="s">
        <v>488</v>
      </c>
      <c r="O59" s="49" t="s">
        <v>489</v>
      </c>
      <c r="P59" s="60" t="s">
        <v>5</v>
      </c>
      <c r="Q59" s="60" t="s">
        <v>1012</v>
      </c>
      <c r="R59" s="85">
        <v>45996</v>
      </c>
      <c r="S59" s="85">
        <v>46006</v>
      </c>
      <c r="T59" s="61">
        <v>13</v>
      </c>
      <c r="U59" s="60">
        <v>10</v>
      </c>
      <c r="V59" s="58" t="s">
        <v>1254</v>
      </c>
      <c r="W59" s="58" t="s">
        <v>0</v>
      </c>
      <c r="X59" s="58" t="s">
        <v>0</v>
      </c>
      <c r="Y59" s="58" t="s">
        <v>0</v>
      </c>
      <c r="Z59" s="54" t="s">
        <v>474</v>
      </c>
      <c r="AA59" s="54" t="s">
        <v>471</v>
      </c>
      <c r="AB59" s="54" t="s">
        <v>524</v>
      </c>
      <c r="AC59" s="58" t="s">
        <v>464</v>
      </c>
      <c r="AD59" s="58" t="s">
        <v>0</v>
      </c>
      <c r="AE59" s="58" t="s">
        <v>0</v>
      </c>
      <c r="AF59" s="73"/>
      <c r="AG59" s="58"/>
      <c r="AH59" s="58"/>
      <c r="AI59" s="58">
        <v>4</v>
      </c>
      <c r="AJ59" s="58">
        <v>7</v>
      </c>
      <c r="AK59" s="1" t="s">
        <v>1255</v>
      </c>
    </row>
    <row r="60" spans="2:37">
      <c r="B60" s="68" t="s">
        <v>0</v>
      </c>
      <c r="C60" s="68" t="s">
        <v>0</v>
      </c>
      <c r="D60" s="68" t="s">
        <v>0</v>
      </c>
      <c r="E60" s="68" t="s">
        <v>0</v>
      </c>
      <c r="F60" s="59" t="s">
        <v>0</v>
      </c>
      <c r="G60" s="55" t="s">
        <v>1257</v>
      </c>
      <c r="H60" s="55" t="s">
        <v>1266</v>
      </c>
      <c r="I60" s="55" t="s">
        <v>1267</v>
      </c>
      <c r="J60" s="60" t="s">
        <v>461</v>
      </c>
      <c r="K60" s="76" t="s">
        <v>739</v>
      </c>
      <c r="L60" s="60" t="s">
        <v>588</v>
      </c>
      <c r="M60" s="55" t="s">
        <v>0</v>
      </c>
      <c r="N60" s="2"/>
      <c r="O60" s="58"/>
      <c r="P60" s="60" t="s">
        <v>379</v>
      </c>
      <c r="Q60" s="60" t="s">
        <v>522</v>
      </c>
      <c r="R60" s="85" t="s">
        <v>0</v>
      </c>
      <c r="S60" s="85" t="s">
        <v>0</v>
      </c>
      <c r="T60" s="61" t="s">
        <v>0</v>
      </c>
      <c r="U60" s="60" t="s">
        <v>0</v>
      </c>
      <c r="V60" s="58" t="s">
        <v>0</v>
      </c>
      <c r="W60" s="58" t="s">
        <v>0</v>
      </c>
      <c r="X60" s="58" t="s">
        <v>0</v>
      </c>
      <c r="Y60" s="58" t="s">
        <v>0</v>
      </c>
      <c r="Z60" s="58" t="s">
        <v>464</v>
      </c>
      <c r="AA60" s="58" t="s">
        <v>485</v>
      </c>
      <c r="AB60" s="58" t="s">
        <v>0</v>
      </c>
      <c r="AC60" s="58" t="s">
        <v>0</v>
      </c>
      <c r="AD60" s="58" t="s">
        <v>0</v>
      </c>
      <c r="AE60" s="58" t="s">
        <v>0</v>
      </c>
      <c r="AF60" s="73"/>
      <c r="AG60" s="58"/>
      <c r="AH60" s="58"/>
      <c r="AI60" s="1" t="s">
        <v>0</v>
      </c>
      <c r="AJ60" s="1" t="s">
        <v>0</v>
      </c>
      <c r="AK60" s="1" t="s">
        <v>1255</v>
      </c>
    </row>
    <row r="61" spans="2:37">
      <c r="B61" s="68" t="s">
        <v>1067</v>
      </c>
      <c r="C61" s="68">
        <v>46020</v>
      </c>
      <c r="D61" s="68">
        <v>46030</v>
      </c>
      <c r="E61" s="68">
        <v>46035</v>
      </c>
      <c r="F61" s="59">
        <v>15</v>
      </c>
      <c r="G61" s="55" t="s">
        <v>1257</v>
      </c>
      <c r="H61" s="55" t="s">
        <v>1266</v>
      </c>
      <c r="I61" s="55" t="s">
        <v>1267</v>
      </c>
      <c r="J61" s="60" t="s">
        <v>461</v>
      </c>
      <c r="K61" s="76" t="s">
        <v>740</v>
      </c>
      <c r="L61" s="60" t="s">
        <v>741</v>
      </c>
      <c r="M61" s="55" t="s">
        <v>624</v>
      </c>
      <c r="N61" s="49" t="s">
        <v>488</v>
      </c>
      <c r="O61" s="49" t="s">
        <v>489</v>
      </c>
      <c r="P61" s="60" t="s">
        <v>5</v>
      </c>
      <c r="Q61" s="60" t="s">
        <v>1067</v>
      </c>
      <c r="R61" s="85">
        <v>46017</v>
      </c>
      <c r="S61" s="85" t="s">
        <v>0</v>
      </c>
      <c r="T61" s="61" t="s">
        <v>0</v>
      </c>
      <c r="U61" s="60" t="s">
        <v>0</v>
      </c>
      <c r="V61" s="58" t="s">
        <v>0</v>
      </c>
      <c r="W61" s="58" t="s">
        <v>0</v>
      </c>
      <c r="X61" s="58" t="s">
        <v>0</v>
      </c>
      <c r="Y61" s="58" t="s">
        <v>0</v>
      </c>
      <c r="Z61" s="54" t="s">
        <v>478</v>
      </c>
      <c r="AA61" s="54" t="s">
        <v>464</v>
      </c>
      <c r="AB61" s="54" t="s">
        <v>485</v>
      </c>
      <c r="AC61" s="58" t="s">
        <v>0</v>
      </c>
      <c r="AD61" s="58" t="s">
        <v>0</v>
      </c>
      <c r="AE61" s="58" t="s">
        <v>0</v>
      </c>
      <c r="AF61" s="73"/>
      <c r="AG61" s="58"/>
      <c r="AH61" s="58"/>
      <c r="AI61" s="1" t="s">
        <v>0</v>
      </c>
      <c r="AK61" s="1" t="s">
        <v>1255</v>
      </c>
    </row>
    <row r="62" spans="2:37">
      <c r="B62" s="68" t="s">
        <v>0</v>
      </c>
      <c r="C62" s="68" t="s">
        <v>0</v>
      </c>
      <c r="D62" s="68" t="s">
        <v>0</v>
      </c>
      <c r="E62" s="68" t="s">
        <v>0</v>
      </c>
      <c r="F62" s="59" t="s">
        <v>0</v>
      </c>
      <c r="G62" s="55" t="s">
        <v>1257</v>
      </c>
      <c r="H62" s="55" t="s">
        <v>1266</v>
      </c>
      <c r="I62" s="55" t="s">
        <v>1271</v>
      </c>
      <c r="J62" s="60" t="s">
        <v>461</v>
      </c>
      <c r="K62" s="76" t="s">
        <v>742</v>
      </c>
      <c r="L62" s="60" t="s">
        <v>1221</v>
      </c>
      <c r="M62" s="55" t="s">
        <v>0</v>
      </c>
      <c r="N62" s="2"/>
      <c r="O62" s="58"/>
      <c r="P62" s="60" t="s">
        <v>379</v>
      </c>
      <c r="Q62" s="60" t="s">
        <v>522</v>
      </c>
      <c r="R62" s="85" t="s">
        <v>0</v>
      </c>
      <c r="S62" s="85" t="s">
        <v>0</v>
      </c>
      <c r="T62" s="61" t="s">
        <v>0</v>
      </c>
      <c r="U62" s="60" t="s">
        <v>0</v>
      </c>
      <c r="V62" s="58" t="s">
        <v>0</v>
      </c>
      <c r="W62" s="58" t="s">
        <v>0</v>
      </c>
      <c r="X62" s="58" t="s">
        <v>0</v>
      </c>
      <c r="Y62" s="58" t="s">
        <v>0</v>
      </c>
      <c r="Z62" s="58" t="s">
        <v>463</v>
      </c>
      <c r="AA62" s="58" t="s">
        <v>474</v>
      </c>
      <c r="AB62" s="58" t="s">
        <v>485</v>
      </c>
      <c r="AC62" s="58" t="s">
        <v>591</v>
      </c>
      <c r="AD62" s="58" t="s">
        <v>0</v>
      </c>
      <c r="AE62" s="58" t="s">
        <v>0</v>
      </c>
      <c r="AF62" s="73"/>
      <c r="AG62" s="58"/>
      <c r="AH62" s="58"/>
      <c r="AI62" s="1" t="s">
        <v>0</v>
      </c>
      <c r="AJ62" s="1" t="s">
        <v>0</v>
      </c>
      <c r="AK62" s="1" t="s">
        <v>1255</v>
      </c>
    </row>
    <row r="63" spans="2:37">
      <c r="B63" s="68" t="s">
        <v>0</v>
      </c>
      <c r="C63" s="68" t="s">
        <v>0</v>
      </c>
      <c r="D63" s="68" t="s">
        <v>0</v>
      </c>
      <c r="E63" s="68" t="s">
        <v>0</v>
      </c>
      <c r="F63" s="59" t="s">
        <v>0</v>
      </c>
      <c r="G63" s="55" t="s">
        <v>1257</v>
      </c>
      <c r="H63" s="55" t="s">
        <v>1266</v>
      </c>
      <c r="I63" s="55" t="s">
        <v>1271</v>
      </c>
      <c r="J63" s="60" t="s">
        <v>461</v>
      </c>
      <c r="K63" s="76" t="s">
        <v>743</v>
      </c>
      <c r="L63" s="60" t="s">
        <v>744</v>
      </c>
      <c r="M63" s="55" t="s">
        <v>0</v>
      </c>
      <c r="N63" s="2"/>
      <c r="O63" s="58"/>
      <c r="P63" s="60" t="s">
        <v>379</v>
      </c>
      <c r="Q63" s="60" t="s">
        <v>522</v>
      </c>
      <c r="R63" s="85" t="s">
        <v>0</v>
      </c>
      <c r="S63" s="85" t="s">
        <v>0</v>
      </c>
      <c r="T63" s="61" t="s">
        <v>0</v>
      </c>
      <c r="U63" s="60" t="s">
        <v>0</v>
      </c>
      <c r="V63" s="58" t="s">
        <v>0</v>
      </c>
      <c r="W63" s="58" t="s">
        <v>0</v>
      </c>
      <c r="X63" s="58" t="s">
        <v>0</v>
      </c>
      <c r="Y63" s="58" t="s">
        <v>0</v>
      </c>
      <c r="Z63" s="58" t="s">
        <v>470</v>
      </c>
      <c r="AA63" s="58" t="s">
        <v>471</v>
      </c>
      <c r="AB63" s="58" t="s">
        <v>0</v>
      </c>
      <c r="AC63" s="58" t="s">
        <v>0</v>
      </c>
      <c r="AD63" s="58" t="s">
        <v>0</v>
      </c>
      <c r="AE63" s="58" t="s">
        <v>0</v>
      </c>
      <c r="AF63" s="73"/>
      <c r="AG63" s="58"/>
      <c r="AH63" s="58"/>
      <c r="AI63" s="1" t="s">
        <v>0</v>
      </c>
      <c r="AJ63" s="1" t="s">
        <v>0</v>
      </c>
      <c r="AK63" s="1" t="s">
        <v>1255</v>
      </c>
    </row>
    <row r="64" spans="2:37">
      <c r="B64" s="68" t="s">
        <v>0</v>
      </c>
      <c r="C64" s="68" t="s">
        <v>0</v>
      </c>
      <c r="D64" s="68" t="s">
        <v>0</v>
      </c>
      <c r="E64" s="68" t="s">
        <v>0</v>
      </c>
      <c r="F64" s="59" t="s">
        <v>0</v>
      </c>
      <c r="G64" s="55" t="s">
        <v>1257</v>
      </c>
      <c r="H64" s="55" t="s">
        <v>1266</v>
      </c>
      <c r="I64" s="55" t="s">
        <v>1271</v>
      </c>
      <c r="J64" s="60" t="s">
        <v>461</v>
      </c>
      <c r="K64" s="76" t="s">
        <v>745</v>
      </c>
      <c r="L64" s="60" t="s">
        <v>630</v>
      </c>
      <c r="M64" s="55" t="s">
        <v>0</v>
      </c>
      <c r="N64" s="2"/>
      <c r="O64" s="58"/>
      <c r="P64" s="60" t="s">
        <v>379</v>
      </c>
      <c r="Q64" s="60" t="s">
        <v>522</v>
      </c>
      <c r="R64" s="85" t="s">
        <v>0</v>
      </c>
      <c r="S64" s="85" t="s">
        <v>0</v>
      </c>
      <c r="T64" s="61" t="s">
        <v>0</v>
      </c>
      <c r="U64" s="60" t="s">
        <v>0</v>
      </c>
      <c r="V64" s="58" t="s">
        <v>0</v>
      </c>
      <c r="W64" s="58" t="s">
        <v>0</v>
      </c>
      <c r="X64" s="58" t="s">
        <v>0</v>
      </c>
      <c r="Y64" s="58" t="s">
        <v>0</v>
      </c>
      <c r="Z64" s="58" t="s">
        <v>474</v>
      </c>
      <c r="AA64" s="58" t="s">
        <v>506</v>
      </c>
      <c r="AB64" s="58" t="s">
        <v>0</v>
      </c>
      <c r="AC64" s="58" t="s">
        <v>0</v>
      </c>
      <c r="AD64" s="58" t="s">
        <v>0</v>
      </c>
      <c r="AE64" s="58" t="s">
        <v>0</v>
      </c>
      <c r="AF64" s="73"/>
      <c r="AG64" s="58"/>
      <c r="AH64" s="58"/>
      <c r="AI64" s="1" t="s">
        <v>0</v>
      </c>
      <c r="AJ64" s="1" t="s">
        <v>0</v>
      </c>
      <c r="AK64" s="1" t="s">
        <v>1255</v>
      </c>
    </row>
    <row r="65" spans="2:37">
      <c r="B65" s="68" t="s">
        <v>0</v>
      </c>
      <c r="C65" s="68" t="s">
        <v>0</v>
      </c>
      <c r="D65" s="68" t="s">
        <v>0</v>
      </c>
      <c r="E65" s="68" t="s">
        <v>0</v>
      </c>
      <c r="F65" s="59" t="s">
        <v>0</v>
      </c>
      <c r="G65" s="55" t="s">
        <v>1257</v>
      </c>
      <c r="H65" s="55" t="s">
        <v>1266</v>
      </c>
      <c r="I65" s="55" t="s">
        <v>1271</v>
      </c>
      <c r="J65" s="60" t="s">
        <v>461</v>
      </c>
      <c r="K65" s="76" t="s">
        <v>746</v>
      </c>
      <c r="L65" s="60" t="s">
        <v>747</v>
      </c>
      <c r="M65" s="55" t="s">
        <v>0</v>
      </c>
      <c r="N65" s="2"/>
      <c r="O65" s="58"/>
      <c r="P65" s="60" t="s">
        <v>6</v>
      </c>
      <c r="Q65" s="60" t="s">
        <v>522</v>
      </c>
      <c r="R65" s="85" t="s">
        <v>0</v>
      </c>
      <c r="S65" s="85" t="s">
        <v>0</v>
      </c>
      <c r="T65" s="61" t="s">
        <v>0</v>
      </c>
      <c r="U65" s="60" t="s">
        <v>0</v>
      </c>
      <c r="V65" s="58" t="s">
        <v>0</v>
      </c>
      <c r="W65" s="58" t="s">
        <v>0</v>
      </c>
      <c r="X65" s="58" t="s">
        <v>0</v>
      </c>
      <c r="Y65" s="58" t="s">
        <v>0</v>
      </c>
      <c r="Z65" s="58" t="s">
        <v>471</v>
      </c>
      <c r="AA65" s="58" t="s">
        <v>464</v>
      </c>
      <c r="AB65" s="58" t="s">
        <v>509</v>
      </c>
      <c r="AC65" s="58" t="s">
        <v>485</v>
      </c>
      <c r="AD65" s="58" t="s">
        <v>0</v>
      </c>
      <c r="AE65" s="58" t="s">
        <v>0</v>
      </c>
      <c r="AF65" s="73"/>
      <c r="AG65" s="58"/>
      <c r="AH65" s="58"/>
      <c r="AI65" s="1" t="s">
        <v>0</v>
      </c>
      <c r="AJ65" s="1" t="s">
        <v>0</v>
      </c>
      <c r="AK65" s="1" t="s">
        <v>1255</v>
      </c>
    </row>
    <row r="66" spans="2:37">
      <c r="B66" s="68" t="s">
        <v>0</v>
      </c>
      <c r="C66" s="68" t="s">
        <v>0</v>
      </c>
      <c r="D66" s="68" t="s">
        <v>0</v>
      </c>
      <c r="E66" s="68" t="s">
        <v>0</v>
      </c>
      <c r="F66" s="59" t="s">
        <v>0</v>
      </c>
      <c r="G66" s="55" t="s">
        <v>1257</v>
      </c>
      <c r="H66" s="55" t="s">
        <v>1266</v>
      </c>
      <c r="I66" s="55" t="s">
        <v>1269</v>
      </c>
      <c r="J66" s="60" t="s">
        <v>461</v>
      </c>
      <c r="K66" s="76" t="s">
        <v>748</v>
      </c>
      <c r="L66" s="60" t="s">
        <v>623</v>
      </c>
      <c r="M66" s="55" t="s">
        <v>0</v>
      </c>
      <c r="N66" s="2"/>
      <c r="O66" s="58"/>
      <c r="P66" s="60" t="s">
        <v>379</v>
      </c>
      <c r="Q66" s="60" t="s">
        <v>522</v>
      </c>
      <c r="R66" s="85" t="s">
        <v>0</v>
      </c>
      <c r="S66" s="85" t="s">
        <v>0</v>
      </c>
      <c r="T66" s="61" t="s">
        <v>0</v>
      </c>
      <c r="U66" s="60" t="s">
        <v>0</v>
      </c>
      <c r="V66" s="58" t="s">
        <v>0</v>
      </c>
      <c r="W66" s="58" t="s">
        <v>0</v>
      </c>
      <c r="X66" s="58" t="s">
        <v>0</v>
      </c>
      <c r="Y66" s="58" t="s">
        <v>0</v>
      </c>
      <c r="Z66" s="58" t="s">
        <v>472</v>
      </c>
      <c r="AA66" s="58" t="s">
        <v>474</v>
      </c>
      <c r="AB66" s="58" t="s">
        <v>471</v>
      </c>
      <c r="AC66" s="58" t="s">
        <v>485</v>
      </c>
      <c r="AD66" s="58" t="s">
        <v>0</v>
      </c>
      <c r="AE66" s="58" t="s">
        <v>0</v>
      </c>
      <c r="AF66" s="73"/>
      <c r="AG66" s="58"/>
      <c r="AH66" s="58"/>
      <c r="AI66" s="1" t="s">
        <v>0</v>
      </c>
      <c r="AJ66" s="1" t="s">
        <v>0</v>
      </c>
      <c r="AK66" s="1" t="s">
        <v>1255</v>
      </c>
    </row>
    <row r="67" spans="2:37">
      <c r="B67" s="68" t="s">
        <v>0</v>
      </c>
      <c r="C67" s="68" t="s">
        <v>0</v>
      </c>
      <c r="D67" s="68" t="s">
        <v>0</v>
      </c>
      <c r="E67" s="68" t="s">
        <v>0</v>
      </c>
      <c r="F67" s="59" t="s">
        <v>0</v>
      </c>
      <c r="G67" s="55" t="s">
        <v>1257</v>
      </c>
      <c r="H67" s="55" t="s">
        <v>1266</v>
      </c>
      <c r="I67" s="55" t="s">
        <v>1269</v>
      </c>
      <c r="J67" s="60" t="s">
        <v>461</v>
      </c>
      <c r="K67" s="76" t="s">
        <v>749</v>
      </c>
      <c r="L67" s="60" t="s">
        <v>750</v>
      </c>
      <c r="M67" s="55" t="s">
        <v>0</v>
      </c>
      <c r="N67" s="2"/>
      <c r="O67" s="58"/>
      <c r="P67" s="60" t="s">
        <v>379</v>
      </c>
      <c r="Q67" s="60" t="s">
        <v>522</v>
      </c>
      <c r="R67" s="85" t="s">
        <v>0</v>
      </c>
      <c r="S67" s="85" t="s">
        <v>0</v>
      </c>
      <c r="T67" s="61" t="s">
        <v>0</v>
      </c>
      <c r="U67" s="60" t="s">
        <v>0</v>
      </c>
      <c r="V67" s="58" t="s">
        <v>0</v>
      </c>
      <c r="W67" s="58" t="s">
        <v>0</v>
      </c>
      <c r="X67" s="58" t="s">
        <v>0</v>
      </c>
      <c r="Y67" s="58" t="s">
        <v>0</v>
      </c>
      <c r="Z67" s="58" t="s">
        <v>474</v>
      </c>
      <c r="AA67" s="58" t="s">
        <v>471</v>
      </c>
      <c r="AB67" s="58" t="s">
        <v>464</v>
      </c>
      <c r="AC67" s="58" t="s">
        <v>0</v>
      </c>
      <c r="AD67" s="58" t="s">
        <v>0</v>
      </c>
      <c r="AE67" s="58" t="s">
        <v>0</v>
      </c>
      <c r="AF67" s="73"/>
      <c r="AG67" s="58"/>
      <c r="AH67" s="58"/>
      <c r="AI67" s="1" t="s">
        <v>0</v>
      </c>
      <c r="AJ67" s="1" t="s">
        <v>0</v>
      </c>
      <c r="AK67" s="1" t="s">
        <v>1255</v>
      </c>
    </row>
    <row r="68" spans="2:37">
      <c r="B68" s="68" t="s">
        <v>0</v>
      </c>
      <c r="C68" s="68" t="s">
        <v>0</v>
      </c>
      <c r="D68" s="68" t="s">
        <v>0</v>
      </c>
      <c r="E68" s="68" t="s">
        <v>0</v>
      </c>
      <c r="F68" s="59" t="s">
        <v>0</v>
      </c>
      <c r="G68" s="55" t="s">
        <v>1257</v>
      </c>
      <c r="H68" s="55" t="s">
        <v>1266</v>
      </c>
      <c r="I68" s="55" t="s">
        <v>1269</v>
      </c>
      <c r="J68" s="60" t="s">
        <v>461</v>
      </c>
      <c r="K68" s="76" t="s">
        <v>751</v>
      </c>
      <c r="L68" s="60" t="s">
        <v>752</v>
      </c>
      <c r="M68" s="55" t="s">
        <v>0</v>
      </c>
      <c r="N68" s="2"/>
      <c r="O68" s="58"/>
      <c r="P68" s="60" t="s">
        <v>379</v>
      </c>
      <c r="Q68" s="60" t="s">
        <v>522</v>
      </c>
      <c r="R68" s="85" t="s">
        <v>0</v>
      </c>
      <c r="S68" s="85" t="s">
        <v>0</v>
      </c>
      <c r="T68" s="61" t="s">
        <v>0</v>
      </c>
      <c r="U68" s="60" t="s">
        <v>0</v>
      </c>
      <c r="V68" s="58" t="s">
        <v>0</v>
      </c>
      <c r="W68" s="58" t="s">
        <v>0</v>
      </c>
      <c r="X68" s="58" t="s">
        <v>0</v>
      </c>
      <c r="Y68" s="58" t="s">
        <v>0</v>
      </c>
      <c r="Z68" s="58" t="s">
        <v>507</v>
      </c>
      <c r="AA68" s="58" t="s">
        <v>471</v>
      </c>
      <c r="AB68" s="58" t="s">
        <v>524</v>
      </c>
      <c r="AC68" s="58" t="s">
        <v>0</v>
      </c>
      <c r="AD68" s="58" t="s">
        <v>0</v>
      </c>
      <c r="AE68" s="58" t="s">
        <v>0</v>
      </c>
      <c r="AF68" s="73"/>
      <c r="AG68" s="58"/>
      <c r="AH68" s="58"/>
      <c r="AI68" s="1" t="s">
        <v>0</v>
      </c>
      <c r="AJ68" s="1" t="s">
        <v>0</v>
      </c>
      <c r="AK68" s="1" t="s">
        <v>1255</v>
      </c>
    </row>
    <row r="69" spans="2:37">
      <c r="B69" s="68" t="s">
        <v>0</v>
      </c>
      <c r="C69" s="68" t="s">
        <v>0</v>
      </c>
      <c r="D69" s="68" t="s">
        <v>0</v>
      </c>
      <c r="E69" s="68" t="s">
        <v>0</v>
      </c>
      <c r="F69" s="59" t="s">
        <v>0</v>
      </c>
      <c r="G69" s="55" t="s">
        <v>1257</v>
      </c>
      <c r="H69" s="55" t="s">
        <v>1266</v>
      </c>
      <c r="I69" s="55" t="s">
        <v>1269</v>
      </c>
      <c r="J69" s="60" t="s">
        <v>461</v>
      </c>
      <c r="K69" s="76" t="s">
        <v>753</v>
      </c>
      <c r="L69" s="60" t="s">
        <v>1222</v>
      </c>
      <c r="M69" s="55" t="s">
        <v>0</v>
      </c>
      <c r="N69" s="2"/>
      <c r="O69" s="58"/>
      <c r="P69" s="60" t="s">
        <v>379</v>
      </c>
      <c r="Q69" s="60" t="s">
        <v>522</v>
      </c>
      <c r="R69" s="85" t="s">
        <v>0</v>
      </c>
      <c r="S69" s="85" t="s">
        <v>0</v>
      </c>
      <c r="T69" s="61" t="s">
        <v>0</v>
      </c>
      <c r="U69" s="60" t="s">
        <v>0</v>
      </c>
      <c r="V69" s="58" t="s">
        <v>0</v>
      </c>
      <c r="W69" s="58" t="s">
        <v>0</v>
      </c>
      <c r="X69" s="58" t="s">
        <v>0</v>
      </c>
      <c r="Y69" s="58" t="s">
        <v>0</v>
      </c>
      <c r="Z69" s="58" t="s">
        <v>472</v>
      </c>
      <c r="AA69" s="58" t="s">
        <v>507</v>
      </c>
      <c r="AB69" s="58" t="s">
        <v>487</v>
      </c>
      <c r="AC69" s="58" t="s">
        <v>485</v>
      </c>
      <c r="AD69" s="58" t="s">
        <v>0</v>
      </c>
      <c r="AE69" s="58" t="s">
        <v>0</v>
      </c>
      <c r="AF69" s="73"/>
      <c r="AG69" s="58"/>
      <c r="AH69" s="58"/>
      <c r="AI69" s="1" t="s">
        <v>0</v>
      </c>
      <c r="AJ69" s="1" t="s">
        <v>0</v>
      </c>
      <c r="AK69" s="1" t="s">
        <v>1255</v>
      </c>
    </row>
    <row r="70" spans="2:37">
      <c r="B70" s="68" t="s">
        <v>0</v>
      </c>
      <c r="C70" s="68" t="s">
        <v>0</v>
      </c>
      <c r="D70" s="68" t="s">
        <v>0</v>
      </c>
      <c r="E70" s="68" t="s">
        <v>0</v>
      </c>
      <c r="F70" s="59" t="s">
        <v>0</v>
      </c>
      <c r="G70" s="55" t="s">
        <v>1257</v>
      </c>
      <c r="H70" s="55" t="s">
        <v>1266</v>
      </c>
      <c r="I70" s="55" t="s">
        <v>1269</v>
      </c>
      <c r="J70" s="60" t="s">
        <v>461</v>
      </c>
      <c r="K70" s="76" t="s">
        <v>754</v>
      </c>
      <c r="L70" s="60" t="s">
        <v>577</v>
      </c>
      <c r="M70" s="55" t="s">
        <v>0</v>
      </c>
      <c r="N70" s="2"/>
      <c r="O70" s="58"/>
      <c r="P70" s="60" t="s">
        <v>379</v>
      </c>
      <c r="Q70" s="60" t="s">
        <v>522</v>
      </c>
      <c r="R70" s="85" t="s">
        <v>0</v>
      </c>
      <c r="S70" s="85" t="s">
        <v>0</v>
      </c>
      <c r="T70" s="61" t="s">
        <v>0</v>
      </c>
      <c r="U70" s="60" t="s">
        <v>0</v>
      </c>
      <c r="V70" s="58" t="s">
        <v>0</v>
      </c>
      <c r="W70" s="58" t="s">
        <v>0</v>
      </c>
      <c r="X70" s="58" t="s">
        <v>0</v>
      </c>
      <c r="Y70" s="58" t="s">
        <v>0</v>
      </c>
      <c r="Z70" s="58" t="s">
        <v>476</v>
      </c>
      <c r="AA70" s="58" t="s">
        <v>472</v>
      </c>
      <c r="AB70" s="58" t="s">
        <v>471</v>
      </c>
      <c r="AC70" s="58" t="s">
        <v>0</v>
      </c>
      <c r="AD70" s="58" t="s">
        <v>0</v>
      </c>
      <c r="AE70" s="58" t="s">
        <v>0</v>
      </c>
      <c r="AF70" s="73"/>
      <c r="AG70" s="58"/>
      <c r="AH70" s="58"/>
      <c r="AI70" s="1" t="s">
        <v>0</v>
      </c>
      <c r="AJ70" s="1" t="s">
        <v>0</v>
      </c>
      <c r="AK70" s="1" t="s">
        <v>1255</v>
      </c>
    </row>
    <row r="71" spans="2:37">
      <c r="B71" s="68" t="s">
        <v>0</v>
      </c>
      <c r="C71" s="68" t="s">
        <v>0</v>
      </c>
      <c r="D71" s="68" t="s">
        <v>0</v>
      </c>
      <c r="E71" s="68" t="s">
        <v>0</v>
      </c>
      <c r="F71" s="59" t="s">
        <v>0</v>
      </c>
      <c r="G71" s="55" t="s">
        <v>1262</v>
      </c>
      <c r="H71" s="55" t="s">
        <v>1266</v>
      </c>
      <c r="I71" s="55" t="s">
        <v>1271</v>
      </c>
      <c r="J71" s="60" t="s">
        <v>461</v>
      </c>
      <c r="K71" s="76" t="s">
        <v>755</v>
      </c>
      <c r="L71" s="60" t="e">
        <v>#N/A</v>
      </c>
      <c r="M71" s="55" t="s">
        <v>0</v>
      </c>
      <c r="N71" s="2"/>
      <c r="O71" s="58"/>
      <c r="P71" s="60" t="e">
        <v>#N/A</v>
      </c>
      <c r="Q71" s="60" t="e">
        <v>#N/A</v>
      </c>
      <c r="R71" s="85" t="s">
        <v>0</v>
      </c>
      <c r="S71" s="85" t="s">
        <v>0</v>
      </c>
      <c r="T71" s="61" t="s">
        <v>0</v>
      </c>
      <c r="U71" s="60" t="s">
        <v>0</v>
      </c>
      <c r="V71" s="58" t="s">
        <v>0</v>
      </c>
      <c r="W71" s="58" t="s">
        <v>0</v>
      </c>
      <c r="X71" s="58" t="s">
        <v>0</v>
      </c>
      <c r="Y71" s="58" t="s">
        <v>0</v>
      </c>
      <c r="Z71" s="58" t="s">
        <v>0</v>
      </c>
      <c r="AA71" s="58" t="s">
        <v>0</v>
      </c>
      <c r="AB71" s="58" t="s">
        <v>0</v>
      </c>
      <c r="AC71" s="58" t="s">
        <v>0</v>
      </c>
      <c r="AD71" s="58" t="s">
        <v>0</v>
      </c>
      <c r="AE71" s="58" t="s">
        <v>0</v>
      </c>
      <c r="AF71" s="73"/>
      <c r="AG71" s="58"/>
      <c r="AH71" s="58"/>
      <c r="AI71" s="1" t="s">
        <v>0</v>
      </c>
      <c r="AJ71" s="1" t="s">
        <v>0</v>
      </c>
      <c r="AK71" s="1" t="s">
        <v>1255</v>
      </c>
    </row>
    <row r="72" spans="2:37">
      <c r="B72" s="68" t="s">
        <v>1263</v>
      </c>
      <c r="C72" s="68">
        <v>46031</v>
      </c>
      <c r="D72" s="68">
        <v>0</v>
      </c>
      <c r="E72" s="68">
        <v>0</v>
      </c>
      <c r="F72" s="59">
        <v>-46031</v>
      </c>
      <c r="G72" s="55" t="s">
        <v>1262</v>
      </c>
      <c r="H72" s="55" t="s">
        <v>1266</v>
      </c>
      <c r="I72" s="55" t="s">
        <v>462</v>
      </c>
      <c r="J72" s="60" t="s">
        <v>461</v>
      </c>
      <c r="K72" s="76" t="s">
        <v>756</v>
      </c>
      <c r="L72" s="60" t="s">
        <v>757</v>
      </c>
      <c r="M72" s="55" t="s">
        <v>624</v>
      </c>
      <c r="N72" s="49" t="s">
        <v>488</v>
      </c>
      <c r="O72" s="49" t="s">
        <v>489</v>
      </c>
      <c r="P72" s="60" t="s">
        <v>457</v>
      </c>
      <c r="Q72" s="60" t="s">
        <v>1249</v>
      </c>
      <c r="R72" s="85" t="s">
        <v>0</v>
      </c>
      <c r="S72" s="85" t="s">
        <v>0</v>
      </c>
      <c r="T72" s="61" t="s">
        <v>0</v>
      </c>
      <c r="U72" s="60" t="s">
        <v>0</v>
      </c>
      <c r="V72" s="58" t="s">
        <v>0</v>
      </c>
      <c r="W72" s="58" t="s">
        <v>0</v>
      </c>
      <c r="X72" s="58" t="s">
        <v>0</v>
      </c>
      <c r="Y72" s="58" t="s">
        <v>0</v>
      </c>
      <c r="Z72" s="54" t="s">
        <v>479</v>
      </c>
      <c r="AA72" s="58" t="s">
        <v>0</v>
      </c>
      <c r="AB72" s="58" t="s">
        <v>0</v>
      </c>
      <c r="AC72" s="58" t="s">
        <v>0</v>
      </c>
      <c r="AD72" s="58" t="s">
        <v>0</v>
      </c>
      <c r="AE72" s="58" t="s">
        <v>0</v>
      </c>
      <c r="AF72" s="73"/>
      <c r="AG72" s="58"/>
      <c r="AH72" s="58"/>
      <c r="AI72" s="1" t="s">
        <v>0</v>
      </c>
      <c r="AK72" s="1" t="s">
        <v>1255</v>
      </c>
    </row>
    <row r="73" spans="2:37">
      <c r="B73" s="68" t="s">
        <v>0</v>
      </c>
      <c r="C73" s="68" t="s">
        <v>0</v>
      </c>
      <c r="D73" s="68" t="s">
        <v>0</v>
      </c>
      <c r="E73" s="68" t="s">
        <v>0</v>
      </c>
      <c r="F73" s="59" t="s">
        <v>0</v>
      </c>
      <c r="G73" s="55" t="s">
        <v>466</v>
      </c>
      <c r="H73" s="55" t="s">
        <v>1266</v>
      </c>
      <c r="I73" s="55" t="s">
        <v>1267</v>
      </c>
      <c r="J73" s="60" t="s">
        <v>461</v>
      </c>
      <c r="K73" s="76" t="s">
        <v>758</v>
      </c>
      <c r="L73" s="60" t="s">
        <v>632</v>
      </c>
      <c r="M73" s="55" t="s">
        <v>0</v>
      </c>
      <c r="N73" s="2"/>
      <c r="O73" s="58"/>
      <c r="P73" s="60" t="s">
        <v>379</v>
      </c>
      <c r="Q73" s="60" t="s">
        <v>522</v>
      </c>
      <c r="R73" s="85" t="s">
        <v>0</v>
      </c>
      <c r="S73" s="85" t="s">
        <v>0</v>
      </c>
      <c r="T73" s="61" t="s">
        <v>0</v>
      </c>
      <c r="U73" s="60" t="s">
        <v>0</v>
      </c>
      <c r="V73" s="58" t="s">
        <v>0</v>
      </c>
      <c r="W73" s="58" t="s">
        <v>0</v>
      </c>
      <c r="X73" s="58" t="s">
        <v>0</v>
      </c>
      <c r="Y73" s="58" t="s">
        <v>0</v>
      </c>
      <c r="Z73" s="58" t="s">
        <v>464</v>
      </c>
      <c r="AA73" s="58" t="s">
        <v>0</v>
      </c>
      <c r="AB73" s="58" t="s">
        <v>0</v>
      </c>
      <c r="AC73" s="58" t="s">
        <v>0</v>
      </c>
      <c r="AD73" s="58" t="s">
        <v>0</v>
      </c>
      <c r="AE73" s="58" t="s">
        <v>0</v>
      </c>
      <c r="AF73" s="73"/>
      <c r="AG73" s="58"/>
      <c r="AH73" s="58"/>
      <c r="AI73" s="1" t="s">
        <v>0</v>
      </c>
      <c r="AJ73" s="1" t="s">
        <v>0</v>
      </c>
      <c r="AK73" s="1" t="s">
        <v>1255</v>
      </c>
    </row>
    <row r="74" spans="2:37">
      <c r="B74" s="68" t="s">
        <v>0</v>
      </c>
      <c r="C74" s="68" t="s">
        <v>0</v>
      </c>
      <c r="D74" s="68" t="s">
        <v>0</v>
      </c>
      <c r="E74" s="68" t="s">
        <v>0</v>
      </c>
      <c r="F74" s="59" t="s">
        <v>0</v>
      </c>
      <c r="G74" s="55" t="s">
        <v>1262</v>
      </c>
      <c r="H74" s="55" t="s">
        <v>1266</v>
      </c>
      <c r="I74" s="55" t="s">
        <v>462</v>
      </c>
      <c r="J74" s="60" t="s">
        <v>461</v>
      </c>
      <c r="K74" s="76" t="s">
        <v>759</v>
      </c>
      <c r="L74" s="60" t="s">
        <v>760</v>
      </c>
      <c r="M74" s="55" t="s">
        <v>0</v>
      </c>
      <c r="N74" s="2"/>
      <c r="O74" s="58"/>
      <c r="P74" s="60" t="s">
        <v>9</v>
      </c>
      <c r="Q74" s="60" t="s">
        <v>522</v>
      </c>
      <c r="R74" s="85" t="s">
        <v>0</v>
      </c>
      <c r="S74" s="85" t="s">
        <v>0</v>
      </c>
      <c r="T74" s="61" t="s">
        <v>0</v>
      </c>
      <c r="U74" s="60" t="s">
        <v>0</v>
      </c>
      <c r="V74" s="58" t="s">
        <v>0</v>
      </c>
      <c r="W74" s="58" t="s">
        <v>0</v>
      </c>
      <c r="X74" s="58" t="s">
        <v>0</v>
      </c>
      <c r="Y74" s="58" t="s">
        <v>0</v>
      </c>
      <c r="Z74" s="58" t="s">
        <v>468</v>
      </c>
      <c r="AA74" s="58" t="s">
        <v>464</v>
      </c>
      <c r="AB74" s="58" t="s">
        <v>0</v>
      </c>
      <c r="AC74" s="58" t="s">
        <v>0</v>
      </c>
      <c r="AD74" s="58" t="s">
        <v>0</v>
      </c>
      <c r="AE74" s="58" t="s">
        <v>0</v>
      </c>
      <c r="AF74" s="73"/>
      <c r="AG74" s="58"/>
      <c r="AH74" s="58"/>
      <c r="AI74" s="1" t="s">
        <v>0</v>
      </c>
      <c r="AJ74" s="1" t="s">
        <v>0</v>
      </c>
      <c r="AK74" s="1" t="s">
        <v>1255</v>
      </c>
    </row>
    <row r="75" spans="2:37">
      <c r="B75" s="68" t="s">
        <v>0</v>
      </c>
      <c r="C75" s="68" t="s">
        <v>0</v>
      </c>
      <c r="D75" s="68" t="s">
        <v>0</v>
      </c>
      <c r="E75" s="68" t="s">
        <v>0</v>
      </c>
      <c r="F75" s="59" t="s">
        <v>0</v>
      </c>
      <c r="G75" s="55" t="s">
        <v>1257</v>
      </c>
      <c r="H75" s="55" t="s">
        <v>1266</v>
      </c>
      <c r="I75" s="55" t="s">
        <v>462</v>
      </c>
      <c r="J75" s="60" t="s">
        <v>461</v>
      </c>
      <c r="K75" s="76" t="s">
        <v>761</v>
      </c>
      <c r="L75" s="60" t="s">
        <v>762</v>
      </c>
      <c r="M75" s="55" t="s">
        <v>0</v>
      </c>
      <c r="N75" s="2"/>
      <c r="O75" s="58"/>
      <c r="P75" s="60" t="s">
        <v>8</v>
      </c>
      <c r="Q75" s="60" t="s">
        <v>522</v>
      </c>
      <c r="R75" s="85" t="s">
        <v>0</v>
      </c>
      <c r="S75" s="85" t="s">
        <v>0</v>
      </c>
      <c r="T75" s="61" t="s">
        <v>0</v>
      </c>
      <c r="U75" s="60" t="s">
        <v>0</v>
      </c>
      <c r="V75" s="58" t="s">
        <v>0</v>
      </c>
      <c r="W75" s="58" t="s">
        <v>0</v>
      </c>
      <c r="X75" s="58" t="s">
        <v>0</v>
      </c>
      <c r="Y75" s="58" t="s">
        <v>0</v>
      </c>
      <c r="Z75" s="58" t="s">
        <v>468</v>
      </c>
      <c r="AA75" s="58" t="s">
        <v>0</v>
      </c>
      <c r="AB75" s="58" t="s">
        <v>0</v>
      </c>
      <c r="AC75" s="58" t="s">
        <v>0</v>
      </c>
      <c r="AD75" s="58" t="s">
        <v>0</v>
      </c>
      <c r="AE75" s="58" t="s">
        <v>0</v>
      </c>
      <c r="AF75" s="73"/>
      <c r="AG75" s="58"/>
      <c r="AH75" s="58"/>
      <c r="AI75" s="1" t="s">
        <v>0</v>
      </c>
      <c r="AJ75" s="1" t="s">
        <v>0</v>
      </c>
      <c r="AK75" s="1" t="s">
        <v>1255</v>
      </c>
    </row>
    <row r="76" spans="2:37">
      <c r="B76" s="68" t="s">
        <v>1270</v>
      </c>
      <c r="C76" s="68">
        <v>46028</v>
      </c>
      <c r="D76" s="68">
        <v>46030</v>
      </c>
      <c r="E76" s="68">
        <v>46035</v>
      </c>
      <c r="F76" s="59">
        <v>7</v>
      </c>
      <c r="G76" s="55" t="s">
        <v>1257</v>
      </c>
      <c r="H76" s="55" t="s">
        <v>1266</v>
      </c>
      <c r="I76" s="55" t="s">
        <v>1267</v>
      </c>
      <c r="J76" s="60" t="s">
        <v>461</v>
      </c>
      <c r="K76" s="76" t="s">
        <v>763</v>
      </c>
      <c r="L76" s="60" t="s">
        <v>764</v>
      </c>
      <c r="M76" s="55" t="s">
        <v>624</v>
      </c>
      <c r="N76" s="49" t="s">
        <v>488</v>
      </c>
      <c r="O76" s="49" t="s">
        <v>489</v>
      </c>
      <c r="P76" s="60" t="s">
        <v>6</v>
      </c>
      <c r="Q76" s="60" t="s">
        <v>1228</v>
      </c>
      <c r="R76" s="85" t="s">
        <v>0</v>
      </c>
      <c r="S76" s="85" t="s">
        <v>0</v>
      </c>
      <c r="T76" s="61" t="s">
        <v>0</v>
      </c>
      <c r="U76" s="60" t="s">
        <v>0</v>
      </c>
      <c r="V76" s="58" t="s">
        <v>0</v>
      </c>
      <c r="W76" s="58" t="s">
        <v>0</v>
      </c>
      <c r="X76" s="58" t="s">
        <v>0</v>
      </c>
      <c r="Y76" s="58" t="s">
        <v>0</v>
      </c>
      <c r="Z76" s="54" t="s">
        <v>472</v>
      </c>
      <c r="AA76" s="54" t="s">
        <v>470</v>
      </c>
      <c r="AB76" s="54" t="s">
        <v>469</v>
      </c>
      <c r="AC76" s="54" t="s">
        <v>471</v>
      </c>
      <c r="AD76" s="58" t="s">
        <v>0</v>
      </c>
      <c r="AE76" s="58" t="s">
        <v>0</v>
      </c>
      <c r="AF76" s="73"/>
      <c r="AG76" s="58"/>
      <c r="AH76" s="58"/>
      <c r="AI76" s="1" t="s">
        <v>0</v>
      </c>
      <c r="AK76" s="1" t="s">
        <v>1255</v>
      </c>
    </row>
    <row r="77" spans="2:37">
      <c r="B77" s="68" t="s">
        <v>0</v>
      </c>
      <c r="C77" s="68" t="s">
        <v>0</v>
      </c>
      <c r="D77" s="68" t="s">
        <v>0</v>
      </c>
      <c r="E77" s="68" t="s">
        <v>0</v>
      </c>
      <c r="F77" s="59" t="s">
        <v>0</v>
      </c>
      <c r="G77" s="55" t="s">
        <v>1262</v>
      </c>
      <c r="H77" s="55" t="s">
        <v>1266</v>
      </c>
      <c r="I77" s="55" t="s">
        <v>1267</v>
      </c>
      <c r="J77" s="60" t="s">
        <v>461</v>
      </c>
      <c r="K77" s="76" t="s">
        <v>765</v>
      </c>
      <c r="L77" s="60" t="s">
        <v>766</v>
      </c>
      <c r="M77" s="55" t="s">
        <v>0</v>
      </c>
      <c r="N77" s="2"/>
      <c r="O77" s="58"/>
      <c r="P77" s="60" t="s">
        <v>7</v>
      </c>
      <c r="Q77" s="60" t="s">
        <v>522</v>
      </c>
      <c r="R77" s="85" t="s">
        <v>0</v>
      </c>
      <c r="S77" s="85" t="s">
        <v>0</v>
      </c>
      <c r="T77" s="61" t="s">
        <v>0</v>
      </c>
      <c r="U77" s="60" t="s">
        <v>0</v>
      </c>
      <c r="V77" s="58" t="s">
        <v>0</v>
      </c>
      <c r="W77" s="58" t="s">
        <v>0</v>
      </c>
      <c r="X77" s="58" t="s">
        <v>0</v>
      </c>
      <c r="Y77" s="58" t="s">
        <v>0</v>
      </c>
      <c r="Z77" s="58" t="s">
        <v>471</v>
      </c>
      <c r="AA77" s="58" t="s">
        <v>508</v>
      </c>
      <c r="AB77" s="58" t="s">
        <v>0</v>
      </c>
      <c r="AC77" s="58" t="s">
        <v>0</v>
      </c>
      <c r="AD77" s="58" t="s">
        <v>0</v>
      </c>
      <c r="AE77" s="58" t="s">
        <v>0</v>
      </c>
      <c r="AF77" s="73"/>
      <c r="AG77" s="58"/>
      <c r="AH77" s="58"/>
      <c r="AI77" s="1" t="s">
        <v>0</v>
      </c>
      <c r="AJ77" s="1" t="s">
        <v>0</v>
      </c>
      <c r="AK77" s="1" t="s">
        <v>1255</v>
      </c>
    </row>
    <row r="78" spans="2:37">
      <c r="B78" s="68" t="s">
        <v>1273</v>
      </c>
      <c r="C78" s="68">
        <v>46029</v>
      </c>
      <c r="D78" s="68">
        <v>46030</v>
      </c>
      <c r="E78" s="68">
        <v>46036</v>
      </c>
      <c r="F78" s="59">
        <v>7</v>
      </c>
      <c r="G78" s="55" t="s">
        <v>1257</v>
      </c>
      <c r="H78" s="55" t="s">
        <v>1266</v>
      </c>
      <c r="I78" s="55" t="s">
        <v>1267</v>
      </c>
      <c r="J78" s="60" t="s">
        <v>461</v>
      </c>
      <c r="K78" s="76" t="s">
        <v>767</v>
      </c>
      <c r="L78" s="60" t="s">
        <v>768</v>
      </c>
      <c r="M78" s="55" t="s">
        <v>624</v>
      </c>
      <c r="N78" s="49" t="s">
        <v>488</v>
      </c>
      <c r="O78" s="49" t="s">
        <v>489</v>
      </c>
      <c r="P78" s="60" t="s">
        <v>8</v>
      </c>
      <c r="Q78" s="60" t="s">
        <v>1226</v>
      </c>
      <c r="R78" s="85" t="s">
        <v>0</v>
      </c>
      <c r="S78" s="85" t="s">
        <v>0</v>
      </c>
      <c r="T78" s="61" t="s">
        <v>0</v>
      </c>
      <c r="U78" s="60" t="s">
        <v>0</v>
      </c>
      <c r="V78" s="58" t="s">
        <v>0</v>
      </c>
      <c r="W78" s="58" t="s">
        <v>0</v>
      </c>
      <c r="X78" s="58" t="s">
        <v>0</v>
      </c>
      <c r="Y78" s="58" t="s">
        <v>0</v>
      </c>
      <c r="Z78" s="54" t="s">
        <v>472</v>
      </c>
      <c r="AA78" s="54" t="s">
        <v>471</v>
      </c>
      <c r="AB78" s="58" t="s">
        <v>0</v>
      </c>
      <c r="AC78" s="58" t="s">
        <v>0</v>
      </c>
      <c r="AD78" s="58" t="s">
        <v>0</v>
      </c>
      <c r="AE78" s="58" t="s">
        <v>0</v>
      </c>
      <c r="AF78" s="73"/>
      <c r="AG78" s="58"/>
      <c r="AH78" s="58"/>
      <c r="AI78" s="1" t="s">
        <v>0</v>
      </c>
      <c r="AK78" s="1" t="s">
        <v>1255</v>
      </c>
    </row>
    <row r="79" spans="2:37">
      <c r="B79" s="68" t="s">
        <v>0</v>
      </c>
      <c r="C79" s="68" t="s">
        <v>0</v>
      </c>
      <c r="D79" s="68" t="s">
        <v>0</v>
      </c>
      <c r="E79" s="68" t="s">
        <v>0</v>
      </c>
      <c r="F79" s="59" t="s">
        <v>0</v>
      </c>
      <c r="G79" s="55" t="s">
        <v>1257</v>
      </c>
      <c r="H79" s="55" t="s">
        <v>1266</v>
      </c>
      <c r="I79" s="55" t="s">
        <v>1267</v>
      </c>
      <c r="J79" s="60" t="s">
        <v>461</v>
      </c>
      <c r="K79" s="76" t="s">
        <v>769</v>
      </c>
      <c r="L79" s="60" t="s">
        <v>770</v>
      </c>
      <c r="M79" s="55" t="s">
        <v>0</v>
      </c>
      <c r="N79" s="2"/>
      <c r="O79" s="58"/>
      <c r="P79" s="60" t="s">
        <v>379</v>
      </c>
      <c r="Q79" s="60" t="s">
        <v>522</v>
      </c>
      <c r="R79" s="85" t="s">
        <v>0</v>
      </c>
      <c r="S79" s="85" t="s">
        <v>0</v>
      </c>
      <c r="T79" s="61" t="s">
        <v>0</v>
      </c>
      <c r="U79" s="60" t="s">
        <v>0</v>
      </c>
      <c r="V79" s="58" t="s">
        <v>0</v>
      </c>
      <c r="W79" s="58" t="s">
        <v>0</v>
      </c>
      <c r="X79" s="58" t="s">
        <v>0</v>
      </c>
      <c r="Y79" s="58" t="s">
        <v>0</v>
      </c>
      <c r="Z79" s="58" t="s">
        <v>469</v>
      </c>
      <c r="AA79" s="58" t="s">
        <v>0</v>
      </c>
      <c r="AB79" s="58" t="s">
        <v>0</v>
      </c>
      <c r="AC79" s="58" t="s">
        <v>0</v>
      </c>
      <c r="AD79" s="58" t="s">
        <v>0</v>
      </c>
      <c r="AE79" s="58" t="s">
        <v>0</v>
      </c>
      <c r="AF79" s="73"/>
      <c r="AG79" s="58"/>
      <c r="AH79" s="58"/>
      <c r="AI79" s="1" t="s">
        <v>0</v>
      </c>
      <c r="AJ79" s="1" t="s">
        <v>0</v>
      </c>
      <c r="AK79" s="1" t="s">
        <v>1255</v>
      </c>
    </row>
    <row r="80" spans="2:37">
      <c r="B80" s="68" t="s">
        <v>1071</v>
      </c>
      <c r="C80" s="68">
        <v>46008</v>
      </c>
      <c r="D80" s="68">
        <v>46021</v>
      </c>
      <c r="E80" s="68">
        <v>46022</v>
      </c>
      <c r="F80" s="59">
        <v>14</v>
      </c>
      <c r="G80" s="55" t="s">
        <v>1262</v>
      </c>
      <c r="H80" s="55" t="s">
        <v>1266</v>
      </c>
      <c r="I80" s="55" t="s">
        <v>1267</v>
      </c>
      <c r="J80" s="60" t="s">
        <v>461</v>
      </c>
      <c r="K80" s="76" t="s">
        <v>771</v>
      </c>
      <c r="L80" s="60" t="s">
        <v>772</v>
      </c>
      <c r="M80" s="55" t="s">
        <v>624</v>
      </c>
      <c r="N80" s="49" t="s">
        <v>488</v>
      </c>
      <c r="O80" s="49" t="s">
        <v>489</v>
      </c>
      <c r="P80" s="60" t="s">
        <v>8</v>
      </c>
      <c r="Q80" s="60" t="s">
        <v>1071</v>
      </c>
      <c r="R80" s="85" t="s">
        <v>0</v>
      </c>
      <c r="S80" s="85" t="s">
        <v>0</v>
      </c>
      <c r="T80" s="61" t="s">
        <v>0</v>
      </c>
      <c r="U80" s="60" t="s">
        <v>0</v>
      </c>
      <c r="V80" s="58" t="s">
        <v>0</v>
      </c>
      <c r="W80" s="58" t="s">
        <v>0</v>
      </c>
      <c r="X80" s="58" t="s">
        <v>0</v>
      </c>
      <c r="Y80" s="58" t="s">
        <v>0</v>
      </c>
      <c r="Z80" s="54" t="s">
        <v>468</v>
      </c>
      <c r="AA80" s="54" t="s">
        <v>464</v>
      </c>
      <c r="AB80" s="54" t="s">
        <v>475</v>
      </c>
      <c r="AC80" s="58" t="s">
        <v>0</v>
      </c>
      <c r="AD80" s="58" t="s">
        <v>0</v>
      </c>
      <c r="AE80" s="58" t="s">
        <v>0</v>
      </c>
      <c r="AF80" s="73"/>
      <c r="AG80" s="58"/>
      <c r="AH80" s="58"/>
      <c r="AI80" s="1" t="s">
        <v>0</v>
      </c>
      <c r="AJ80" s="1">
        <v>14</v>
      </c>
      <c r="AK80" s="1" t="s">
        <v>1255</v>
      </c>
    </row>
    <row r="81" spans="2:37">
      <c r="B81" s="68" t="s">
        <v>0</v>
      </c>
      <c r="C81" s="68" t="s">
        <v>0</v>
      </c>
      <c r="D81" s="68" t="s">
        <v>0</v>
      </c>
      <c r="E81" s="68" t="s">
        <v>0</v>
      </c>
      <c r="F81" s="59" t="s">
        <v>0</v>
      </c>
      <c r="G81" s="55" t="s">
        <v>1257</v>
      </c>
      <c r="H81" s="55" t="s">
        <v>1266</v>
      </c>
      <c r="I81" s="55" t="s">
        <v>1267</v>
      </c>
      <c r="J81" s="60" t="s">
        <v>461</v>
      </c>
      <c r="K81" s="76" t="s">
        <v>773</v>
      </c>
      <c r="L81" s="60" t="s">
        <v>774</v>
      </c>
      <c r="M81" s="55" t="s">
        <v>0</v>
      </c>
      <c r="N81" s="2"/>
      <c r="O81" s="58"/>
      <c r="P81" s="60" t="s">
        <v>7</v>
      </c>
      <c r="Q81" s="60" t="s">
        <v>522</v>
      </c>
      <c r="R81" s="85" t="s">
        <v>0</v>
      </c>
      <c r="S81" s="85" t="s">
        <v>0</v>
      </c>
      <c r="T81" s="61" t="s">
        <v>0</v>
      </c>
      <c r="U81" s="60" t="s">
        <v>0</v>
      </c>
      <c r="V81" s="58" t="s">
        <v>0</v>
      </c>
      <c r="W81" s="58" t="s">
        <v>0</v>
      </c>
      <c r="X81" s="58" t="s">
        <v>0</v>
      </c>
      <c r="Y81" s="58" t="s">
        <v>0</v>
      </c>
      <c r="Z81" s="58" t="s">
        <v>464</v>
      </c>
      <c r="AA81" s="58" t="s">
        <v>0</v>
      </c>
      <c r="AB81" s="58" t="s">
        <v>0</v>
      </c>
      <c r="AC81" s="58" t="s">
        <v>0</v>
      </c>
      <c r="AD81" s="58" t="s">
        <v>0</v>
      </c>
      <c r="AE81" s="58" t="s">
        <v>0</v>
      </c>
      <c r="AF81" s="73"/>
      <c r="AG81" s="58"/>
      <c r="AH81" s="58"/>
      <c r="AI81" s="1" t="s">
        <v>0</v>
      </c>
      <c r="AJ81" s="1" t="s">
        <v>0</v>
      </c>
      <c r="AK81" s="1" t="s">
        <v>1255</v>
      </c>
    </row>
    <row r="82" spans="2:37">
      <c r="B82" s="68" t="s">
        <v>1274</v>
      </c>
      <c r="C82" s="68">
        <v>46037</v>
      </c>
      <c r="D82" s="68">
        <v>0</v>
      </c>
      <c r="E82" s="68">
        <v>0</v>
      </c>
      <c r="F82" s="59">
        <v>-46037</v>
      </c>
      <c r="G82" s="55" t="s">
        <v>1262</v>
      </c>
      <c r="H82" s="55" t="s">
        <v>1266</v>
      </c>
      <c r="I82" s="55" t="s">
        <v>1271</v>
      </c>
      <c r="J82" s="60" t="s">
        <v>461</v>
      </c>
      <c r="K82" s="76" t="s">
        <v>775</v>
      </c>
      <c r="L82" s="60" t="s">
        <v>564</v>
      </c>
      <c r="M82" s="55" t="s">
        <v>624</v>
      </c>
      <c r="N82" s="49" t="s">
        <v>488</v>
      </c>
      <c r="O82" s="50" t="s">
        <v>490</v>
      </c>
      <c r="P82" s="60" t="s">
        <v>6</v>
      </c>
      <c r="Q82" s="60" t="s">
        <v>1247</v>
      </c>
      <c r="R82" s="85" t="s">
        <v>0</v>
      </c>
      <c r="S82" s="85" t="s">
        <v>0</v>
      </c>
      <c r="T82" s="61" t="s">
        <v>0</v>
      </c>
      <c r="U82" s="60" t="s">
        <v>0</v>
      </c>
      <c r="V82" s="58" t="s">
        <v>0</v>
      </c>
      <c r="W82" s="58" t="s">
        <v>0</v>
      </c>
      <c r="X82" s="58" t="s">
        <v>0</v>
      </c>
      <c r="Y82" s="58" t="s">
        <v>0</v>
      </c>
      <c r="Z82" s="70" t="s">
        <v>477</v>
      </c>
      <c r="AA82" s="58" t="s">
        <v>472</v>
      </c>
      <c r="AB82" s="54" t="s">
        <v>523</v>
      </c>
      <c r="AC82" s="58" t="s">
        <v>471</v>
      </c>
      <c r="AD82" s="54" t="s">
        <v>483</v>
      </c>
      <c r="AE82" s="58" t="s">
        <v>506</v>
      </c>
      <c r="AF82" s="73"/>
      <c r="AG82" s="58"/>
      <c r="AH82" s="58"/>
      <c r="AI82" s="1" t="s">
        <v>0</v>
      </c>
      <c r="AJ82" s="1">
        <v>-46037</v>
      </c>
      <c r="AK82" s="1" t="s">
        <v>1255</v>
      </c>
    </row>
    <row r="83" spans="2:37">
      <c r="B83" s="68" t="s">
        <v>0</v>
      </c>
      <c r="C83" s="68" t="s">
        <v>0</v>
      </c>
      <c r="D83" s="68" t="s">
        <v>0</v>
      </c>
      <c r="E83" s="68" t="s">
        <v>0</v>
      </c>
      <c r="F83" s="59" t="s">
        <v>0</v>
      </c>
      <c r="G83" s="55" t="s">
        <v>1257</v>
      </c>
      <c r="H83" s="55" t="s">
        <v>1266</v>
      </c>
      <c r="I83" s="55" t="s">
        <v>1269</v>
      </c>
      <c r="J83" s="60" t="s">
        <v>461</v>
      </c>
      <c r="K83" s="76" t="s">
        <v>776</v>
      </c>
      <c r="L83" s="60" t="s">
        <v>536</v>
      </c>
      <c r="M83" s="55" t="s">
        <v>0</v>
      </c>
      <c r="N83" s="2"/>
      <c r="O83" s="58"/>
      <c r="P83" s="60" t="s">
        <v>379</v>
      </c>
      <c r="Q83" s="60" t="s">
        <v>522</v>
      </c>
      <c r="R83" s="85" t="s">
        <v>0</v>
      </c>
      <c r="S83" s="85" t="s">
        <v>0</v>
      </c>
      <c r="T83" s="61" t="s">
        <v>0</v>
      </c>
      <c r="U83" s="60" t="s">
        <v>0</v>
      </c>
      <c r="V83" s="58" t="s">
        <v>0</v>
      </c>
      <c r="W83" s="58" t="s">
        <v>0</v>
      </c>
      <c r="X83" s="58" t="s">
        <v>0</v>
      </c>
      <c r="Y83" s="58" t="s">
        <v>0</v>
      </c>
      <c r="Z83" s="58" t="s">
        <v>471</v>
      </c>
      <c r="AA83" s="58" t="s">
        <v>467</v>
      </c>
      <c r="AB83" s="58" t="s">
        <v>483</v>
      </c>
      <c r="AC83" s="58" t="s">
        <v>0</v>
      </c>
      <c r="AD83" s="58" t="s">
        <v>0</v>
      </c>
      <c r="AE83" s="58" t="s">
        <v>0</v>
      </c>
      <c r="AF83" s="73"/>
      <c r="AG83" s="58"/>
      <c r="AH83" s="58"/>
      <c r="AI83" s="1" t="s">
        <v>0</v>
      </c>
      <c r="AJ83" s="1" t="s">
        <v>0</v>
      </c>
      <c r="AK83" s="1" t="s">
        <v>1255</v>
      </c>
    </row>
    <row r="84" spans="2:37">
      <c r="B84" s="68" t="s">
        <v>0</v>
      </c>
      <c r="C84" s="68" t="s">
        <v>0</v>
      </c>
      <c r="D84" s="68" t="s">
        <v>0</v>
      </c>
      <c r="E84" s="68" t="s">
        <v>0</v>
      </c>
      <c r="F84" s="59" t="s">
        <v>0</v>
      </c>
      <c r="G84" s="55" t="s">
        <v>1257</v>
      </c>
      <c r="H84" s="55" t="s">
        <v>1266</v>
      </c>
      <c r="I84" s="55" t="s">
        <v>462</v>
      </c>
      <c r="J84" s="60" t="s">
        <v>461</v>
      </c>
      <c r="K84" s="76" t="s">
        <v>777</v>
      </c>
      <c r="L84" s="60" t="s">
        <v>589</v>
      </c>
      <c r="M84" s="55" t="s">
        <v>0</v>
      </c>
      <c r="N84" s="2"/>
      <c r="O84" s="58"/>
      <c r="P84" s="60" t="s">
        <v>9</v>
      </c>
      <c r="Q84" s="60" t="s">
        <v>522</v>
      </c>
      <c r="R84" s="85" t="s">
        <v>0</v>
      </c>
      <c r="S84" s="85" t="s">
        <v>0</v>
      </c>
      <c r="T84" s="61" t="s">
        <v>0</v>
      </c>
      <c r="U84" s="60" t="s">
        <v>0</v>
      </c>
      <c r="V84" s="58" t="s">
        <v>0</v>
      </c>
      <c r="W84" s="58" t="s">
        <v>0</v>
      </c>
      <c r="X84" s="58" t="s">
        <v>0</v>
      </c>
      <c r="Y84" s="58" t="s">
        <v>0</v>
      </c>
      <c r="Z84" s="58" t="s">
        <v>464</v>
      </c>
      <c r="AA84" s="58" t="s">
        <v>0</v>
      </c>
      <c r="AB84" s="58" t="s">
        <v>0</v>
      </c>
      <c r="AC84" s="58" t="s">
        <v>0</v>
      </c>
      <c r="AD84" s="58" t="s">
        <v>0</v>
      </c>
      <c r="AE84" s="58" t="s">
        <v>0</v>
      </c>
      <c r="AF84" s="73"/>
      <c r="AG84" s="58"/>
      <c r="AH84" s="58"/>
      <c r="AI84" s="1" t="s">
        <v>0</v>
      </c>
      <c r="AJ84" s="1" t="s">
        <v>0</v>
      </c>
      <c r="AK84" s="1" t="s">
        <v>1255</v>
      </c>
    </row>
    <row r="85" spans="2:37">
      <c r="B85" s="68" t="s">
        <v>0</v>
      </c>
      <c r="C85" s="68" t="s">
        <v>0</v>
      </c>
      <c r="D85" s="68" t="s">
        <v>0</v>
      </c>
      <c r="E85" s="68" t="s">
        <v>0</v>
      </c>
      <c r="F85" s="59" t="s">
        <v>0</v>
      </c>
      <c r="G85" s="55" t="s">
        <v>1262</v>
      </c>
      <c r="H85" s="55" t="s">
        <v>1266</v>
      </c>
      <c r="I85" s="55" t="s">
        <v>462</v>
      </c>
      <c r="J85" s="60" t="s">
        <v>461</v>
      </c>
      <c r="K85" s="76" t="s">
        <v>778</v>
      </c>
      <c r="L85" s="60" t="e">
        <v>#N/A</v>
      </c>
      <c r="M85" s="55" t="s">
        <v>0</v>
      </c>
      <c r="N85" s="2"/>
      <c r="O85" s="58"/>
      <c r="P85" s="60" t="e">
        <v>#N/A</v>
      </c>
      <c r="Q85" s="60" t="e">
        <v>#N/A</v>
      </c>
      <c r="R85" s="85" t="s">
        <v>0</v>
      </c>
      <c r="S85" s="85" t="s">
        <v>0</v>
      </c>
      <c r="T85" s="61" t="s">
        <v>0</v>
      </c>
      <c r="U85" s="60" t="s">
        <v>0</v>
      </c>
      <c r="V85" s="58" t="s">
        <v>0</v>
      </c>
      <c r="W85" s="58" t="s">
        <v>0</v>
      </c>
      <c r="X85" s="58" t="s">
        <v>0</v>
      </c>
      <c r="Y85" s="58" t="s">
        <v>0</v>
      </c>
      <c r="Z85" s="58" t="s">
        <v>0</v>
      </c>
      <c r="AA85" s="58" t="s">
        <v>0</v>
      </c>
      <c r="AB85" s="58" t="s">
        <v>0</v>
      </c>
      <c r="AC85" s="58" t="s">
        <v>0</v>
      </c>
      <c r="AD85" s="58" t="s">
        <v>0</v>
      </c>
      <c r="AE85" s="58" t="s">
        <v>0</v>
      </c>
      <c r="AF85" s="73"/>
      <c r="AG85" s="58"/>
      <c r="AH85" s="58"/>
      <c r="AI85" s="1" t="s">
        <v>0</v>
      </c>
      <c r="AJ85" s="1" t="s">
        <v>0</v>
      </c>
      <c r="AK85" s="1" t="s">
        <v>1255</v>
      </c>
    </row>
    <row r="86" spans="2:37">
      <c r="B86" s="68" t="s">
        <v>0</v>
      </c>
      <c r="C86" s="68" t="s">
        <v>0</v>
      </c>
      <c r="D86" s="68" t="s">
        <v>0</v>
      </c>
      <c r="E86" s="68" t="s">
        <v>0</v>
      </c>
      <c r="F86" s="59" t="s">
        <v>0</v>
      </c>
      <c r="G86" s="55" t="s">
        <v>1257</v>
      </c>
      <c r="H86" s="55" t="s">
        <v>1266</v>
      </c>
      <c r="I86" s="55" t="s">
        <v>460</v>
      </c>
      <c r="J86" s="60" t="s">
        <v>461</v>
      </c>
      <c r="K86" s="76" t="s">
        <v>779</v>
      </c>
      <c r="L86" s="60" t="s">
        <v>780</v>
      </c>
      <c r="M86" s="55" t="s">
        <v>0</v>
      </c>
      <c r="N86" s="2"/>
      <c r="O86" s="58"/>
      <c r="P86" s="60" t="s">
        <v>9</v>
      </c>
      <c r="Q86" s="60" t="s">
        <v>522</v>
      </c>
      <c r="R86" s="85" t="s">
        <v>0</v>
      </c>
      <c r="S86" s="85" t="s">
        <v>0</v>
      </c>
      <c r="T86" s="61" t="s">
        <v>0</v>
      </c>
      <c r="U86" s="60" t="s">
        <v>0</v>
      </c>
      <c r="V86" s="58" t="s">
        <v>0</v>
      </c>
      <c r="W86" s="58" t="s">
        <v>0</v>
      </c>
      <c r="X86" s="58" t="s">
        <v>0</v>
      </c>
      <c r="Y86" s="58" t="s">
        <v>0</v>
      </c>
      <c r="Z86" s="58" t="s">
        <v>464</v>
      </c>
      <c r="AA86" s="58" t="s">
        <v>487</v>
      </c>
      <c r="AB86" s="58" t="s">
        <v>0</v>
      </c>
      <c r="AC86" s="58" t="s">
        <v>0</v>
      </c>
      <c r="AD86" s="58" t="s">
        <v>0</v>
      </c>
      <c r="AE86" s="58" t="s">
        <v>0</v>
      </c>
      <c r="AF86" s="73"/>
      <c r="AG86" s="58"/>
      <c r="AH86" s="58"/>
      <c r="AI86" s="1" t="s">
        <v>0</v>
      </c>
      <c r="AJ86" s="1" t="s">
        <v>0</v>
      </c>
      <c r="AK86" s="1" t="s">
        <v>1255</v>
      </c>
    </row>
    <row r="87" spans="2:37">
      <c r="B87" s="68" t="s">
        <v>1048</v>
      </c>
      <c r="C87" s="68">
        <v>46006</v>
      </c>
      <c r="D87" s="68">
        <v>46009</v>
      </c>
      <c r="E87" s="68">
        <v>46010</v>
      </c>
      <c r="F87" s="59">
        <v>4</v>
      </c>
      <c r="G87" s="55" t="s">
        <v>1257</v>
      </c>
      <c r="H87" s="55" t="s">
        <v>1266</v>
      </c>
      <c r="I87" s="55" t="s">
        <v>462</v>
      </c>
      <c r="J87" s="60" t="s">
        <v>461</v>
      </c>
      <c r="K87" s="76" t="s">
        <v>781</v>
      </c>
      <c r="L87" s="60" t="s">
        <v>782</v>
      </c>
      <c r="M87" s="55" t="s">
        <v>624</v>
      </c>
      <c r="N87" s="49" t="s">
        <v>488</v>
      </c>
      <c r="O87" s="49" t="s">
        <v>489</v>
      </c>
      <c r="P87" s="60" t="s">
        <v>5</v>
      </c>
      <c r="Q87" s="60" t="s">
        <v>1051</v>
      </c>
      <c r="R87" s="85">
        <v>45999</v>
      </c>
      <c r="S87" s="85">
        <v>46010</v>
      </c>
      <c r="T87" s="61">
        <v>14</v>
      </c>
      <c r="U87" s="60">
        <v>11</v>
      </c>
      <c r="V87" s="58" t="s">
        <v>1254</v>
      </c>
      <c r="W87" s="58" t="s">
        <v>0</v>
      </c>
      <c r="X87" s="58" t="s">
        <v>0</v>
      </c>
      <c r="Y87" s="58" t="s">
        <v>0</v>
      </c>
      <c r="Z87" s="54" t="s">
        <v>477</v>
      </c>
      <c r="AA87" s="54" t="s">
        <v>464</v>
      </c>
      <c r="AB87" s="58" t="s">
        <v>0</v>
      </c>
      <c r="AC87" s="58" t="s">
        <v>0</v>
      </c>
      <c r="AD87" s="58" t="s">
        <v>0</v>
      </c>
      <c r="AE87" s="58" t="s">
        <v>0</v>
      </c>
      <c r="AF87" s="73"/>
      <c r="AG87" s="58"/>
      <c r="AH87" s="58"/>
      <c r="AI87" s="1">
        <v>0</v>
      </c>
      <c r="AJ87" s="1">
        <v>4</v>
      </c>
      <c r="AK87" s="1" t="s">
        <v>1255</v>
      </c>
    </row>
    <row r="88" spans="2:37">
      <c r="B88" s="68" t="s">
        <v>1049</v>
      </c>
      <c r="C88" s="68">
        <v>46002</v>
      </c>
      <c r="D88" s="68">
        <v>46009</v>
      </c>
      <c r="E88" s="68">
        <v>46010</v>
      </c>
      <c r="F88" s="59">
        <v>8</v>
      </c>
      <c r="G88" s="55" t="s">
        <v>1257</v>
      </c>
      <c r="H88" s="55" t="s">
        <v>1266</v>
      </c>
      <c r="I88" s="55" t="s">
        <v>462</v>
      </c>
      <c r="J88" s="60" t="s">
        <v>461</v>
      </c>
      <c r="K88" s="76" t="s">
        <v>783</v>
      </c>
      <c r="L88" s="60" t="s">
        <v>784</v>
      </c>
      <c r="M88" s="55" t="s">
        <v>624</v>
      </c>
      <c r="N88" s="49" t="s">
        <v>488</v>
      </c>
      <c r="O88" s="49" t="s">
        <v>489</v>
      </c>
      <c r="P88" s="60" t="s">
        <v>6</v>
      </c>
      <c r="Q88" s="60" t="s">
        <v>1049</v>
      </c>
      <c r="R88" s="85">
        <v>46001</v>
      </c>
      <c r="S88" s="85">
        <v>46010</v>
      </c>
      <c r="T88" s="61">
        <v>9</v>
      </c>
      <c r="U88" s="60">
        <v>9</v>
      </c>
      <c r="V88" s="58" t="s">
        <v>1254</v>
      </c>
      <c r="W88" s="58" t="s">
        <v>0</v>
      </c>
      <c r="X88" s="58" t="s">
        <v>0</v>
      </c>
      <c r="Y88" s="58" t="s">
        <v>0</v>
      </c>
      <c r="Z88" s="54" t="s">
        <v>464</v>
      </c>
      <c r="AA88" s="54" t="s">
        <v>485</v>
      </c>
      <c r="AB88" s="58" t="s">
        <v>0</v>
      </c>
      <c r="AC88" s="58" t="s">
        <v>0</v>
      </c>
      <c r="AD88" s="58" t="s">
        <v>0</v>
      </c>
      <c r="AE88" s="58" t="s">
        <v>0</v>
      </c>
      <c r="AF88" s="73"/>
      <c r="AG88" s="58"/>
      <c r="AH88" s="58"/>
      <c r="AI88" s="1">
        <v>0</v>
      </c>
      <c r="AJ88" s="1">
        <v>8</v>
      </c>
      <c r="AK88" s="1" t="s">
        <v>1255</v>
      </c>
    </row>
    <row r="89" spans="2:37">
      <c r="B89" s="68" t="s">
        <v>1067</v>
      </c>
      <c r="C89" s="68">
        <v>46020</v>
      </c>
      <c r="D89" s="68">
        <v>46030</v>
      </c>
      <c r="E89" s="68">
        <v>46036</v>
      </c>
      <c r="F89" s="59">
        <v>16</v>
      </c>
      <c r="G89" s="55" t="s">
        <v>1262</v>
      </c>
      <c r="H89" s="55" t="s">
        <v>1266</v>
      </c>
      <c r="I89" s="55" t="s">
        <v>1267</v>
      </c>
      <c r="J89" s="60" t="s">
        <v>461</v>
      </c>
      <c r="K89" s="76" t="s">
        <v>785</v>
      </c>
      <c r="L89" s="60" t="s">
        <v>618</v>
      </c>
      <c r="M89" s="55" t="s">
        <v>624</v>
      </c>
      <c r="N89" s="49" t="s">
        <v>488</v>
      </c>
      <c r="O89" s="49" t="s">
        <v>489</v>
      </c>
      <c r="P89" s="60" t="s">
        <v>6</v>
      </c>
      <c r="Q89" s="60" t="s">
        <v>1067</v>
      </c>
      <c r="R89" s="85">
        <v>46024</v>
      </c>
      <c r="S89" s="85" t="s">
        <v>0</v>
      </c>
      <c r="T89" s="61" t="s">
        <v>0</v>
      </c>
      <c r="U89" s="60" t="s">
        <v>0</v>
      </c>
      <c r="V89" s="58" t="s">
        <v>0</v>
      </c>
      <c r="W89" s="58" t="s">
        <v>0</v>
      </c>
      <c r="X89" s="58" t="s">
        <v>0</v>
      </c>
      <c r="Y89" s="58" t="s">
        <v>0</v>
      </c>
      <c r="Z89" s="54" t="s">
        <v>464</v>
      </c>
      <c r="AA89" s="54" t="s">
        <v>486</v>
      </c>
      <c r="AB89" s="58" t="s">
        <v>0</v>
      </c>
      <c r="AC89" s="58" t="s">
        <v>0</v>
      </c>
      <c r="AD89" s="58" t="s">
        <v>0</v>
      </c>
      <c r="AE89" s="58" t="s">
        <v>0</v>
      </c>
      <c r="AF89" s="73"/>
      <c r="AG89" s="58"/>
      <c r="AH89" s="58"/>
      <c r="AI89" s="1" t="s">
        <v>0</v>
      </c>
      <c r="AK89" s="1" t="s">
        <v>1255</v>
      </c>
    </row>
    <row r="90" spans="2:37">
      <c r="B90" s="68" t="s">
        <v>0</v>
      </c>
      <c r="C90" s="68" t="s">
        <v>0</v>
      </c>
      <c r="D90" s="68" t="s">
        <v>0</v>
      </c>
      <c r="E90" s="68" t="s">
        <v>0</v>
      </c>
      <c r="F90" s="59" t="s">
        <v>0</v>
      </c>
      <c r="G90" s="55" t="s">
        <v>1257</v>
      </c>
      <c r="H90" s="55" t="s">
        <v>1266</v>
      </c>
      <c r="I90" s="55" t="s">
        <v>1267</v>
      </c>
      <c r="J90" s="60" t="s">
        <v>461</v>
      </c>
      <c r="K90" s="76" t="s">
        <v>786</v>
      </c>
      <c r="L90" s="60" t="s">
        <v>590</v>
      </c>
      <c r="M90" s="55" t="s">
        <v>0</v>
      </c>
      <c r="N90" s="2"/>
      <c r="O90" s="58"/>
      <c r="P90" s="60" t="s">
        <v>5</v>
      </c>
      <c r="Q90" s="60" t="s">
        <v>522</v>
      </c>
      <c r="R90" s="85" t="s">
        <v>0</v>
      </c>
      <c r="S90" s="85" t="s">
        <v>0</v>
      </c>
      <c r="T90" s="61" t="s">
        <v>0</v>
      </c>
      <c r="U90" s="60" t="s">
        <v>0</v>
      </c>
      <c r="V90" s="58" t="s">
        <v>0</v>
      </c>
      <c r="W90" s="58" t="s">
        <v>0</v>
      </c>
      <c r="X90" s="58" t="s">
        <v>0</v>
      </c>
      <c r="Y90" s="58" t="s">
        <v>0</v>
      </c>
      <c r="Z90" s="58" t="s">
        <v>471</v>
      </c>
      <c r="AA90" s="58" t="s">
        <v>485</v>
      </c>
      <c r="AB90" s="58" t="s">
        <v>0</v>
      </c>
      <c r="AC90" s="58" t="s">
        <v>0</v>
      </c>
      <c r="AD90" s="58" t="s">
        <v>0</v>
      </c>
      <c r="AE90" s="58" t="s">
        <v>0</v>
      </c>
      <c r="AF90" s="73"/>
      <c r="AG90" s="58"/>
      <c r="AH90" s="58"/>
      <c r="AI90" s="1" t="s">
        <v>0</v>
      </c>
      <c r="AJ90" s="1" t="s">
        <v>0</v>
      </c>
      <c r="AK90" s="1" t="s">
        <v>1255</v>
      </c>
    </row>
    <row r="91" spans="2:37">
      <c r="B91" s="68" t="s">
        <v>1068</v>
      </c>
      <c r="C91" s="68">
        <v>46017</v>
      </c>
      <c r="D91" s="68">
        <v>46027</v>
      </c>
      <c r="E91" s="68">
        <v>46028</v>
      </c>
      <c r="F91" s="59">
        <v>11</v>
      </c>
      <c r="G91" s="55" t="s">
        <v>1257</v>
      </c>
      <c r="H91" s="55" t="s">
        <v>1266</v>
      </c>
      <c r="I91" s="55" t="s">
        <v>1267</v>
      </c>
      <c r="J91" s="60" t="s">
        <v>461</v>
      </c>
      <c r="K91" s="76" t="s">
        <v>787</v>
      </c>
      <c r="L91" s="60" t="s">
        <v>788</v>
      </c>
      <c r="M91" s="55" t="s">
        <v>624</v>
      </c>
      <c r="N91" s="49" t="s">
        <v>488</v>
      </c>
      <c r="O91" s="49" t="s">
        <v>489</v>
      </c>
      <c r="P91" s="60" t="s">
        <v>5</v>
      </c>
      <c r="Q91" s="60" t="s">
        <v>1068</v>
      </c>
      <c r="R91" s="85">
        <v>46017</v>
      </c>
      <c r="S91" s="85">
        <v>46030</v>
      </c>
      <c r="T91" s="61">
        <v>15</v>
      </c>
      <c r="U91" s="60">
        <v>13</v>
      </c>
      <c r="V91" s="58" t="s">
        <v>1254</v>
      </c>
      <c r="W91" s="58" t="s">
        <v>0</v>
      </c>
      <c r="X91" s="58" t="s">
        <v>0</v>
      </c>
      <c r="Y91" s="58" t="s">
        <v>0</v>
      </c>
      <c r="Z91" s="54" t="s">
        <v>470</v>
      </c>
      <c r="AA91" s="54" t="s">
        <v>464</v>
      </c>
      <c r="AB91" s="58" t="s">
        <v>0</v>
      </c>
      <c r="AC91" s="58" t="s">
        <v>0</v>
      </c>
      <c r="AD91" s="58" t="s">
        <v>0</v>
      </c>
      <c r="AE91" s="58" t="s">
        <v>0</v>
      </c>
      <c r="AF91" s="73"/>
      <c r="AG91" s="58"/>
      <c r="AH91" s="58"/>
      <c r="AI91" s="1">
        <v>2</v>
      </c>
      <c r="AJ91" s="1">
        <v>11</v>
      </c>
      <c r="AK91" s="1" t="s">
        <v>1255</v>
      </c>
    </row>
    <row r="92" spans="2:37">
      <c r="B92" s="68" t="s">
        <v>1068</v>
      </c>
      <c r="C92" s="68">
        <v>46017</v>
      </c>
      <c r="D92" s="68">
        <v>46027</v>
      </c>
      <c r="E92" s="68">
        <v>46028</v>
      </c>
      <c r="F92" s="59">
        <v>11</v>
      </c>
      <c r="G92" s="55" t="s">
        <v>1257</v>
      </c>
      <c r="H92" s="55" t="s">
        <v>1266</v>
      </c>
      <c r="I92" s="55" t="s">
        <v>1267</v>
      </c>
      <c r="J92" s="60" t="s">
        <v>461</v>
      </c>
      <c r="K92" s="76" t="s">
        <v>789</v>
      </c>
      <c r="L92" s="60" t="s">
        <v>790</v>
      </c>
      <c r="M92" s="55" t="s">
        <v>624</v>
      </c>
      <c r="N92" s="49" t="s">
        <v>488</v>
      </c>
      <c r="O92" s="49" t="s">
        <v>489</v>
      </c>
      <c r="P92" s="60" t="s">
        <v>5</v>
      </c>
      <c r="Q92" s="60" t="s">
        <v>1068</v>
      </c>
      <c r="R92" s="85" t="s">
        <v>0</v>
      </c>
      <c r="S92" s="85">
        <v>46030</v>
      </c>
      <c r="T92" s="61">
        <v>15</v>
      </c>
      <c r="U92" s="60" t="s">
        <v>0</v>
      </c>
      <c r="V92" s="58" t="s">
        <v>1254</v>
      </c>
      <c r="W92" s="58" t="s">
        <v>0</v>
      </c>
      <c r="X92" s="58" t="s">
        <v>0</v>
      </c>
      <c r="Y92" s="58" t="s">
        <v>0</v>
      </c>
      <c r="Z92" s="54" t="s">
        <v>470</v>
      </c>
      <c r="AA92" s="54" t="s">
        <v>464</v>
      </c>
      <c r="AB92" s="58" t="s">
        <v>0</v>
      </c>
      <c r="AC92" s="58" t="s">
        <v>0</v>
      </c>
      <c r="AD92" s="58" t="s">
        <v>0</v>
      </c>
      <c r="AE92" s="58" t="s">
        <v>0</v>
      </c>
      <c r="AF92" s="73"/>
      <c r="AG92" s="58"/>
      <c r="AH92" s="58"/>
      <c r="AI92" s="1">
        <v>2</v>
      </c>
      <c r="AJ92" s="1">
        <v>11</v>
      </c>
      <c r="AK92" s="1" t="s">
        <v>1255</v>
      </c>
    </row>
    <row r="93" spans="2:37">
      <c r="B93" s="68" t="s">
        <v>1067</v>
      </c>
      <c r="C93" s="68">
        <v>46020</v>
      </c>
      <c r="D93" s="68">
        <v>46030</v>
      </c>
      <c r="E93" s="68">
        <v>46036</v>
      </c>
      <c r="F93" s="59">
        <v>16</v>
      </c>
      <c r="G93" s="55" t="s">
        <v>1257</v>
      </c>
      <c r="H93" s="55" t="s">
        <v>1266</v>
      </c>
      <c r="I93" s="55" t="s">
        <v>1267</v>
      </c>
      <c r="J93" s="60" t="s">
        <v>461</v>
      </c>
      <c r="K93" s="76" t="s">
        <v>791</v>
      </c>
      <c r="L93" s="60" t="s">
        <v>581</v>
      </c>
      <c r="M93" s="55" t="s">
        <v>624</v>
      </c>
      <c r="N93" s="49" t="s">
        <v>488</v>
      </c>
      <c r="O93" s="49" t="s">
        <v>489</v>
      </c>
      <c r="P93" s="60" t="s">
        <v>6</v>
      </c>
      <c r="Q93" s="60" t="s">
        <v>1067</v>
      </c>
      <c r="R93" s="85">
        <v>46017</v>
      </c>
      <c r="S93" s="85" t="s">
        <v>0</v>
      </c>
      <c r="T93" s="61" t="s">
        <v>0</v>
      </c>
      <c r="U93" s="60" t="s">
        <v>0</v>
      </c>
      <c r="V93" s="58" t="s">
        <v>0</v>
      </c>
      <c r="W93" s="58" t="s">
        <v>0</v>
      </c>
      <c r="X93" s="58" t="s">
        <v>0</v>
      </c>
      <c r="Y93" s="58" t="s">
        <v>0</v>
      </c>
      <c r="Z93" s="54" t="s">
        <v>471</v>
      </c>
      <c r="AA93" s="70" t="s">
        <v>0</v>
      </c>
      <c r="AB93" s="58" t="s">
        <v>0</v>
      </c>
      <c r="AC93" s="58" t="s">
        <v>0</v>
      </c>
      <c r="AD93" s="58" t="s">
        <v>0</v>
      </c>
      <c r="AE93" s="58" t="s">
        <v>0</v>
      </c>
      <c r="AF93" s="73"/>
      <c r="AG93" s="58"/>
      <c r="AH93" s="58"/>
      <c r="AI93" s="1" t="s">
        <v>0</v>
      </c>
      <c r="AK93" s="1" t="s">
        <v>1255</v>
      </c>
    </row>
    <row r="94" spans="2:37">
      <c r="B94" s="68" t="s">
        <v>1068</v>
      </c>
      <c r="C94" s="68">
        <v>46017</v>
      </c>
      <c r="D94" s="68">
        <v>46030</v>
      </c>
      <c r="E94" s="68">
        <v>46035</v>
      </c>
      <c r="F94" s="59">
        <v>18</v>
      </c>
      <c r="G94" s="55" t="s">
        <v>1257</v>
      </c>
      <c r="H94" s="55" t="s">
        <v>1266</v>
      </c>
      <c r="I94" s="55" t="s">
        <v>1267</v>
      </c>
      <c r="J94" s="60" t="s">
        <v>461</v>
      </c>
      <c r="K94" s="76" t="s">
        <v>792</v>
      </c>
      <c r="L94" s="60" t="s">
        <v>793</v>
      </c>
      <c r="M94" s="55" t="s">
        <v>624</v>
      </c>
      <c r="N94" s="49" t="s">
        <v>488</v>
      </c>
      <c r="O94" s="49" t="s">
        <v>489</v>
      </c>
      <c r="P94" s="60" t="s">
        <v>6</v>
      </c>
      <c r="Q94" s="60" t="s">
        <v>1068</v>
      </c>
      <c r="R94" s="85">
        <v>46015</v>
      </c>
      <c r="S94" s="85" t="s">
        <v>0</v>
      </c>
      <c r="T94" s="61" t="s">
        <v>0</v>
      </c>
      <c r="U94" s="60" t="s">
        <v>0</v>
      </c>
      <c r="V94" s="58" t="s">
        <v>0</v>
      </c>
      <c r="W94" s="58" t="s">
        <v>0</v>
      </c>
      <c r="X94" s="58" t="s">
        <v>0</v>
      </c>
      <c r="Y94" s="58" t="s">
        <v>0</v>
      </c>
      <c r="Z94" s="54" t="s">
        <v>464</v>
      </c>
      <c r="AA94" s="58" t="s">
        <v>0</v>
      </c>
      <c r="AB94" s="58" t="s">
        <v>0</v>
      </c>
      <c r="AC94" s="58" t="s">
        <v>0</v>
      </c>
      <c r="AD94" s="58" t="s">
        <v>0</v>
      </c>
      <c r="AE94" s="58" t="s">
        <v>0</v>
      </c>
      <c r="AF94" s="73"/>
      <c r="AG94" s="58"/>
      <c r="AH94" s="58"/>
      <c r="AI94" s="1" t="s">
        <v>0</v>
      </c>
      <c r="AK94" s="1" t="s">
        <v>1255</v>
      </c>
    </row>
    <row r="95" spans="2:37">
      <c r="B95" s="68" t="s">
        <v>0</v>
      </c>
      <c r="C95" s="68" t="s">
        <v>0</v>
      </c>
      <c r="D95" s="68" t="s">
        <v>0</v>
      </c>
      <c r="E95" s="68" t="s">
        <v>0</v>
      </c>
      <c r="F95" s="59" t="s">
        <v>0</v>
      </c>
      <c r="G95" s="55" t="s">
        <v>1257</v>
      </c>
      <c r="H95" s="55" t="s">
        <v>1266</v>
      </c>
      <c r="I95" s="55" t="s">
        <v>1271</v>
      </c>
      <c r="J95" s="60" t="s">
        <v>461</v>
      </c>
      <c r="K95" s="76" t="s">
        <v>794</v>
      </c>
      <c r="L95" s="60" t="s">
        <v>795</v>
      </c>
      <c r="M95" s="55" t="s">
        <v>0</v>
      </c>
      <c r="N95" s="2"/>
      <c r="O95" s="58"/>
      <c r="P95" s="60" t="s">
        <v>379</v>
      </c>
      <c r="Q95" s="60" t="s">
        <v>522</v>
      </c>
      <c r="R95" s="85" t="s">
        <v>0</v>
      </c>
      <c r="S95" s="85" t="s">
        <v>0</v>
      </c>
      <c r="T95" s="61" t="s">
        <v>0</v>
      </c>
      <c r="U95" s="60" t="s">
        <v>0</v>
      </c>
      <c r="V95" s="58" t="s">
        <v>0</v>
      </c>
      <c r="W95" s="58" t="s">
        <v>0</v>
      </c>
      <c r="X95" s="58" t="s">
        <v>0</v>
      </c>
      <c r="Y95" s="58" t="s">
        <v>0</v>
      </c>
      <c r="Z95" s="58" t="s">
        <v>470</v>
      </c>
      <c r="AA95" s="58" t="s">
        <v>471</v>
      </c>
      <c r="AB95" s="58" t="s">
        <v>467</v>
      </c>
      <c r="AC95" s="58" t="s">
        <v>464</v>
      </c>
      <c r="AD95" s="58" t="s">
        <v>487</v>
      </c>
      <c r="AE95" s="58" t="s">
        <v>0</v>
      </c>
      <c r="AF95" s="73"/>
      <c r="AG95" s="58"/>
      <c r="AH95" s="58"/>
      <c r="AI95" s="1" t="s">
        <v>0</v>
      </c>
      <c r="AJ95" s="1" t="s">
        <v>0</v>
      </c>
      <c r="AK95" s="1" t="s">
        <v>1255</v>
      </c>
    </row>
    <row r="96" spans="2:37">
      <c r="B96" s="68" t="s">
        <v>0</v>
      </c>
      <c r="C96" s="68" t="s">
        <v>0</v>
      </c>
      <c r="D96" s="68" t="s">
        <v>0</v>
      </c>
      <c r="E96" s="68" t="s">
        <v>0</v>
      </c>
      <c r="F96" s="59" t="s">
        <v>0</v>
      </c>
      <c r="G96" s="55" t="s">
        <v>1257</v>
      </c>
      <c r="H96" s="55" t="s">
        <v>1266</v>
      </c>
      <c r="I96" s="55" t="s">
        <v>1271</v>
      </c>
      <c r="J96" s="60" t="s">
        <v>461</v>
      </c>
      <c r="K96" s="76" t="s">
        <v>796</v>
      </c>
      <c r="L96" s="60" t="s">
        <v>797</v>
      </c>
      <c r="M96" s="55" t="s">
        <v>0</v>
      </c>
      <c r="N96" s="2"/>
      <c r="O96" s="58"/>
      <c r="P96" s="60" t="s">
        <v>379</v>
      </c>
      <c r="Q96" s="60" t="s">
        <v>522</v>
      </c>
      <c r="R96" s="85" t="s">
        <v>0</v>
      </c>
      <c r="S96" s="85" t="s">
        <v>0</v>
      </c>
      <c r="T96" s="61" t="s">
        <v>0</v>
      </c>
      <c r="U96" s="60" t="s">
        <v>0</v>
      </c>
      <c r="V96" s="58" t="s">
        <v>0</v>
      </c>
      <c r="W96" s="58" t="s">
        <v>0</v>
      </c>
      <c r="X96" s="58" t="s">
        <v>0</v>
      </c>
      <c r="Y96" s="58" t="s">
        <v>0</v>
      </c>
      <c r="Z96" s="58" t="s">
        <v>507</v>
      </c>
      <c r="AA96" s="58" t="s">
        <v>464</v>
      </c>
      <c r="AB96" s="58" t="s">
        <v>537</v>
      </c>
      <c r="AC96" s="58" t="s">
        <v>798</v>
      </c>
      <c r="AD96" s="58" t="s">
        <v>0</v>
      </c>
      <c r="AE96" s="58" t="s">
        <v>0</v>
      </c>
      <c r="AF96" s="73"/>
      <c r="AG96" s="58"/>
      <c r="AH96" s="58"/>
      <c r="AI96" s="1" t="s">
        <v>0</v>
      </c>
      <c r="AJ96" s="1" t="s">
        <v>0</v>
      </c>
      <c r="AK96" s="1" t="s">
        <v>1255</v>
      </c>
    </row>
    <row r="97" spans="2:37">
      <c r="B97" s="68" t="s">
        <v>1068</v>
      </c>
      <c r="C97" s="68">
        <v>46017</v>
      </c>
      <c r="D97" s="68">
        <v>46030</v>
      </c>
      <c r="E97" s="68">
        <v>46035</v>
      </c>
      <c r="F97" s="59">
        <v>18</v>
      </c>
      <c r="G97" s="55" t="s">
        <v>1257</v>
      </c>
      <c r="H97" s="55" t="s">
        <v>1266</v>
      </c>
      <c r="I97" s="55" t="s">
        <v>1271</v>
      </c>
      <c r="J97" s="60" t="s">
        <v>461</v>
      </c>
      <c r="K97" s="76" t="s">
        <v>799</v>
      </c>
      <c r="L97" s="60" t="s">
        <v>576</v>
      </c>
      <c r="M97" s="55" t="s">
        <v>624</v>
      </c>
      <c r="N97" s="49" t="s">
        <v>488</v>
      </c>
      <c r="O97" s="49" t="s">
        <v>489</v>
      </c>
      <c r="P97" s="60" t="s">
        <v>5</v>
      </c>
      <c r="Q97" s="60" t="s">
        <v>1068</v>
      </c>
      <c r="R97" s="85" t="s">
        <v>0</v>
      </c>
      <c r="S97" s="85" t="s">
        <v>0</v>
      </c>
      <c r="T97" s="61" t="s">
        <v>0</v>
      </c>
      <c r="U97" s="60" t="s">
        <v>0</v>
      </c>
      <c r="V97" s="58" t="s">
        <v>0</v>
      </c>
      <c r="W97" s="58" t="s">
        <v>0</v>
      </c>
      <c r="X97" s="58" t="s">
        <v>0</v>
      </c>
      <c r="Y97" s="58" t="s">
        <v>0</v>
      </c>
      <c r="Z97" s="54" t="s">
        <v>471</v>
      </c>
      <c r="AA97" s="54" t="s">
        <v>487</v>
      </c>
      <c r="AB97" s="58" t="s">
        <v>0</v>
      </c>
      <c r="AC97" s="58" t="s">
        <v>0</v>
      </c>
      <c r="AD97" s="58" t="s">
        <v>0</v>
      </c>
      <c r="AE97" s="58" t="s">
        <v>0</v>
      </c>
      <c r="AF97" s="73"/>
      <c r="AG97" s="58"/>
      <c r="AH97" s="58"/>
      <c r="AI97" s="1" t="s">
        <v>0</v>
      </c>
      <c r="AK97" s="1" t="s">
        <v>1255</v>
      </c>
    </row>
    <row r="98" spans="2:37">
      <c r="B98" s="68" t="s">
        <v>0</v>
      </c>
      <c r="C98" s="68" t="s">
        <v>0</v>
      </c>
      <c r="D98" s="68" t="s">
        <v>0</v>
      </c>
      <c r="E98" s="68" t="s">
        <v>0</v>
      </c>
      <c r="F98" s="59" t="s">
        <v>0</v>
      </c>
      <c r="G98" s="55" t="s">
        <v>1257</v>
      </c>
      <c r="H98" s="55" t="s">
        <v>1266</v>
      </c>
      <c r="I98" s="55" t="s">
        <v>1271</v>
      </c>
      <c r="J98" s="60" t="s">
        <v>461</v>
      </c>
      <c r="K98" s="76" t="s">
        <v>800</v>
      </c>
      <c r="L98" s="60" t="s">
        <v>538</v>
      </c>
      <c r="M98" s="55" t="s">
        <v>0</v>
      </c>
      <c r="N98" s="2"/>
      <c r="O98" s="58"/>
      <c r="P98" s="60" t="s">
        <v>379</v>
      </c>
      <c r="Q98" s="60" t="s">
        <v>522</v>
      </c>
      <c r="R98" s="85" t="s">
        <v>0</v>
      </c>
      <c r="S98" s="85" t="s">
        <v>0</v>
      </c>
      <c r="T98" s="61" t="s">
        <v>0</v>
      </c>
      <c r="U98" s="60" t="s">
        <v>0</v>
      </c>
      <c r="V98" s="58" t="s">
        <v>0</v>
      </c>
      <c r="W98" s="58" t="s">
        <v>0</v>
      </c>
      <c r="X98" s="58" t="s">
        <v>0</v>
      </c>
      <c r="Y98" s="58" t="s">
        <v>0</v>
      </c>
      <c r="Z98" s="58" t="s">
        <v>471</v>
      </c>
      <c r="AA98" s="58" t="s">
        <v>483</v>
      </c>
      <c r="AB98" s="58" t="s">
        <v>464</v>
      </c>
      <c r="AC98" s="58" t="s">
        <v>0</v>
      </c>
      <c r="AD98" s="58" t="s">
        <v>0</v>
      </c>
      <c r="AE98" s="58" t="s">
        <v>0</v>
      </c>
      <c r="AF98" s="73"/>
      <c r="AG98" s="58"/>
      <c r="AH98" s="58"/>
      <c r="AI98" s="1" t="s">
        <v>0</v>
      </c>
      <c r="AJ98" s="1" t="s">
        <v>0</v>
      </c>
      <c r="AK98" s="1" t="s">
        <v>1255</v>
      </c>
    </row>
    <row r="99" spans="2:37">
      <c r="B99" s="68" t="s">
        <v>0</v>
      </c>
      <c r="C99" s="68" t="s">
        <v>0</v>
      </c>
      <c r="D99" s="68" t="s">
        <v>0</v>
      </c>
      <c r="E99" s="68" t="s">
        <v>0</v>
      </c>
      <c r="F99" s="59" t="s">
        <v>0</v>
      </c>
      <c r="G99" s="55" t="s">
        <v>1262</v>
      </c>
      <c r="H99" s="55" t="s">
        <v>1266</v>
      </c>
      <c r="I99" s="55" t="s">
        <v>1271</v>
      </c>
      <c r="J99" s="60" t="s">
        <v>461</v>
      </c>
      <c r="K99" s="76" t="s">
        <v>801</v>
      </c>
      <c r="L99" s="60" t="s">
        <v>538</v>
      </c>
      <c r="M99" s="55" t="s">
        <v>0</v>
      </c>
      <c r="N99" s="2"/>
      <c r="O99" s="58"/>
      <c r="P99" s="60" t="s">
        <v>379</v>
      </c>
      <c r="Q99" s="60" t="s">
        <v>522</v>
      </c>
      <c r="R99" s="85" t="s">
        <v>0</v>
      </c>
      <c r="S99" s="85" t="s">
        <v>0</v>
      </c>
      <c r="T99" s="61" t="s">
        <v>0</v>
      </c>
      <c r="U99" s="60" t="s">
        <v>0</v>
      </c>
      <c r="V99" s="58" t="s">
        <v>0</v>
      </c>
      <c r="W99" s="58" t="s">
        <v>0</v>
      </c>
      <c r="X99" s="58" t="s">
        <v>0</v>
      </c>
      <c r="Y99" s="58" t="s">
        <v>0</v>
      </c>
      <c r="Z99" s="58" t="s">
        <v>471</v>
      </c>
      <c r="AA99" s="58" t="s">
        <v>464</v>
      </c>
      <c r="AB99" s="58" t="s">
        <v>0</v>
      </c>
      <c r="AC99" s="58" t="s">
        <v>0</v>
      </c>
      <c r="AD99" s="58" t="s">
        <v>0</v>
      </c>
      <c r="AE99" s="58" t="s">
        <v>0</v>
      </c>
      <c r="AF99" s="73"/>
      <c r="AG99" s="58"/>
      <c r="AH99" s="58"/>
      <c r="AI99" s="1" t="s">
        <v>0</v>
      </c>
      <c r="AJ99" s="1" t="s">
        <v>0</v>
      </c>
      <c r="AK99" s="1" t="s">
        <v>1255</v>
      </c>
    </row>
    <row r="100" spans="2:37">
      <c r="B100" s="68" t="s">
        <v>0</v>
      </c>
      <c r="C100" s="68" t="s">
        <v>0</v>
      </c>
      <c r="D100" s="68" t="s">
        <v>0</v>
      </c>
      <c r="E100" s="68" t="s">
        <v>0</v>
      </c>
      <c r="F100" s="59" t="s">
        <v>0</v>
      </c>
      <c r="G100" s="55" t="s">
        <v>1257</v>
      </c>
      <c r="H100" s="55" t="s">
        <v>1266</v>
      </c>
      <c r="I100" s="55" t="s">
        <v>1271</v>
      </c>
      <c r="J100" s="60" t="s">
        <v>461</v>
      </c>
      <c r="K100" s="76" t="s">
        <v>802</v>
      </c>
      <c r="L100" s="60" t="s">
        <v>803</v>
      </c>
      <c r="M100" s="55" t="s">
        <v>0</v>
      </c>
      <c r="N100" s="2"/>
      <c r="O100" s="58"/>
      <c r="P100" s="60" t="s">
        <v>379</v>
      </c>
      <c r="Q100" s="60" t="s">
        <v>522</v>
      </c>
      <c r="R100" s="85" t="s">
        <v>0</v>
      </c>
      <c r="S100" s="85" t="s">
        <v>0</v>
      </c>
      <c r="T100" s="61" t="s">
        <v>0</v>
      </c>
      <c r="U100" s="60" t="s">
        <v>0</v>
      </c>
      <c r="V100" s="58" t="s">
        <v>0</v>
      </c>
      <c r="W100" s="58" t="s">
        <v>0</v>
      </c>
      <c r="X100" s="58" t="s">
        <v>0</v>
      </c>
      <c r="Y100" s="58" t="s">
        <v>0</v>
      </c>
      <c r="Z100" s="58" t="s">
        <v>540</v>
      </c>
      <c r="AA100" s="58" t="s">
        <v>471</v>
      </c>
      <c r="AB100" s="58" t="s">
        <v>464</v>
      </c>
      <c r="AC100" s="58" t="s">
        <v>0</v>
      </c>
      <c r="AD100" s="58" t="s">
        <v>0</v>
      </c>
      <c r="AE100" s="58" t="s">
        <v>0</v>
      </c>
      <c r="AF100" s="73"/>
      <c r="AG100" s="58"/>
      <c r="AH100" s="58"/>
      <c r="AI100" s="1" t="s">
        <v>0</v>
      </c>
      <c r="AJ100" s="1" t="s">
        <v>0</v>
      </c>
      <c r="AK100" s="1" t="s">
        <v>1255</v>
      </c>
    </row>
    <row r="101" spans="2:37">
      <c r="B101" s="68" t="s">
        <v>0</v>
      </c>
      <c r="C101" s="68" t="s">
        <v>0</v>
      </c>
      <c r="D101" s="68" t="s">
        <v>0</v>
      </c>
      <c r="E101" s="68" t="s">
        <v>0</v>
      </c>
      <c r="F101" s="59" t="s">
        <v>0</v>
      </c>
      <c r="G101" s="55" t="s">
        <v>1257</v>
      </c>
      <c r="H101" s="55" t="s">
        <v>1266</v>
      </c>
      <c r="I101" s="55" t="s">
        <v>1271</v>
      </c>
      <c r="J101" s="60" t="s">
        <v>461</v>
      </c>
      <c r="K101" s="76" t="s">
        <v>804</v>
      </c>
      <c r="L101" s="60" t="s">
        <v>805</v>
      </c>
      <c r="M101" s="55" t="s">
        <v>0</v>
      </c>
      <c r="N101" s="2"/>
      <c r="O101" s="58"/>
      <c r="P101" s="60" t="s">
        <v>379</v>
      </c>
      <c r="Q101" s="60" t="s">
        <v>522</v>
      </c>
      <c r="R101" s="85" t="s">
        <v>0</v>
      </c>
      <c r="S101" s="85" t="s">
        <v>0</v>
      </c>
      <c r="T101" s="61" t="s">
        <v>0</v>
      </c>
      <c r="U101" s="60" t="s">
        <v>0</v>
      </c>
      <c r="V101" s="58" t="s">
        <v>0</v>
      </c>
      <c r="W101" s="58" t="s">
        <v>0</v>
      </c>
      <c r="X101" s="58" t="s">
        <v>0</v>
      </c>
      <c r="Y101" s="58" t="s">
        <v>0</v>
      </c>
      <c r="Z101" s="58" t="s">
        <v>471</v>
      </c>
      <c r="AA101" s="58" t="s">
        <v>483</v>
      </c>
      <c r="AB101" s="58" t="s">
        <v>0</v>
      </c>
      <c r="AC101" s="58" t="s">
        <v>0</v>
      </c>
      <c r="AD101" s="58" t="s">
        <v>0</v>
      </c>
      <c r="AE101" s="58" t="s">
        <v>0</v>
      </c>
      <c r="AF101" s="73"/>
      <c r="AG101" s="58"/>
      <c r="AH101" s="58"/>
      <c r="AI101" s="1" t="s">
        <v>0</v>
      </c>
      <c r="AJ101" s="1" t="s">
        <v>0</v>
      </c>
      <c r="AK101" s="1" t="s">
        <v>1255</v>
      </c>
    </row>
    <row r="102" spans="2:37">
      <c r="B102" s="68" t="s">
        <v>0</v>
      </c>
      <c r="C102" s="68" t="s">
        <v>0</v>
      </c>
      <c r="D102" s="68" t="s">
        <v>0</v>
      </c>
      <c r="E102" s="68" t="s">
        <v>0</v>
      </c>
      <c r="F102" s="59" t="s">
        <v>0</v>
      </c>
      <c r="G102" s="55" t="s">
        <v>1257</v>
      </c>
      <c r="H102" s="55" t="s">
        <v>1266</v>
      </c>
      <c r="I102" s="55" t="s">
        <v>1271</v>
      </c>
      <c r="J102" s="60" t="s">
        <v>461</v>
      </c>
      <c r="K102" s="76" t="s">
        <v>806</v>
      </c>
      <c r="L102" s="60" t="s">
        <v>807</v>
      </c>
      <c r="M102" s="55" t="s">
        <v>0</v>
      </c>
      <c r="N102" s="2"/>
      <c r="O102" s="58"/>
      <c r="P102" s="60" t="s">
        <v>5</v>
      </c>
      <c r="Q102" s="60" t="s">
        <v>522</v>
      </c>
      <c r="R102" s="85" t="s">
        <v>0</v>
      </c>
      <c r="S102" s="85" t="s">
        <v>0</v>
      </c>
      <c r="T102" s="61" t="s">
        <v>0</v>
      </c>
      <c r="U102" s="60" t="s">
        <v>0</v>
      </c>
      <c r="V102" s="58" t="s">
        <v>0</v>
      </c>
      <c r="W102" s="58" t="s">
        <v>0</v>
      </c>
      <c r="X102" s="58" t="s">
        <v>0</v>
      </c>
      <c r="Y102" s="58" t="s">
        <v>0</v>
      </c>
      <c r="Z102" s="58" t="s">
        <v>472</v>
      </c>
      <c r="AA102" s="58" t="s">
        <v>464</v>
      </c>
      <c r="AB102" s="58" t="s">
        <v>0</v>
      </c>
      <c r="AC102" s="58" t="s">
        <v>0</v>
      </c>
      <c r="AD102" s="58" t="s">
        <v>0</v>
      </c>
      <c r="AE102" s="58" t="s">
        <v>0</v>
      </c>
      <c r="AF102" s="73"/>
      <c r="AG102" s="58"/>
      <c r="AH102" s="58"/>
      <c r="AI102" s="1" t="s">
        <v>0</v>
      </c>
      <c r="AJ102" s="1" t="s">
        <v>0</v>
      </c>
      <c r="AK102" s="1" t="s">
        <v>1255</v>
      </c>
    </row>
    <row r="103" spans="2:37">
      <c r="B103" s="68" t="s">
        <v>0</v>
      </c>
      <c r="C103" s="68" t="s">
        <v>0</v>
      </c>
      <c r="D103" s="68" t="s">
        <v>0</v>
      </c>
      <c r="E103" s="68" t="s">
        <v>0</v>
      </c>
      <c r="F103" s="59" t="s">
        <v>0</v>
      </c>
      <c r="G103" s="55" t="s">
        <v>1257</v>
      </c>
      <c r="H103" s="55" t="s">
        <v>1266</v>
      </c>
      <c r="I103" s="55" t="s">
        <v>1269</v>
      </c>
      <c r="J103" s="60" t="s">
        <v>461</v>
      </c>
      <c r="K103" s="76" t="s">
        <v>808</v>
      </c>
      <c r="L103" s="60" t="s">
        <v>809</v>
      </c>
      <c r="M103" s="55" t="s">
        <v>0</v>
      </c>
      <c r="N103" s="2"/>
      <c r="O103" s="58"/>
      <c r="P103" s="60" t="s">
        <v>379</v>
      </c>
      <c r="Q103" s="60" t="s">
        <v>522</v>
      </c>
      <c r="R103" s="85" t="s">
        <v>0</v>
      </c>
      <c r="S103" s="85" t="s">
        <v>0</v>
      </c>
      <c r="T103" s="61" t="s">
        <v>0</v>
      </c>
      <c r="U103" s="60" t="s">
        <v>0</v>
      </c>
      <c r="V103" s="58" t="s">
        <v>0</v>
      </c>
      <c r="W103" s="58" t="s">
        <v>0</v>
      </c>
      <c r="X103" s="58" t="s">
        <v>0</v>
      </c>
      <c r="Y103" s="58" t="s">
        <v>0</v>
      </c>
      <c r="Z103" s="58" t="s">
        <v>471</v>
      </c>
      <c r="AA103" s="58" t="s">
        <v>467</v>
      </c>
      <c r="AB103" s="58" t="s">
        <v>0</v>
      </c>
      <c r="AC103" s="58" t="s">
        <v>0</v>
      </c>
      <c r="AD103" s="58" t="s">
        <v>0</v>
      </c>
      <c r="AE103" s="58" t="s">
        <v>0</v>
      </c>
      <c r="AF103" s="73"/>
      <c r="AG103" s="58"/>
      <c r="AH103" s="58"/>
      <c r="AI103" s="1" t="s">
        <v>0</v>
      </c>
      <c r="AJ103" s="1" t="s">
        <v>0</v>
      </c>
      <c r="AK103" s="1" t="s">
        <v>1255</v>
      </c>
    </row>
    <row r="104" spans="2:37">
      <c r="B104" s="68" t="s">
        <v>0</v>
      </c>
      <c r="C104" s="68" t="s">
        <v>0</v>
      </c>
      <c r="D104" s="68" t="s">
        <v>0</v>
      </c>
      <c r="E104" s="68" t="s">
        <v>0</v>
      </c>
      <c r="F104" s="59" t="s">
        <v>0</v>
      </c>
      <c r="G104" s="55" t="s">
        <v>1257</v>
      </c>
      <c r="H104" s="55" t="s">
        <v>1266</v>
      </c>
      <c r="I104" s="55" t="s">
        <v>1269</v>
      </c>
      <c r="J104" s="60" t="s">
        <v>461</v>
      </c>
      <c r="K104" s="76" t="s">
        <v>810</v>
      </c>
      <c r="L104" s="60" t="s">
        <v>811</v>
      </c>
      <c r="M104" s="55" t="s">
        <v>0</v>
      </c>
      <c r="N104" s="2"/>
      <c r="O104" s="58"/>
      <c r="P104" s="60" t="s">
        <v>379</v>
      </c>
      <c r="Q104" s="60" t="s">
        <v>522</v>
      </c>
      <c r="R104" s="85" t="s">
        <v>0</v>
      </c>
      <c r="S104" s="85" t="s">
        <v>0</v>
      </c>
      <c r="T104" s="61" t="s">
        <v>0</v>
      </c>
      <c r="U104" s="60" t="s">
        <v>0</v>
      </c>
      <c r="V104" s="58" t="s">
        <v>0</v>
      </c>
      <c r="W104" s="58" t="s">
        <v>0</v>
      </c>
      <c r="X104" s="58" t="s">
        <v>0</v>
      </c>
      <c r="Y104" s="58" t="s">
        <v>0</v>
      </c>
      <c r="Z104" s="58" t="s">
        <v>524</v>
      </c>
      <c r="AA104" s="58" t="s">
        <v>487</v>
      </c>
      <c r="AB104" s="58" t="s">
        <v>0</v>
      </c>
      <c r="AC104" s="58" t="s">
        <v>0</v>
      </c>
      <c r="AD104" s="58" t="s">
        <v>0</v>
      </c>
      <c r="AE104" s="58" t="s">
        <v>0</v>
      </c>
      <c r="AF104" s="73"/>
      <c r="AG104" s="58"/>
      <c r="AH104" s="58"/>
      <c r="AI104" s="1" t="s">
        <v>0</v>
      </c>
      <c r="AJ104" s="1" t="s">
        <v>0</v>
      </c>
      <c r="AK104" s="1" t="s">
        <v>1255</v>
      </c>
    </row>
    <row r="105" spans="2:37">
      <c r="B105" s="68" t="s">
        <v>0</v>
      </c>
      <c r="C105" s="68" t="s">
        <v>0</v>
      </c>
      <c r="D105" s="68" t="s">
        <v>0</v>
      </c>
      <c r="E105" s="68" t="s">
        <v>0</v>
      </c>
      <c r="F105" s="59" t="s">
        <v>0</v>
      </c>
      <c r="G105" s="55" t="s">
        <v>1257</v>
      </c>
      <c r="H105" s="55" t="s">
        <v>1266</v>
      </c>
      <c r="I105" s="55" t="s">
        <v>1271</v>
      </c>
      <c r="J105" s="60" t="s">
        <v>461</v>
      </c>
      <c r="K105" s="76" t="s">
        <v>812</v>
      </c>
      <c r="L105" s="60" t="s">
        <v>813</v>
      </c>
      <c r="M105" s="55" t="s">
        <v>0</v>
      </c>
      <c r="N105" s="2"/>
      <c r="O105" s="58"/>
      <c r="P105" s="60" t="s">
        <v>379</v>
      </c>
      <c r="Q105" s="60" t="s">
        <v>522</v>
      </c>
      <c r="R105" s="85" t="s">
        <v>0</v>
      </c>
      <c r="S105" s="85" t="s">
        <v>0</v>
      </c>
      <c r="T105" s="61" t="s">
        <v>0</v>
      </c>
      <c r="U105" s="60" t="s">
        <v>0</v>
      </c>
      <c r="V105" s="58" t="s">
        <v>0</v>
      </c>
      <c r="W105" s="58" t="s">
        <v>0</v>
      </c>
      <c r="X105" s="58" t="s">
        <v>0</v>
      </c>
      <c r="Y105" s="58" t="s">
        <v>0</v>
      </c>
      <c r="Z105" s="58" t="s">
        <v>470</v>
      </c>
      <c r="AA105" s="58" t="s">
        <v>471</v>
      </c>
      <c r="AB105" s="58" t="s">
        <v>0</v>
      </c>
      <c r="AC105" s="58" t="s">
        <v>0</v>
      </c>
      <c r="AD105" s="58" t="s">
        <v>0</v>
      </c>
      <c r="AE105" s="58" t="s">
        <v>0</v>
      </c>
      <c r="AF105" s="73"/>
      <c r="AG105" s="58"/>
      <c r="AH105" s="58"/>
      <c r="AI105" s="1" t="s">
        <v>0</v>
      </c>
      <c r="AJ105" s="1" t="s">
        <v>0</v>
      </c>
      <c r="AK105" s="1" t="s">
        <v>1255</v>
      </c>
    </row>
    <row r="106" spans="2:37">
      <c r="B106" s="68" t="s">
        <v>0</v>
      </c>
      <c r="C106" s="68" t="s">
        <v>0</v>
      </c>
      <c r="D106" s="68" t="s">
        <v>0</v>
      </c>
      <c r="E106" s="68" t="s">
        <v>0</v>
      </c>
      <c r="F106" s="59" t="s">
        <v>0</v>
      </c>
      <c r="G106" s="55" t="s">
        <v>1257</v>
      </c>
      <c r="H106" s="55" t="s">
        <v>1266</v>
      </c>
      <c r="I106" s="55" t="s">
        <v>1271</v>
      </c>
      <c r="J106" s="60" t="s">
        <v>461</v>
      </c>
      <c r="K106" s="76" t="s">
        <v>814</v>
      </c>
      <c r="L106" s="60" t="s">
        <v>815</v>
      </c>
      <c r="M106" s="55" t="s">
        <v>0</v>
      </c>
      <c r="N106" s="2"/>
      <c r="O106" s="58"/>
      <c r="P106" s="60" t="s">
        <v>379</v>
      </c>
      <c r="Q106" s="60" t="s">
        <v>522</v>
      </c>
      <c r="R106" s="85" t="s">
        <v>0</v>
      </c>
      <c r="S106" s="85" t="s">
        <v>0</v>
      </c>
      <c r="T106" s="61" t="s">
        <v>0</v>
      </c>
      <c r="U106" s="60" t="s">
        <v>0</v>
      </c>
      <c r="V106" s="58" t="s">
        <v>0</v>
      </c>
      <c r="W106" s="58" t="s">
        <v>0</v>
      </c>
      <c r="X106" s="58" t="s">
        <v>0</v>
      </c>
      <c r="Y106" s="58" t="s">
        <v>0</v>
      </c>
      <c r="Z106" s="58" t="s">
        <v>471</v>
      </c>
      <c r="AA106" s="58" t="s">
        <v>464</v>
      </c>
      <c r="AB106" s="58" t="s">
        <v>0</v>
      </c>
      <c r="AC106" s="58" t="s">
        <v>0</v>
      </c>
      <c r="AD106" s="58" t="s">
        <v>0</v>
      </c>
      <c r="AE106" s="58" t="s">
        <v>0</v>
      </c>
      <c r="AF106" s="73"/>
      <c r="AG106" s="58"/>
      <c r="AH106" s="58"/>
      <c r="AI106" s="1" t="s">
        <v>0</v>
      </c>
      <c r="AJ106" s="1" t="s">
        <v>0</v>
      </c>
      <c r="AK106" s="1" t="s">
        <v>1255</v>
      </c>
    </row>
    <row r="107" spans="2:37">
      <c r="B107" s="68" t="s">
        <v>1048</v>
      </c>
      <c r="C107" s="68">
        <v>46006</v>
      </c>
      <c r="D107" s="68">
        <v>46009</v>
      </c>
      <c r="E107" s="68">
        <v>46010</v>
      </c>
      <c r="F107" s="59">
        <v>4</v>
      </c>
      <c r="G107" s="55" t="s">
        <v>1257</v>
      </c>
      <c r="H107" s="55" t="s">
        <v>1266</v>
      </c>
      <c r="I107" s="55" t="s">
        <v>1267</v>
      </c>
      <c r="J107" s="60" t="s">
        <v>461</v>
      </c>
      <c r="K107" s="76" t="s">
        <v>816</v>
      </c>
      <c r="L107" s="60" t="s">
        <v>539</v>
      </c>
      <c r="M107" s="55" t="s">
        <v>624</v>
      </c>
      <c r="N107" s="49" t="s">
        <v>488</v>
      </c>
      <c r="O107" s="49" t="s">
        <v>489</v>
      </c>
      <c r="P107" s="60" t="s">
        <v>4</v>
      </c>
      <c r="Q107" s="60" t="s">
        <v>1048</v>
      </c>
      <c r="R107" s="85" t="s">
        <v>0</v>
      </c>
      <c r="S107" s="85">
        <v>46010</v>
      </c>
      <c r="T107" s="61">
        <v>7</v>
      </c>
      <c r="U107" s="60" t="s">
        <v>0</v>
      </c>
      <c r="V107" s="58" t="s">
        <v>1254</v>
      </c>
      <c r="W107" s="58" t="s">
        <v>0</v>
      </c>
      <c r="X107" s="58" t="s">
        <v>0</v>
      </c>
      <c r="Y107" s="58" t="s">
        <v>0</v>
      </c>
      <c r="Z107" s="54" t="s">
        <v>471</v>
      </c>
      <c r="AA107" s="54" t="s">
        <v>506</v>
      </c>
      <c r="AB107" s="58" t="s">
        <v>0</v>
      </c>
      <c r="AC107" s="58" t="s">
        <v>0</v>
      </c>
      <c r="AD107" s="58" t="s">
        <v>0</v>
      </c>
      <c r="AE107" s="58" t="s">
        <v>0</v>
      </c>
      <c r="AF107" s="73"/>
      <c r="AG107" s="58"/>
      <c r="AH107" s="58"/>
      <c r="AI107" s="1">
        <v>0</v>
      </c>
      <c r="AJ107" s="1">
        <v>4</v>
      </c>
      <c r="AK107" s="1" t="s">
        <v>1255</v>
      </c>
    </row>
    <row r="108" spans="2:37">
      <c r="B108" s="68" t="s">
        <v>1274</v>
      </c>
      <c r="C108" s="68">
        <v>46037</v>
      </c>
      <c r="D108" s="68">
        <v>0</v>
      </c>
      <c r="E108" s="68">
        <v>0</v>
      </c>
      <c r="F108" s="59">
        <v>-46037</v>
      </c>
      <c r="G108" s="55" t="s">
        <v>1262</v>
      </c>
      <c r="H108" s="55" t="s">
        <v>1266</v>
      </c>
      <c r="I108" s="55" t="s">
        <v>1267</v>
      </c>
      <c r="J108" s="60" t="s">
        <v>461</v>
      </c>
      <c r="K108" s="76" t="s">
        <v>817</v>
      </c>
      <c r="L108" s="60" t="s">
        <v>592</v>
      </c>
      <c r="M108" s="55" t="s">
        <v>624</v>
      </c>
      <c r="N108" s="49" t="s">
        <v>488</v>
      </c>
      <c r="O108" s="49" t="s">
        <v>489</v>
      </c>
      <c r="P108" s="60" t="s">
        <v>4</v>
      </c>
      <c r="Q108" s="60" t="s">
        <v>1247</v>
      </c>
      <c r="R108" s="85" t="s">
        <v>0</v>
      </c>
      <c r="S108" s="85" t="s">
        <v>0</v>
      </c>
      <c r="T108" s="61" t="s">
        <v>0</v>
      </c>
      <c r="U108" s="60" t="s">
        <v>0</v>
      </c>
      <c r="V108" s="58" t="s">
        <v>0</v>
      </c>
      <c r="W108" s="58" t="s">
        <v>0</v>
      </c>
      <c r="X108" s="58" t="s">
        <v>0</v>
      </c>
      <c r="Y108" s="58" t="s">
        <v>0</v>
      </c>
      <c r="Z108" s="54" t="s">
        <v>472</v>
      </c>
      <c r="AA108" s="54" t="s">
        <v>471</v>
      </c>
      <c r="AB108" s="58" t="s">
        <v>0</v>
      </c>
      <c r="AC108" s="58" t="s">
        <v>0</v>
      </c>
      <c r="AD108" s="58" t="s">
        <v>0</v>
      </c>
      <c r="AE108" s="58" t="s">
        <v>0</v>
      </c>
      <c r="AF108" s="73"/>
      <c r="AG108" s="58"/>
      <c r="AH108" s="58"/>
      <c r="AI108" s="1" t="s">
        <v>0</v>
      </c>
      <c r="AJ108" s="1">
        <v>-46037</v>
      </c>
      <c r="AK108" s="1" t="s">
        <v>1255</v>
      </c>
    </row>
    <row r="109" spans="2:37">
      <c r="B109" s="68" t="s">
        <v>1048</v>
      </c>
      <c r="C109" s="68">
        <v>46006</v>
      </c>
      <c r="D109" s="68">
        <v>46009</v>
      </c>
      <c r="E109" s="68">
        <v>46010</v>
      </c>
      <c r="F109" s="59">
        <v>4</v>
      </c>
      <c r="G109" s="55" t="s">
        <v>1257</v>
      </c>
      <c r="H109" s="55" t="s">
        <v>1266</v>
      </c>
      <c r="I109" s="55" t="s">
        <v>1267</v>
      </c>
      <c r="J109" s="60" t="s">
        <v>461</v>
      </c>
      <c r="K109" s="76" t="s">
        <v>818</v>
      </c>
      <c r="L109" s="60" t="s">
        <v>580</v>
      </c>
      <c r="M109" s="55" t="s">
        <v>624</v>
      </c>
      <c r="N109" s="49" t="s">
        <v>488</v>
      </c>
      <c r="O109" s="49" t="s">
        <v>489</v>
      </c>
      <c r="P109" s="60" t="s">
        <v>3</v>
      </c>
      <c r="Q109" s="60" t="s">
        <v>1048</v>
      </c>
      <c r="R109" s="85">
        <v>46028</v>
      </c>
      <c r="S109" s="85">
        <v>46010</v>
      </c>
      <c r="T109" s="61">
        <v>7</v>
      </c>
      <c r="U109" s="60">
        <v>-18</v>
      </c>
      <c r="V109" s="58" t="s">
        <v>1254</v>
      </c>
      <c r="W109" s="58" t="s">
        <v>0</v>
      </c>
      <c r="X109" s="58" t="s">
        <v>0</v>
      </c>
      <c r="Y109" s="58" t="s">
        <v>0</v>
      </c>
      <c r="Z109" s="54" t="s">
        <v>471</v>
      </c>
      <c r="AA109" s="54" t="s">
        <v>464</v>
      </c>
      <c r="AB109" s="54" t="s">
        <v>506</v>
      </c>
      <c r="AC109" s="58" t="s">
        <v>0</v>
      </c>
      <c r="AD109" s="58" t="s">
        <v>0</v>
      </c>
      <c r="AE109" s="58" t="s">
        <v>0</v>
      </c>
      <c r="AF109" s="73"/>
      <c r="AG109" s="58"/>
      <c r="AH109" s="58"/>
      <c r="AI109" s="1">
        <v>0</v>
      </c>
      <c r="AJ109" s="1">
        <v>4</v>
      </c>
      <c r="AK109" s="1" t="s">
        <v>1255</v>
      </c>
    </row>
    <row r="110" spans="2:37">
      <c r="B110" s="68" t="s">
        <v>1265</v>
      </c>
      <c r="C110" s="68">
        <v>45966</v>
      </c>
      <c r="D110" s="68">
        <v>45966</v>
      </c>
      <c r="E110" s="68">
        <v>45967</v>
      </c>
      <c r="F110" s="59">
        <v>1</v>
      </c>
      <c r="G110" s="55" t="s">
        <v>1257</v>
      </c>
      <c r="H110" s="55" t="s">
        <v>1266</v>
      </c>
      <c r="I110" s="55" t="s">
        <v>1267</v>
      </c>
      <c r="J110" s="55" t="s">
        <v>461</v>
      </c>
      <c r="K110" s="76" t="s">
        <v>819</v>
      </c>
      <c r="L110" s="60" t="s">
        <v>820</v>
      </c>
      <c r="M110" s="55" t="s">
        <v>624</v>
      </c>
      <c r="N110" s="49" t="s">
        <v>488</v>
      </c>
      <c r="O110" s="49" t="s">
        <v>489</v>
      </c>
      <c r="P110" s="60" t="s">
        <v>3</v>
      </c>
      <c r="Q110" s="60" t="s">
        <v>982</v>
      </c>
      <c r="R110" s="85">
        <v>46014</v>
      </c>
      <c r="S110" s="85">
        <v>45968</v>
      </c>
      <c r="T110" s="61">
        <v>3</v>
      </c>
      <c r="U110" s="60">
        <v>-46</v>
      </c>
      <c r="V110" s="58" t="s">
        <v>1254</v>
      </c>
      <c r="W110" s="58" t="s">
        <v>1066</v>
      </c>
      <c r="X110" s="58" t="s">
        <v>1218</v>
      </c>
      <c r="Y110" s="58" t="s">
        <v>1219</v>
      </c>
      <c r="Z110" s="54" t="s">
        <v>507</v>
      </c>
      <c r="AA110" s="54" t="s">
        <v>471</v>
      </c>
      <c r="AB110" s="54" t="s">
        <v>464</v>
      </c>
      <c r="AC110" s="58" t="s">
        <v>0</v>
      </c>
      <c r="AD110" s="58" t="s">
        <v>0</v>
      </c>
      <c r="AE110" s="58" t="s">
        <v>0</v>
      </c>
      <c r="AF110" s="73"/>
      <c r="AG110" s="58"/>
      <c r="AH110" s="58"/>
      <c r="AI110" s="1">
        <v>1</v>
      </c>
      <c r="AJ110" s="1">
        <v>1</v>
      </c>
      <c r="AK110" s="1" t="s">
        <v>1255</v>
      </c>
    </row>
    <row r="111" spans="2:37">
      <c r="B111" s="69" t="s">
        <v>0</v>
      </c>
      <c r="C111" s="69" t="s">
        <v>0</v>
      </c>
      <c r="D111" s="69" t="s">
        <v>0</v>
      </c>
      <c r="E111" s="69" t="s">
        <v>0</v>
      </c>
      <c r="F111" s="74" t="s">
        <v>0</v>
      </c>
      <c r="G111" s="64" t="s">
        <v>1257</v>
      </c>
      <c r="H111" s="64" t="s">
        <v>1266</v>
      </c>
      <c r="I111" s="64" t="s">
        <v>1267</v>
      </c>
      <c r="J111" s="65" t="s">
        <v>461</v>
      </c>
      <c r="K111" s="77" t="s">
        <v>821</v>
      </c>
      <c r="L111" s="65" t="s">
        <v>1223</v>
      </c>
      <c r="M111" s="64" t="s">
        <v>0</v>
      </c>
      <c r="N111" s="80"/>
      <c r="O111" s="66"/>
      <c r="P111" s="65" t="s">
        <v>3</v>
      </c>
      <c r="Q111" s="65" t="s">
        <v>522</v>
      </c>
      <c r="R111" s="86" t="s">
        <v>0</v>
      </c>
      <c r="S111" s="86" t="s">
        <v>0</v>
      </c>
      <c r="T111" s="67" t="s">
        <v>0</v>
      </c>
      <c r="U111" s="65" t="s">
        <v>0</v>
      </c>
      <c r="V111" s="66" t="s">
        <v>0</v>
      </c>
      <c r="W111" s="66" t="s">
        <v>0</v>
      </c>
      <c r="X111" s="66" t="s">
        <v>0</v>
      </c>
      <c r="Y111" s="66" t="s">
        <v>0</v>
      </c>
      <c r="Z111" s="66" t="s">
        <v>474</v>
      </c>
      <c r="AA111" s="66" t="s">
        <v>467</v>
      </c>
      <c r="AB111" s="66" t="s">
        <v>0</v>
      </c>
      <c r="AC111" s="66" t="s">
        <v>0</v>
      </c>
      <c r="AD111" s="66" t="s">
        <v>0</v>
      </c>
      <c r="AE111" s="66" t="s">
        <v>0</v>
      </c>
      <c r="AF111" s="81"/>
      <c r="AG111" s="66"/>
      <c r="AH111" s="66"/>
      <c r="AI111" s="1" t="s">
        <v>0</v>
      </c>
      <c r="AJ111" s="1" t="s">
        <v>0</v>
      </c>
      <c r="AK111" s="1" t="s">
        <v>1255</v>
      </c>
    </row>
    <row r="112" spans="2:37">
      <c r="B112" s="68" t="s">
        <v>0</v>
      </c>
      <c r="C112" s="68" t="s">
        <v>0</v>
      </c>
      <c r="D112" s="68" t="s">
        <v>0</v>
      </c>
      <c r="E112" s="68" t="s">
        <v>0</v>
      </c>
      <c r="F112" s="59" t="s">
        <v>0</v>
      </c>
      <c r="G112" s="55" t="s">
        <v>1262</v>
      </c>
      <c r="H112" s="55" t="s">
        <v>1266</v>
      </c>
      <c r="I112" s="55" t="s">
        <v>1267</v>
      </c>
      <c r="J112" s="60" t="s">
        <v>461</v>
      </c>
      <c r="K112" s="78" t="s">
        <v>822</v>
      </c>
      <c r="L112" s="60" t="s">
        <v>628</v>
      </c>
      <c r="M112" s="55" t="s">
        <v>0</v>
      </c>
      <c r="N112" s="2"/>
      <c r="O112" s="58"/>
      <c r="P112" s="60" t="s">
        <v>3</v>
      </c>
      <c r="Q112" s="60" t="s">
        <v>522</v>
      </c>
      <c r="R112" s="85" t="s">
        <v>0</v>
      </c>
      <c r="S112" s="85" t="s">
        <v>0</v>
      </c>
      <c r="T112" s="61" t="s">
        <v>0</v>
      </c>
      <c r="U112" s="60" t="s">
        <v>0</v>
      </c>
      <c r="V112" s="58" t="s">
        <v>0</v>
      </c>
      <c r="W112" s="58" t="s">
        <v>0</v>
      </c>
      <c r="X112" s="58" t="s">
        <v>0</v>
      </c>
      <c r="Y112" s="58" t="s">
        <v>0</v>
      </c>
      <c r="Z112" s="58" t="s">
        <v>471</v>
      </c>
      <c r="AA112" s="58" t="s">
        <v>464</v>
      </c>
      <c r="AB112" s="58" t="s">
        <v>0</v>
      </c>
      <c r="AC112" s="58" t="s">
        <v>0</v>
      </c>
      <c r="AD112" s="58" t="s">
        <v>0</v>
      </c>
      <c r="AE112" s="58" t="s">
        <v>0</v>
      </c>
      <c r="AF112" s="58"/>
      <c r="AG112" s="58"/>
      <c r="AH112" s="58"/>
      <c r="AI112" s="58" t="s">
        <v>0</v>
      </c>
      <c r="AJ112" s="58" t="s">
        <v>0</v>
      </c>
      <c r="AK112" s="1" t="s">
        <v>1255</v>
      </c>
    </row>
    <row r="113" spans="2:37">
      <c r="B113" s="68" t="s">
        <v>1048</v>
      </c>
      <c r="C113" s="68">
        <v>46006</v>
      </c>
      <c r="D113" s="68">
        <v>46021</v>
      </c>
      <c r="E113" s="68">
        <v>46024</v>
      </c>
      <c r="F113" s="59">
        <v>18</v>
      </c>
      <c r="G113" s="55" t="s">
        <v>1257</v>
      </c>
      <c r="H113" s="55" t="s">
        <v>1266</v>
      </c>
      <c r="I113" s="55" t="s">
        <v>462</v>
      </c>
      <c r="J113" s="60" t="s">
        <v>461</v>
      </c>
      <c r="K113" s="78" t="s">
        <v>823</v>
      </c>
      <c r="L113" s="60" t="s">
        <v>824</v>
      </c>
      <c r="M113" s="55" t="s">
        <v>624</v>
      </c>
      <c r="N113" s="49" t="s">
        <v>488</v>
      </c>
      <c r="O113" s="49" t="s">
        <v>489</v>
      </c>
      <c r="P113" s="60" t="s">
        <v>6</v>
      </c>
      <c r="Q113" s="60" t="s">
        <v>1048</v>
      </c>
      <c r="R113" s="85">
        <v>46003</v>
      </c>
      <c r="S113" s="85">
        <v>46024</v>
      </c>
      <c r="T113" s="61">
        <v>21</v>
      </c>
      <c r="U113" s="60">
        <v>21</v>
      </c>
      <c r="V113" s="58" t="s">
        <v>1254</v>
      </c>
      <c r="W113" s="58" t="s">
        <v>0</v>
      </c>
      <c r="X113" s="58" t="s">
        <v>0</v>
      </c>
      <c r="Y113" s="58" t="s">
        <v>0</v>
      </c>
      <c r="Z113" s="54" t="s">
        <v>464</v>
      </c>
      <c r="AA113" s="54" t="s">
        <v>520</v>
      </c>
      <c r="AB113" s="58" t="s">
        <v>0</v>
      </c>
      <c r="AC113" s="58" t="s">
        <v>0</v>
      </c>
      <c r="AD113" s="58" t="s">
        <v>0</v>
      </c>
      <c r="AE113" s="58" t="s">
        <v>0</v>
      </c>
      <c r="AF113" s="58"/>
      <c r="AG113" s="58"/>
      <c r="AH113" s="58"/>
      <c r="AI113" s="58">
        <v>0</v>
      </c>
      <c r="AJ113" s="58">
        <v>18</v>
      </c>
      <c r="AK113" s="1" t="s">
        <v>1255</v>
      </c>
    </row>
    <row r="114" spans="2:37">
      <c r="B114" s="68" t="s">
        <v>1272</v>
      </c>
      <c r="C114" s="68">
        <v>46030</v>
      </c>
      <c r="D114" s="68">
        <v>46043</v>
      </c>
      <c r="E114" s="68">
        <v>46045</v>
      </c>
      <c r="F114" s="59">
        <v>15</v>
      </c>
      <c r="G114" s="55" t="s">
        <v>1262</v>
      </c>
      <c r="H114" s="55" t="s">
        <v>1266</v>
      </c>
      <c r="I114" s="55" t="s">
        <v>462</v>
      </c>
      <c r="J114" s="60" t="s">
        <v>461</v>
      </c>
      <c r="K114" s="78" t="s">
        <v>825</v>
      </c>
      <c r="L114" s="60" t="s">
        <v>826</v>
      </c>
      <c r="M114" s="55" t="s">
        <v>624</v>
      </c>
      <c r="N114" s="49" t="s">
        <v>488</v>
      </c>
      <c r="O114" s="49" t="s">
        <v>489</v>
      </c>
      <c r="P114" s="60" t="s">
        <v>6</v>
      </c>
      <c r="Q114" s="60" t="s">
        <v>1224</v>
      </c>
      <c r="R114" s="85">
        <v>46029</v>
      </c>
      <c r="S114" s="85" t="s">
        <v>0</v>
      </c>
      <c r="T114" s="61" t="s">
        <v>0</v>
      </c>
      <c r="U114" s="60" t="s">
        <v>0</v>
      </c>
      <c r="V114" s="58" t="s">
        <v>0</v>
      </c>
      <c r="W114" s="58" t="s">
        <v>0</v>
      </c>
      <c r="X114" s="58" t="s">
        <v>0</v>
      </c>
      <c r="Y114" s="58" t="s">
        <v>0</v>
      </c>
      <c r="Z114" s="54" t="s">
        <v>482</v>
      </c>
      <c r="AA114" s="54" t="s">
        <v>464</v>
      </c>
      <c r="AB114" s="58" t="s">
        <v>0</v>
      </c>
      <c r="AC114" s="58" t="s">
        <v>0</v>
      </c>
      <c r="AD114" s="58" t="s">
        <v>0</v>
      </c>
      <c r="AE114" s="58" t="s">
        <v>0</v>
      </c>
      <c r="AF114" s="58"/>
      <c r="AG114" s="58"/>
      <c r="AH114" s="58"/>
      <c r="AI114" s="58" t="s">
        <v>0</v>
      </c>
      <c r="AJ114" s="58"/>
      <c r="AK114" s="1" t="s">
        <v>1255</v>
      </c>
    </row>
    <row r="115" spans="2:37">
      <c r="B115" s="68" t="s">
        <v>981</v>
      </c>
      <c r="C115" s="68">
        <v>45961</v>
      </c>
      <c r="D115" s="68">
        <v>45961</v>
      </c>
      <c r="E115" s="68">
        <v>45964</v>
      </c>
      <c r="F115" s="59">
        <v>3</v>
      </c>
      <c r="G115" s="55" t="s">
        <v>1257</v>
      </c>
      <c r="H115" s="55" t="s">
        <v>1266</v>
      </c>
      <c r="I115" s="55" t="s">
        <v>462</v>
      </c>
      <c r="J115" s="60" t="s">
        <v>461</v>
      </c>
      <c r="K115" s="78" t="s">
        <v>647</v>
      </c>
      <c r="L115" s="60" t="s">
        <v>827</v>
      </c>
      <c r="M115" s="55" t="s">
        <v>624</v>
      </c>
      <c r="N115" s="49" t="s">
        <v>488</v>
      </c>
      <c r="O115" s="49" t="s">
        <v>489</v>
      </c>
      <c r="P115" s="60" t="s">
        <v>6</v>
      </c>
      <c r="Q115" s="60" t="s">
        <v>981</v>
      </c>
      <c r="R115" s="85">
        <v>46024</v>
      </c>
      <c r="S115" s="85">
        <v>45965</v>
      </c>
      <c r="T115" s="61">
        <v>5</v>
      </c>
      <c r="U115" s="60">
        <v>-59</v>
      </c>
      <c r="V115" s="58" t="s">
        <v>1254</v>
      </c>
      <c r="W115" s="58" t="s">
        <v>1066</v>
      </c>
      <c r="X115" s="58" t="s">
        <v>1218</v>
      </c>
      <c r="Y115" s="58" t="s">
        <v>1219</v>
      </c>
      <c r="Z115" s="54" t="s">
        <v>477</v>
      </c>
      <c r="AA115" s="54" t="s">
        <v>508</v>
      </c>
      <c r="AB115" s="58" t="s">
        <v>0</v>
      </c>
      <c r="AC115" s="58" t="s">
        <v>0</v>
      </c>
      <c r="AD115" s="58" t="s">
        <v>0</v>
      </c>
      <c r="AE115" s="58" t="s">
        <v>0</v>
      </c>
      <c r="AF115" s="58"/>
      <c r="AG115" s="58"/>
      <c r="AH115" s="58"/>
      <c r="AI115" s="58">
        <v>1</v>
      </c>
      <c r="AJ115" s="58">
        <v>3</v>
      </c>
      <c r="AK115" s="1" t="s">
        <v>1255</v>
      </c>
    </row>
    <row r="116" spans="2:37">
      <c r="B116" s="68" t="s">
        <v>1272</v>
      </c>
      <c r="C116" s="68">
        <v>46030</v>
      </c>
      <c r="D116" s="68">
        <v>46043</v>
      </c>
      <c r="E116" s="68">
        <v>46045</v>
      </c>
      <c r="F116" s="59">
        <v>15</v>
      </c>
      <c r="G116" s="55" t="s">
        <v>1262</v>
      </c>
      <c r="H116" s="55" t="s">
        <v>1266</v>
      </c>
      <c r="I116" s="55" t="s">
        <v>462</v>
      </c>
      <c r="J116" s="60" t="s">
        <v>461</v>
      </c>
      <c r="K116" s="78" t="s">
        <v>828</v>
      </c>
      <c r="L116" s="60" t="s">
        <v>593</v>
      </c>
      <c r="M116" s="55" t="s">
        <v>624</v>
      </c>
      <c r="N116" s="49" t="s">
        <v>488</v>
      </c>
      <c r="O116" s="49" t="s">
        <v>489</v>
      </c>
      <c r="P116" s="60" t="s">
        <v>6</v>
      </c>
      <c r="Q116" s="60" t="s">
        <v>1224</v>
      </c>
      <c r="R116" s="85">
        <v>46029</v>
      </c>
      <c r="S116" s="85" t="s">
        <v>0</v>
      </c>
      <c r="T116" s="61" t="s">
        <v>0</v>
      </c>
      <c r="U116" s="60" t="s">
        <v>0</v>
      </c>
      <c r="V116" s="58" t="s">
        <v>0</v>
      </c>
      <c r="W116" s="58" t="s">
        <v>0</v>
      </c>
      <c r="X116" s="58" t="s">
        <v>0</v>
      </c>
      <c r="Y116" s="58" t="s">
        <v>0</v>
      </c>
      <c r="Z116" s="54" t="s">
        <v>474</v>
      </c>
      <c r="AA116" s="54" t="s">
        <v>467</v>
      </c>
      <c r="AB116" s="54" t="s">
        <v>464</v>
      </c>
      <c r="AC116" s="54" t="s">
        <v>485</v>
      </c>
      <c r="AD116" s="58" t="s">
        <v>0</v>
      </c>
      <c r="AE116" s="58" t="s">
        <v>0</v>
      </c>
      <c r="AF116" s="58"/>
      <c r="AG116" s="58"/>
      <c r="AH116" s="58"/>
      <c r="AI116" s="58" t="s">
        <v>0</v>
      </c>
      <c r="AJ116" s="58"/>
      <c r="AK116" s="1" t="s">
        <v>1255</v>
      </c>
    </row>
    <row r="117" spans="2:37">
      <c r="B117" s="68" t="s">
        <v>1013</v>
      </c>
      <c r="C117" s="68">
        <v>45992</v>
      </c>
      <c r="D117" s="68">
        <v>45993</v>
      </c>
      <c r="E117" s="68">
        <v>45994</v>
      </c>
      <c r="F117" s="59">
        <v>2</v>
      </c>
      <c r="G117" s="55" t="s">
        <v>1262</v>
      </c>
      <c r="H117" s="55" t="s">
        <v>1266</v>
      </c>
      <c r="I117" s="55" t="s">
        <v>462</v>
      </c>
      <c r="J117" s="60" t="s">
        <v>461</v>
      </c>
      <c r="K117" s="78" t="s">
        <v>829</v>
      </c>
      <c r="L117" s="60" t="s">
        <v>830</v>
      </c>
      <c r="M117" s="55" t="s">
        <v>624</v>
      </c>
      <c r="N117" s="49" t="s">
        <v>488</v>
      </c>
      <c r="O117" s="49" t="s">
        <v>489</v>
      </c>
      <c r="P117" s="60" t="s">
        <v>3</v>
      </c>
      <c r="Q117" s="60" t="s">
        <v>1013</v>
      </c>
      <c r="R117" s="85" t="s">
        <v>0</v>
      </c>
      <c r="S117" s="85">
        <v>45995</v>
      </c>
      <c r="T117" s="61">
        <v>6</v>
      </c>
      <c r="U117" s="60" t="s">
        <v>0</v>
      </c>
      <c r="V117" s="58" t="s">
        <v>1254</v>
      </c>
      <c r="W117" s="58" t="s">
        <v>1046</v>
      </c>
      <c r="X117" s="58" t="s">
        <v>1066</v>
      </c>
      <c r="Y117" s="58" t="s">
        <v>1066</v>
      </c>
      <c r="Z117" s="54" t="s">
        <v>508</v>
      </c>
      <c r="AA117" s="54" t="s">
        <v>520</v>
      </c>
      <c r="AB117" s="54" t="s">
        <v>485</v>
      </c>
      <c r="AC117" s="58" t="s">
        <v>0</v>
      </c>
      <c r="AD117" s="58" t="s">
        <v>0</v>
      </c>
      <c r="AE117" s="58" t="s">
        <v>0</v>
      </c>
      <c r="AF117" s="58"/>
      <c r="AG117" s="58"/>
      <c r="AH117" s="58"/>
      <c r="AI117" s="58">
        <v>1</v>
      </c>
      <c r="AJ117" s="58">
        <v>2</v>
      </c>
      <c r="AK117" s="1" t="s">
        <v>1255</v>
      </c>
    </row>
    <row r="118" spans="2:37">
      <c r="B118" s="68" t="s">
        <v>1265</v>
      </c>
      <c r="C118" s="68">
        <v>45966</v>
      </c>
      <c r="D118" s="68">
        <v>45966</v>
      </c>
      <c r="E118" s="68">
        <v>45967</v>
      </c>
      <c r="F118" s="59">
        <v>1</v>
      </c>
      <c r="G118" s="55" t="s">
        <v>1257</v>
      </c>
      <c r="H118" s="55" t="s">
        <v>1266</v>
      </c>
      <c r="I118" s="55" t="s">
        <v>462</v>
      </c>
      <c r="J118" s="55" t="s">
        <v>461</v>
      </c>
      <c r="K118" s="78" t="s">
        <v>831</v>
      </c>
      <c r="L118" s="60" t="s">
        <v>832</v>
      </c>
      <c r="M118" s="55" t="s">
        <v>624</v>
      </c>
      <c r="N118" s="49" t="s">
        <v>488</v>
      </c>
      <c r="O118" s="49" t="s">
        <v>489</v>
      </c>
      <c r="P118" s="60" t="s">
        <v>3</v>
      </c>
      <c r="Q118" s="60" t="s">
        <v>982</v>
      </c>
      <c r="R118" s="85">
        <v>46007</v>
      </c>
      <c r="S118" s="85">
        <v>45968</v>
      </c>
      <c r="T118" s="61">
        <v>3</v>
      </c>
      <c r="U118" s="60">
        <v>-39</v>
      </c>
      <c r="V118" s="58" t="s">
        <v>1254</v>
      </c>
      <c r="W118" s="58" t="s">
        <v>1045</v>
      </c>
      <c r="X118" s="58" t="s">
        <v>1046</v>
      </c>
      <c r="Y118" s="58" t="s">
        <v>1047</v>
      </c>
      <c r="Z118" s="54" t="s">
        <v>483</v>
      </c>
      <c r="AA118" s="54" t="s">
        <v>464</v>
      </c>
      <c r="AB118" s="54" t="s">
        <v>520</v>
      </c>
      <c r="AC118" s="58" t="s">
        <v>0</v>
      </c>
      <c r="AD118" s="58" t="s">
        <v>0</v>
      </c>
      <c r="AE118" s="58" t="s">
        <v>0</v>
      </c>
      <c r="AF118" s="58"/>
      <c r="AG118" s="58"/>
      <c r="AH118" s="58"/>
      <c r="AI118" s="58">
        <v>1</v>
      </c>
      <c r="AJ118" s="58">
        <v>1</v>
      </c>
      <c r="AK118" s="1" t="s">
        <v>1255</v>
      </c>
    </row>
    <row r="119" spans="2:37">
      <c r="B119" s="68" t="s">
        <v>1274</v>
      </c>
      <c r="C119" s="68">
        <v>46037</v>
      </c>
      <c r="D119" s="68">
        <v>0</v>
      </c>
      <c r="E119" s="68">
        <v>0</v>
      </c>
      <c r="F119" s="59">
        <v>-46037</v>
      </c>
      <c r="G119" s="55" t="s">
        <v>1262</v>
      </c>
      <c r="H119" s="55" t="s">
        <v>1266</v>
      </c>
      <c r="I119" s="55" t="s">
        <v>462</v>
      </c>
      <c r="J119" s="60" t="s">
        <v>461</v>
      </c>
      <c r="K119" s="78" t="s">
        <v>833</v>
      </c>
      <c r="L119" s="60" t="s">
        <v>557</v>
      </c>
      <c r="M119" s="55" t="s">
        <v>624</v>
      </c>
      <c r="N119" s="49" t="s">
        <v>488</v>
      </c>
      <c r="O119" s="50" t="s">
        <v>490</v>
      </c>
      <c r="P119" s="60" t="s">
        <v>5</v>
      </c>
      <c r="Q119" s="60" t="s">
        <v>1247</v>
      </c>
      <c r="R119" s="85" t="s">
        <v>0</v>
      </c>
      <c r="S119" s="85" t="s">
        <v>0</v>
      </c>
      <c r="T119" s="61" t="s">
        <v>0</v>
      </c>
      <c r="U119" s="60" t="s">
        <v>0</v>
      </c>
      <c r="V119" s="58" t="s">
        <v>0</v>
      </c>
      <c r="W119" s="58" t="s">
        <v>0</v>
      </c>
      <c r="X119" s="58" t="s">
        <v>0</v>
      </c>
      <c r="Y119" s="58" t="s">
        <v>0</v>
      </c>
      <c r="Z119" s="58" t="s">
        <v>471</v>
      </c>
      <c r="AA119" s="58" t="s">
        <v>464</v>
      </c>
      <c r="AB119" s="54" t="s">
        <v>526</v>
      </c>
      <c r="AC119" s="54" t="s">
        <v>464</v>
      </c>
      <c r="AD119" s="58" t="s">
        <v>526</v>
      </c>
      <c r="AE119" s="58" t="s">
        <v>0</v>
      </c>
      <c r="AF119" s="58"/>
      <c r="AG119" s="58"/>
      <c r="AH119" s="58"/>
      <c r="AI119" s="58" t="s">
        <v>0</v>
      </c>
      <c r="AJ119" s="58">
        <v>-46037</v>
      </c>
      <c r="AK119" s="1" t="s">
        <v>1255</v>
      </c>
    </row>
    <row r="120" spans="2:37">
      <c r="B120" s="68" t="s">
        <v>1048</v>
      </c>
      <c r="C120" s="68">
        <v>46006</v>
      </c>
      <c r="D120" s="68">
        <v>46009</v>
      </c>
      <c r="E120" s="68">
        <v>46013</v>
      </c>
      <c r="F120" s="59">
        <v>7</v>
      </c>
      <c r="G120" s="55" t="s">
        <v>1257</v>
      </c>
      <c r="H120" s="55" t="s">
        <v>1266</v>
      </c>
      <c r="I120" s="55" t="s">
        <v>462</v>
      </c>
      <c r="J120" s="60" t="s">
        <v>461</v>
      </c>
      <c r="K120" s="78" t="s">
        <v>834</v>
      </c>
      <c r="L120" s="60" t="s">
        <v>835</v>
      </c>
      <c r="M120" s="55" t="s">
        <v>624</v>
      </c>
      <c r="N120" s="49" t="s">
        <v>488</v>
      </c>
      <c r="O120" s="49" t="s">
        <v>489</v>
      </c>
      <c r="P120" s="60" t="s">
        <v>5</v>
      </c>
      <c r="Q120" s="60" t="s">
        <v>1048</v>
      </c>
      <c r="R120" s="85">
        <v>46003</v>
      </c>
      <c r="S120" s="85">
        <v>46017</v>
      </c>
      <c r="T120" s="61">
        <v>14</v>
      </c>
      <c r="U120" s="60">
        <v>14</v>
      </c>
      <c r="V120" s="58" t="s">
        <v>1254</v>
      </c>
      <c r="W120" s="58" t="s">
        <v>0</v>
      </c>
      <c r="X120" s="58" t="s">
        <v>0</v>
      </c>
      <c r="Y120" s="58" t="s">
        <v>0</v>
      </c>
      <c r="Z120" s="54" t="s">
        <v>464</v>
      </c>
      <c r="AA120" s="54" t="s">
        <v>473</v>
      </c>
      <c r="AB120" s="54" t="s">
        <v>526</v>
      </c>
      <c r="AC120" s="58" t="s">
        <v>464</v>
      </c>
      <c r="AD120" s="58" t="s">
        <v>473</v>
      </c>
      <c r="AE120" s="58" t="s">
        <v>526</v>
      </c>
      <c r="AF120" s="58"/>
      <c r="AG120" s="58"/>
      <c r="AH120" s="58"/>
      <c r="AI120" s="58">
        <v>4</v>
      </c>
      <c r="AJ120" s="58">
        <v>7</v>
      </c>
      <c r="AK120" s="1" t="s">
        <v>1255</v>
      </c>
    </row>
    <row r="121" spans="2:37">
      <c r="B121" s="68" t="s">
        <v>1013</v>
      </c>
      <c r="C121" s="68">
        <v>45992</v>
      </c>
      <c r="D121" s="68">
        <v>45993</v>
      </c>
      <c r="E121" s="68">
        <v>45994</v>
      </c>
      <c r="F121" s="59">
        <v>2</v>
      </c>
      <c r="G121" s="55" t="s">
        <v>1262</v>
      </c>
      <c r="H121" s="55" t="s">
        <v>1266</v>
      </c>
      <c r="I121" s="55" t="s">
        <v>462</v>
      </c>
      <c r="J121" s="60" t="s">
        <v>461</v>
      </c>
      <c r="K121" s="78" t="s">
        <v>836</v>
      </c>
      <c r="L121" s="60" t="s">
        <v>565</v>
      </c>
      <c r="M121" s="55" t="s">
        <v>624</v>
      </c>
      <c r="N121" s="49" t="s">
        <v>488</v>
      </c>
      <c r="O121" s="49" t="s">
        <v>489</v>
      </c>
      <c r="P121" s="60" t="s">
        <v>6</v>
      </c>
      <c r="Q121" s="60" t="s">
        <v>1013</v>
      </c>
      <c r="R121" s="85">
        <v>45996</v>
      </c>
      <c r="S121" s="85">
        <v>45995</v>
      </c>
      <c r="T121" s="61">
        <v>6</v>
      </c>
      <c r="U121" s="60">
        <v>-1</v>
      </c>
      <c r="V121" s="58" t="s">
        <v>1254</v>
      </c>
      <c r="W121" s="58" t="s">
        <v>1046</v>
      </c>
      <c r="X121" s="58" t="s">
        <v>1066</v>
      </c>
      <c r="Y121" s="58" t="s">
        <v>1066</v>
      </c>
      <c r="Z121" s="54" t="s">
        <v>482</v>
      </c>
      <c r="AA121" s="54" t="s">
        <v>508</v>
      </c>
      <c r="AB121" s="54" t="s">
        <v>520</v>
      </c>
      <c r="AC121" s="58" t="s">
        <v>482</v>
      </c>
      <c r="AD121" s="58" t="s">
        <v>508</v>
      </c>
      <c r="AE121" s="58" t="s">
        <v>520</v>
      </c>
      <c r="AF121" s="58"/>
      <c r="AG121" s="58"/>
      <c r="AH121" s="58"/>
      <c r="AI121" s="58">
        <v>1</v>
      </c>
      <c r="AJ121" s="58">
        <v>2</v>
      </c>
      <c r="AK121" s="1" t="s">
        <v>1255</v>
      </c>
    </row>
    <row r="122" spans="2:37">
      <c r="B122" s="68" t="s">
        <v>1068</v>
      </c>
      <c r="C122" s="68">
        <v>46017</v>
      </c>
      <c r="D122" s="68">
        <v>46027</v>
      </c>
      <c r="E122" s="68">
        <v>46030</v>
      </c>
      <c r="F122" s="59">
        <v>13</v>
      </c>
      <c r="G122" s="55" t="s">
        <v>1262</v>
      </c>
      <c r="H122" s="55" t="s">
        <v>1266</v>
      </c>
      <c r="I122" s="55" t="s">
        <v>462</v>
      </c>
      <c r="J122" s="60" t="s">
        <v>461</v>
      </c>
      <c r="K122" s="78" t="s">
        <v>837</v>
      </c>
      <c r="L122" s="60" t="s">
        <v>838</v>
      </c>
      <c r="M122" s="55" t="s">
        <v>624</v>
      </c>
      <c r="N122" s="49" t="s">
        <v>488</v>
      </c>
      <c r="O122" s="49" t="s">
        <v>489</v>
      </c>
      <c r="P122" s="60" t="s">
        <v>5</v>
      </c>
      <c r="Q122" s="60" t="s">
        <v>1068</v>
      </c>
      <c r="R122" s="85">
        <v>46015</v>
      </c>
      <c r="S122" s="85">
        <v>46031</v>
      </c>
      <c r="T122" s="61">
        <v>16</v>
      </c>
      <c r="U122" s="60">
        <v>16</v>
      </c>
      <c r="V122" s="58" t="s">
        <v>1254</v>
      </c>
      <c r="W122" s="58" t="s">
        <v>0</v>
      </c>
      <c r="X122" s="58" t="s">
        <v>0</v>
      </c>
      <c r="Y122" s="58" t="s">
        <v>0</v>
      </c>
      <c r="Z122" s="54" t="s">
        <v>474</v>
      </c>
      <c r="AA122" s="54" t="s">
        <v>464</v>
      </c>
      <c r="AB122" s="54" t="s">
        <v>520</v>
      </c>
      <c r="AC122" s="54" t="s">
        <v>526</v>
      </c>
      <c r="AD122" s="58" t="s">
        <v>474</v>
      </c>
      <c r="AE122" s="58" t="s">
        <v>464</v>
      </c>
      <c r="AF122" s="58"/>
      <c r="AG122" s="58"/>
      <c r="AH122" s="58"/>
      <c r="AI122" s="58">
        <v>1</v>
      </c>
      <c r="AJ122" s="58">
        <v>13</v>
      </c>
      <c r="AK122" s="1" t="s">
        <v>1255</v>
      </c>
    </row>
    <row r="123" spans="2:37">
      <c r="B123" s="68" t="s">
        <v>981</v>
      </c>
      <c r="C123" s="68">
        <v>45961</v>
      </c>
      <c r="D123" s="68">
        <v>45961</v>
      </c>
      <c r="E123" s="68">
        <v>45964</v>
      </c>
      <c r="F123" s="59">
        <v>3</v>
      </c>
      <c r="G123" s="55" t="s">
        <v>1262</v>
      </c>
      <c r="H123" s="55" t="s">
        <v>1266</v>
      </c>
      <c r="I123" s="55" t="s">
        <v>462</v>
      </c>
      <c r="J123" s="60" t="s">
        <v>461</v>
      </c>
      <c r="K123" s="78" t="s">
        <v>648</v>
      </c>
      <c r="L123" s="60" t="s">
        <v>839</v>
      </c>
      <c r="M123" s="55" t="s">
        <v>624</v>
      </c>
      <c r="N123" s="49" t="s">
        <v>488</v>
      </c>
      <c r="O123" s="49" t="s">
        <v>489</v>
      </c>
      <c r="P123" s="60" t="s">
        <v>5</v>
      </c>
      <c r="Q123" s="60" t="s">
        <v>981</v>
      </c>
      <c r="R123" s="85" t="s">
        <v>0</v>
      </c>
      <c r="S123" s="85">
        <v>45965</v>
      </c>
      <c r="T123" s="61">
        <v>5</v>
      </c>
      <c r="U123" s="60" t="s">
        <v>0</v>
      </c>
      <c r="V123" s="58" t="s">
        <v>1254</v>
      </c>
      <c r="W123" s="58" t="s">
        <v>1066</v>
      </c>
      <c r="X123" s="58" t="s">
        <v>1218</v>
      </c>
      <c r="Y123" s="58" t="s">
        <v>1219</v>
      </c>
      <c r="Z123" s="54" t="s">
        <v>471</v>
      </c>
      <c r="AA123" s="54" t="s">
        <v>464</v>
      </c>
      <c r="AB123" s="54" t="s">
        <v>526</v>
      </c>
      <c r="AC123" s="58" t="s">
        <v>471</v>
      </c>
      <c r="AD123" s="58" t="s">
        <v>464</v>
      </c>
      <c r="AE123" s="58" t="s">
        <v>526</v>
      </c>
      <c r="AF123" s="58"/>
      <c r="AG123" s="58"/>
      <c r="AH123" s="58"/>
      <c r="AI123" s="58">
        <v>1</v>
      </c>
      <c r="AJ123" s="58">
        <v>3</v>
      </c>
      <c r="AK123" s="1" t="s">
        <v>1255</v>
      </c>
    </row>
    <row r="124" spans="2:37">
      <c r="B124" s="68" t="s">
        <v>0</v>
      </c>
      <c r="C124" s="68" t="s">
        <v>0</v>
      </c>
      <c r="D124" s="68" t="s">
        <v>0</v>
      </c>
      <c r="E124" s="68" t="s">
        <v>0</v>
      </c>
      <c r="F124" s="59" t="s">
        <v>0</v>
      </c>
      <c r="G124" s="55" t="s">
        <v>1262</v>
      </c>
      <c r="H124" s="55" t="s">
        <v>1266</v>
      </c>
      <c r="I124" s="55" t="s">
        <v>1267</v>
      </c>
      <c r="J124" s="60" t="s">
        <v>461</v>
      </c>
      <c r="K124" s="78" t="s">
        <v>840</v>
      </c>
      <c r="L124" s="60" t="s">
        <v>841</v>
      </c>
      <c r="M124" s="55" t="s">
        <v>0</v>
      </c>
      <c r="N124" s="2"/>
      <c r="O124" s="58"/>
      <c r="P124" s="60" t="s">
        <v>379</v>
      </c>
      <c r="Q124" s="60" t="s">
        <v>522</v>
      </c>
      <c r="R124" s="85" t="s">
        <v>0</v>
      </c>
      <c r="S124" s="85" t="s">
        <v>0</v>
      </c>
      <c r="T124" s="61" t="s">
        <v>0</v>
      </c>
      <c r="U124" s="60" t="s">
        <v>0</v>
      </c>
      <c r="V124" s="58" t="s">
        <v>0</v>
      </c>
      <c r="W124" s="58" t="s">
        <v>0</v>
      </c>
      <c r="X124" s="58" t="s">
        <v>0</v>
      </c>
      <c r="Y124" s="58" t="s">
        <v>0</v>
      </c>
      <c r="Z124" s="58" t="s">
        <v>471</v>
      </c>
      <c r="AA124" s="58" t="s">
        <v>471</v>
      </c>
      <c r="AB124" s="58" t="s">
        <v>0</v>
      </c>
      <c r="AC124" s="58" t="s">
        <v>0</v>
      </c>
      <c r="AD124" s="58" t="s">
        <v>0</v>
      </c>
      <c r="AE124" s="58" t="s">
        <v>0</v>
      </c>
      <c r="AF124" s="58"/>
      <c r="AG124" s="58"/>
      <c r="AH124" s="58"/>
      <c r="AI124" s="58" t="s">
        <v>0</v>
      </c>
      <c r="AJ124" s="58" t="s">
        <v>0</v>
      </c>
      <c r="AK124" s="1" t="s">
        <v>1255</v>
      </c>
    </row>
    <row r="125" spans="2:37">
      <c r="B125" s="68" t="s">
        <v>0</v>
      </c>
      <c r="C125" s="68" t="s">
        <v>0</v>
      </c>
      <c r="D125" s="68" t="s">
        <v>0</v>
      </c>
      <c r="E125" s="68" t="s">
        <v>0</v>
      </c>
      <c r="F125" s="59" t="s">
        <v>0</v>
      </c>
      <c r="G125" s="55" t="s">
        <v>1262</v>
      </c>
      <c r="H125" s="55" t="s">
        <v>1266</v>
      </c>
      <c r="I125" s="55" t="s">
        <v>1267</v>
      </c>
      <c r="J125" s="60" t="s">
        <v>461</v>
      </c>
      <c r="K125" s="78" t="s">
        <v>842</v>
      </c>
      <c r="L125" s="60" t="s">
        <v>843</v>
      </c>
      <c r="M125" s="55" t="s">
        <v>0</v>
      </c>
      <c r="N125" s="2"/>
      <c r="O125" s="58"/>
      <c r="P125" s="60" t="s">
        <v>379</v>
      </c>
      <c r="Q125" s="60" t="s">
        <v>522</v>
      </c>
      <c r="R125" s="85" t="s">
        <v>0</v>
      </c>
      <c r="S125" s="85" t="s">
        <v>0</v>
      </c>
      <c r="T125" s="61" t="s">
        <v>0</v>
      </c>
      <c r="U125" s="60" t="s">
        <v>0</v>
      </c>
      <c r="V125" s="58" t="s">
        <v>0</v>
      </c>
      <c r="W125" s="58" t="s">
        <v>0</v>
      </c>
      <c r="X125" s="58" t="s">
        <v>0</v>
      </c>
      <c r="Y125" s="58" t="s">
        <v>0</v>
      </c>
      <c r="Z125" s="58" t="s">
        <v>471</v>
      </c>
      <c r="AA125" s="58" t="s">
        <v>471</v>
      </c>
      <c r="AB125" s="58" t="s">
        <v>0</v>
      </c>
      <c r="AC125" s="58" t="s">
        <v>0</v>
      </c>
      <c r="AD125" s="58" t="s">
        <v>0</v>
      </c>
      <c r="AE125" s="58" t="s">
        <v>0</v>
      </c>
      <c r="AF125" s="58"/>
      <c r="AG125" s="58"/>
      <c r="AH125" s="58"/>
      <c r="AI125" s="58" t="s">
        <v>0</v>
      </c>
      <c r="AJ125" s="58" t="s">
        <v>0</v>
      </c>
      <c r="AK125" s="1" t="s">
        <v>1255</v>
      </c>
    </row>
    <row r="126" spans="2:37">
      <c r="B126" s="68" t="s">
        <v>1264</v>
      </c>
      <c r="C126" s="68">
        <v>46001</v>
      </c>
      <c r="D126" s="68">
        <v>46002</v>
      </c>
      <c r="E126" s="68">
        <v>46007</v>
      </c>
      <c r="F126" s="59">
        <v>6</v>
      </c>
      <c r="G126" s="55" t="s">
        <v>1262</v>
      </c>
      <c r="H126" s="55" t="s">
        <v>1266</v>
      </c>
      <c r="I126" s="55" t="s">
        <v>462</v>
      </c>
      <c r="J126" s="60" t="s">
        <v>461</v>
      </c>
      <c r="K126" s="78" t="s">
        <v>844</v>
      </c>
      <c r="L126" s="60" t="s">
        <v>558</v>
      </c>
      <c r="M126" s="55" t="s">
        <v>624</v>
      </c>
      <c r="N126" s="49" t="s">
        <v>488</v>
      </c>
      <c r="O126" s="49" t="s">
        <v>489</v>
      </c>
      <c r="P126" s="60" t="s">
        <v>7</v>
      </c>
      <c r="Q126" s="60" t="s">
        <v>1053</v>
      </c>
      <c r="R126" s="85">
        <v>46001</v>
      </c>
      <c r="S126" s="85">
        <v>46009</v>
      </c>
      <c r="T126" s="61">
        <v>9</v>
      </c>
      <c r="U126" s="60">
        <v>8</v>
      </c>
      <c r="V126" s="58" t="s">
        <v>1254</v>
      </c>
      <c r="W126" s="58" t="s">
        <v>0</v>
      </c>
      <c r="X126" s="58" t="s">
        <v>0</v>
      </c>
      <c r="Y126" s="58" t="s">
        <v>0</v>
      </c>
      <c r="Z126" s="54" t="s">
        <v>472</v>
      </c>
      <c r="AA126" s="54" t="s">
        <v>485</v>
      </c>
      <c r="AB126" s="58" t="s">
        <v>472</v>
      </c>
      <c r="AC126" s="58" t="s">
        <v>485</v>
      </c>
      <c r="AD126" s="58" t="s">
        <v>0</v>
      </c>
      <c r="AE126" s="58" t="s">
        <v>0</v>
      </c>
      <c r="AF126" s="58"/>
      <c r="AG126" s="58"/>
      <c r="AH126" s="58"/>
      <c r="AI126" s="58">
        <v>2</v>
      </c>
      <c r="AJ126" s="58">
        <v>6</v>
      </c>
      <c r="AK126" s="1" t="s">
        <v>1255</v>
      </c>
    </row>
    <row r="127" spans="2:37">
      <c r="B127" s="68" t="s">
        <v>983</v>
      </c>
      <c r="C127" s="68">
        <v>45960</v>
      </c>
      <c r="D127" s="68">
        <v>45960</v>
      </c>
      <c r="E127" s="68">
        <v>45960</v>
      </c>
      <c r="F127" s="59">
        <v>0</v>
      </c>
      <c r="G127" s="55" t="s">
        <v>1257</v>
      </c>
      <c r="H127" s="55" t="s">
        <v>1266</v>
      </c>
      <c r="I127" s="55" t="s">
        <v>462</v>
      </c>
      <c r="J127" s="60" t="s">
        <v>461</v>
      </c>
      <c r="K127" s="78" t="s">
        <v>649</v>
      </c>
      <c r="L127" s="60" t="s">
        <v>845</v>
      </c>
      <c r="M127" s="55" t="s">
        <v>624</v>
      </c>
      <c r="N127" s="49" t="s">
        <v>488</v>
      </c>
      <c r="O127" s="49" t="s">
        <v>489</v>
      </c>
      <c r="P127" s="60" t="s">
        <v>7</v>
      </c>
      <c r="Q127" s="60" t="s">
        <v>981</v>
      </c>
      <c r="R127" s="85">
        <v>46030</v>
      </c>
      <c r="S127" s="85">
        <v>45964</v>
      </c>
      <c r="T127" s="61">
        <v>4</v>
      </c>
      <c r="U127" s="60">
        <v>-66</v>
      </c>
      <c r="V127" s="58" t="s">
        <v>1254</v>
      </c>
      <c r="W127" s="58" t="s">
        <v>1045</v>
      </c>
      <c r="X127" s="58" t="s">
        <v>1046</v>
      </c>
      <c r="Y127" s="58" t="s">
        <v>1047</v>
      </c>
      <c r="Z127" s="54" t="s">
        <v>506</v>
      </c>
      <c r="AA127" s="54" t="s">
        <v>485</v>
      </c>
      <c r="AB127" s="58" t="s">
        <v>506</v>
      </c>
      <c r="AC127" s="58" t="s">
        <v>485</v>
      </c>
      <c r="AD127" s="58" t="s">
        <v>0</v>
      </c>
      <c r="AE127" s="58" t="s">
        <v>0</v>
      </c>
      <c r="AF127" s="58"/>
      <c r="AG127" s="58"/>
      <c r="AH127" s="58"/>
      <c r="AI127" s="58">
        <v>4</v>
      </c>
      <c r="AJ127" s="58">
        <v>0</v>
      </c>
      <c r="AK127" s="1" t="s">
        <v>1255</v>
      </c>
    </row>
    <row r="128" spans="2:37">
      <c r="B128" s="68" t="s">
        <v>0</v>
      </c>
      <c r="C128" s="68" t="s">
        <v>0</v>
      </c>
      <c r="D128" s="68" t="s">
        <v>0</v>
      </c>
      <c r="E128" s="68" t="s">
        <v>0</v>
      </c>
      <c r="F128" s="59" t="s">
        <v>0</v>
      </c>
      <c r="G128" s="55" t="s">
        <v>1257</v>
      </c>
      <c r="H128" s="55" t="s">
        <v>1266</v>
      </c>
      <c r="I128" s="55" t="s">
        <v>1269</v>
      </c>
      <c r="J128" s="60" t="s">
        <v>461</v>
      </c>
      <c r="K128" s="78" t="s">
        <v>846</v>
      </c>
      <c r="L128" s="60" t="s">
        <v>605</v>
      </c>
      <c r="M128" s="55" t="s">
        <v>0</v>
      </c>
      <c r="N128" s="2"/>
      <c r="O128" s="58"/>
      <c r="P128" s="60" t="s">
        <v>379</v>
      </c>
      <c r="Q128" s="60" t="s">
        <v>522</v>
      </c>
      <c r="R128" s="85" t="s">
        <v>0</v>
      </c>
      <c r="S128" s="85" t="s">
        <v>0</v>
      </c>
      <c r="T128" s="61" t="s">
        <v>0</v>
      </c>
      <c r="U128" s="60" t="s">
        <v>0</v>
      </c>
      <c r="V128" s="58" t="s">
        <v>0</v>
      </c>
      <c r="W128" s="58" t="s">
        <v>0</v>
      </c>
      <c r="X128" s="58" t="s">
        <v>0</v>
      </c>
      <c r="Y128" s="58" t="s">
        <v>0</v>
      </c>
      <c r="Z128" s="58" t="s">
        <v>480</v>
      </c>
      <c r="AA128" s="58" t="s">
        <v>473</v>
      </c>
      <c r="AB128" s="58" t="s">
        <v>480</v>
      </c>
      <c r="AC128" s="58" t="s">
        <v>473</v>
      </c>
      <c r="AD128" s="58" t="s">
        <v>0</v>
      </c>
      <c r="AE128" s="58" t="s">
        <v>0</v>
      </c>
      <c r="AF128" s="58"/>
      <c r="AG128" s="58"/>
      <c r="AH128" s="58"/>
      <c r="AI128" s="58" t="s">
        <v>0</v>
      </c>
      <c r="AJ128" s="58" t="s">
        <v>0</v>
      </c>
      <c r="AK128" s="1" t="s">
        <v>1255</v>
      </c>
    </row>
    <row r="129" spans="2:37">
      <c r="B129" s="68" t="s">
        <v>1275</v>
      </c>
      <c r="C129" s="68">
        <v>46035</v>
      </c>
      <c r="D129" s="68">
        <v>46048</v>
      </c>
      <c r="E129" s="68">
        <v>46048</v>
      </c>
      <c r="F129" s="59">
        <v>13</v>
      </c>
      <c r="G129" s="55" t="s">
        <v>1262</v>
      </c>
      <c r="H129" s="55" t="s">
        <v>1266</v>
      </c>
      <c r="I129" s="55" t="s">
        <v>1267</v>
      </c>
      <c r="J129" s="60" t="s">
        <v>461</v>
      </c>
      <c r="K129" s="78" t="s">
        <v>847</v>
      </c>
      <c r="L129" s="60" t="s">
        <v>1217</v>
      </c>
      <c r="M129" s="55" t="s">
        <v>624</v>
      </c>
      <c r="N129" s="49" t="s">
        <v>488</v>
      </c>
      <c r="O129" s="49" t="s">
        <v>489</v>
      </c>
      <c r="P129" s="60" t="s">
        <v>4</v>
      </c>
      <c r="Q129" s="60" t="s">
        <v>1245</v>
      </c>
      <c r="R129" s="85" t="s">
        <v>0</v>
      </c>
      <c r="S129" s="85" t="s">
        <v>0</v>
      </c>
      <c r="T129" s="61" t="s">
        <v>0</v>
      </c>
      <c r="U129" s="60" t="s">
        <v>0</v>
      </c>
      <c r="V129" s="58" t="s">
        <v>0</v>
      </c>
      <c r="W129" s="58" t="s">
        <v>0</v>
      </c>
      <c r="X129" s="58" t="s">
        <v>0</v>
      </c>
      <c r="Y129" s="58" t="s">
        <v>0</v>
      </c>
      <c r="Z129" s="54" t="s">
        <v>472</v>
      </c>
      <c r="AA129" s="54" t="s">
        <v>471</v>
      </c>
      <c r="AB129" s="54" t="s">
        <v>520</v>
      </c>
      <c r="AC129" s="54" t="s">
        <v>485</v>
      </c>
      <c r="AD129" s="58" t="s">
        <v>472</v>
      </c>
      <c r="AE129" s="58" t="s">
        <v>471</v>
      </c>
      <c r="AF129" s="58"/>
      <c r="AG129" s="58"/>
      <c r="AH129" s="58"/>
      <c r="AI129" s="58" t="s">
        <v>0</v>
      </c>
      <c r="AJ129" s="58">
        <v>13</v>
      </c>
      <c r="AK129" s="1" t="s">
        <v>1255</v>
      </c>
    </row>
    <row r="130" spans="2:37">
      <c r="B130" s="68" t="s">
        <v>1009</v>
      </c>
      <c r="C130" s="68">
        <v>45989</v>
      </c>
      <c r="D130" s="68">
        <v>45989</v>
      </c>
      <c r="E130" s="68">
        <v>45992</v>
      </c>
      <c r="F130" s="59">
        <v>3</v>
      </c>
      <c r="G130" s="55" t="s">
        <v>1257</v>
      </c>
      <c r="H130" s="55" t="s">
        <v>1266</v>
      </c>
      <c r="I130" s="55" t="s">
        <v>1267</v>
      </c>
      <c r="J130" s="60" t="s">
        <v>461</v>
      </c>
      <c r="K130" s="78" t="s">
        <v>848</v>
      </c>
      <c r="L130" s="60" t="s">
        <v>849</v>
      </c>
      <c r="M130" s="55" t="s">
        <v>624</v>
      </c>
      <c r="N130" s="49" t="s">
        <v>488</v>
      </c>
      <c r="O130" s="49" t="s">
        <v>489</v>
      </c>
      <c r="P130" s="60" t="s">
        <v>4</v>
      </c>
      <c r="Q130" s="60" t="s">
        <v>1009</v>
      </c>
      <c r="R130" s="85" t="s">
        <v>0</v>
      </c>
      <c r="S130" s="85">
        <v>45993</v>
      </c>
      <c r="T130" s="61">
        <v>5</v>
      </c>
      <c r="U130" s="60" t="s">
        <v>0</v>
      </c>
      <c r="V130" s="58" t="s">
        <v>1254</v>
      </c>
      <c r="W130" s="58" t="s">
        <v>0</v>
      </c>
      <c r="X130" s="58" t="s">
        <v>0</v>
      </c>
      <c r="Y130" s="58" t="s">
        <v>0</v>
      </c>
      <c r="Z130" s="54" t="s">
        <v>472</v>
      </c>
      <c r="AA130" s="54" t="s">
        <v>507</v>
      </c>
      <c r="AB130" s="54" t="s">
        <v>471</v>
      </c>
      <c r="AC130" s="58" t="s">
        <v>472</v>
      </c>
      <c r="AD130" s="58" t="s">
        <v>507</v>
      </c>
      <c r="AE130" s="58" t="s">
        <v>471</v>
      </c>
      <c r="AF130" s="58"/>
      <c r="AG130" s="58"/>
      <c r="AH130" s="58"/>
      <c r="AI130" s="58">
        <v>1</v>
      </c>
      <c r="AJ130" s="58">
        <v>3</v>
      </c>
      <c r="AK130" s="1" t="s">
        <v>1255</v>
      </c>
    </row>
    <row r="131" spans="2:37">
      <c r="B131" s="68" t="s">
        <v>1276</v>
      </c>
      <c r="C131" s="68">
        <v>45993</v>
      </c>
      <c r="D131" s="68">
        <v>45993</v>
      </c>
      <c r="E131" s="68">
        <v>45995</v>
      </c>
      <c r="F131" s="59">
        <v>2</v>
      </c>
      <c r="G131" s="55" t="s">
        <v>1262</v>
      </c>
      <c r="H131" s="55" t="s">
        <v>1266</v>
      </c>
      <c r="I131" s="55" t="s">
        <v>1267</v>
      </c>
      <c r="J131" s="60" t="s">
        <v>461</v>
      </c>
      <c r="K131" s="78" t="s">
        <v>850</v>
      </c>
      <c r="L131" s="60" t="s">
        <v>851</v>
      </c>
      <c r="M131" s="55" t="s">
        <v>624</v>
      </c>
      <c r="N131" s="49" t="s">
        <v>488</v>
      </c>
      <c r="O131" s="49" t="s">
        <v>489</v>
      </c>
      <c r="P131" s="60" t="s">
        <v>4</v>
      </c>
      <c r="Q131" s="60" t="s">
        <v>1011</v>
      </c>
      <c r="R131" s="85" t="s">
        <v>0</v>
      </c>
      <c r="S131" s="85">
        <v>45996</v>
      </c>
      <c r="T131" s="61">
        <v>4</v>
      </c>
      <c r="U131" s="60" t="s">
        <v>0</v>
      </c>
      <c r="V131" s="58" t="s">
        <v>1254</v>
      </c>
      <c r="W131" s="58" t="s">
        <v>0</v>
      </c>
      <c r="X131" s="58" t="s">
        <v>0</v>
      </c>
      <c r="Y131" s="58" t="s">
        <v>0</v>
      </c>
      <c r="Z131" s="54" t="s">
        <v>540</v>
      </c>
      <c r="AA131" s="54" t="s">
        <v>471</v>
      </c>
      <c r="AB131" s="54" t="s">
        <v>464</v>
      </c>
      <c r="AC131" s="58" t="s">
        <v>540</v>
      </c>
      <c r="AD131" s="58" t="s">
        <v>471</v>
      </c>
      <c r="AE131" s="58" t="s">
        <v>464</v>
      </c>
      <c r="AF131" s="58"/>
      <c r="AG131" s="58"/>
      <c r="AH131" s="58"/>
      <c r="AI131" s="58">
        <v>1</v>
      </c>
      <c r="AJ131" s="58">
        <v>2</v>
      </c>
      <c r="AK131" s="1" t="s">
        <v>1255</v>
      </c>
    </row>
    <row r="132" spans="2:37">
      <c r="B132" s="68" t="s">
        <v>1276</v>
      </c>
      <c r="C132" s="68">
        <v>45993</v>
      </c>
      <c r="D132" s="68">
        <v>45993</v>
      </c>
      <c r="E132" s="68">
        <v>45995</v>
      </c>
      <c r="F132" s="59">
        <v>2</v>
      </c>
      <c r="G132" s="55" t="s">
        <v>1257</v>
      </c>
      <c r="H132" s="55" t="s">
        <v>1266</v>
      </c>
      <c r="I132" s="55" t="s">
        <v>1267</v>
      </c>
      <c r="J132" s="60" t="s">
        <v>461</v>
      </c>
      <c r="K132" s="78" t="s">
        <v>852</v>
      </c>
      <c r="L132" s="60" t="s">
        <v>853</v>
      </c>
      <c r="M132" s="55" t="s">
        <v>624</v>
      </c>
      <c r="N132" s="49" t="s">
        <v>488</v>
      </c>
      <c r="O132" s="49" t="s">
        <v>489</v>
      </c>
      <c r="P132" s="60" t="s">
        <v>4</v>
      </c>
      <c r="Q132" s="60" t="s">
        <v>1011</v>
      </c>
      <c r="R132" s="85" t="s">
        <v>0</v>
      </c>
      <c r="S132" s="85">
        <v>45996</v>
      </c>
      <c r="T132" s="61">
        <v>4</v>
      </c>
      <c r="U132" s="60" t="s">
        <v>0</v>
      </c>
      <c r="V132" s="58" t="s">
        <v>1254</v>
      </c>
      <c r="W132" s="58" t="s">
        <v>0</v>
      </c>
      <c r="X132" s="58" t="s">
        <v>0</v>
      </c>
      <c r="Y132" s="58" t="s">
        <v>0</v>
      </c>
      <c r="Z132" s="54" t="s">
        <v>523</v>
      </c>
      <c r="AA132" s="54" t="s">
        <v>471</v>
      </c>
      <c r="AB132" s="54" t="s">
        <v>464</v>
      </c>
      <c r="AC132" s="58" t="s">
        <v>523</v>
      </c>
      <c r="AD132" s="58" t="s">
        <v>471</v>
      </c>
      <c r="AE132" s="58" t="s">
        <v>464</v>
      </c>
      <c r="AF132" s="58"/>
      <c r="AG132" s="58"/>
      <c r="AH132" s="58"/>
      <c r="AI132" s="58">
        <v>1</v>
      </c>
      <c r="AJ132" s="58">
        <v>2</v>
      </c>
      <c r="AK132" s="1" t="s">
        <v>1255</v>
      </c>
    </row>
    <row r="133" spans="2:37">
      <c r="B133" s="68" t="s">
        <v>0</v>
      </c>
      <c r="C133" s="68" t="s">
        <v>0</v>
      </c>
      <c r="D133" s="68" t="s">
        <v>0</v>
      </c>
      <c r="E133" s="68" t="s">
        <v>0</v>
      </c>
      <c r="F133" s="59" t="s">
        <v>0</v>
      </c>
      <c r="G133" s="55" t="s">
        <v>1262</v>
      </c>
      <c r="H133" s="55" t="s">
        <v>1266</v>
      </c>
      <c r="I133" s="55" t="s">
        <v>1267</v>
      </c>
      <c r="J133" s="60" t="s">
        <v>461</v>
      </c>
      <c r="K133" s="78" t="s">
        <v>854</v>
      </c>
      <c r="L133" s="60" t="s">
        <v>855</v>
      </c>
      <c r="M133" s="55" t="s">
        <v>0</v>
      </c>
      <c r="N133" s="2"/>
      <c r="O133" s="58"/>
      <c r="P133" s="60" t="s">
        <v>4</v>
      </c>
      <c r="Q133" s="60" t="s">
        <v>522</v>
      </c>
      <c r="R133" s="85" t="s">
        <v>0</v>
      </c>
      <c r="S133" s="85" t="s">
        <v>0</v>
      </c>
      <c r="T133" s="61" t="s">
        <v>0</v>
      </c>
      <c r="U133" s="60" t="s">
        <v>0</v>
      </c>
      <c r="V133" s="58" t="s">
        <v>0</v>
      </c>
      <c r="W133" s="58" t="s">
        <v>0</v>
      </c>
      <c r="X133" s="58" t="s">
        <v>0</v>
      </c>
      <c r="Y133" s="58" t="s">
        <v>0</v>
      </c>
      <c r="Z133" s="58" t="s">
        <v>507</v>
      </c>
      <c r="AA133" s="58" t="s">
        <v>471</v>
      </c>
      <c r="AB133" s="58" t="s">
        <v>508</v>
      </c>
      <c r="AC133" s="58" t="s">
        <v>485</v>
      </c>
      <c r="AD133" s="58" t="s">
        <v>507</v>
      </c>
      <c r="AE133" s="58" t="s">
        <v>471</v>
      </c>
      <c r="AF133" s="58"/>
      <c r="AG133" s="58"/>
      <c r="AH133" s="58"/>
      <c r="AI133" s="58" t="s">
        <v>0</v>
      </c>
      <c r="AJ133" s="58" t="s">
        <v>0</v>
      </c>
      <c r="AK133" s="1" t="s">
        <v>1255</v>
      </c>
    </row>
    <row r="134" spans="2:37">
      <c r="B134" s="68" t="s">
        <v>1272</v>
      </c>
      <c r="C134" s="68">
        <v>46030</v>
      </c>
      <c r="D134" s="68">
        <v>46043</v>
      </c>
      <c r="E134" s="68">
        <v>46044</v>
      </c>
      <c r="F134" s="59">
        <v>14</v>
      </c>
      <c r="G134" s="55" t="s">
        <v>1257</v>
      </c>
      <c r="H134" s="55" t="s">
        <v>1266</v>
      </c>
      <c r="I134" s="55" t="s">
        <v>1267</v>
      </c>
      <c r="J134" s="60" t="s">
        <v>461</v>
      </c>
      <c r="K134" s="78" t="s">
        <v>856</v>
      </c>
      <c r="L134" s="60" t="s">
        <v>595</v>
      </c>
      <c r="M134" s="55" t="s">
        <v>624</v>
      </c>
      <c r="N134" s="49" t="s">
        <v>488</v>
      </c>
      <c r="O134" s="49" t="s">
        <v>489</v>
      </c>
      <c r="P134" s="60" t="s">
        <v>4</v>
      </c>
      <c r="Q134" s="60" t="s">
        <v>1224</v>
      </c>
      <c r="R134" s="85" t="s">
        <v>0</v>
      </c>
      <c r="S134" s="85" t="s">
        <v>0</v>
      </c>
      <c r="T134" s="61" t="s">
        <v>0</v>
      </c>
      <c r="U134" s="60" t="s">
        <v>0</v>
      </c>
      <c r="V134" s="58" t="s">
        <v>0</v>
      </c>
      <c r="W134" s="58" t="s">
        <v>0</v>
      </c>
      <c r="X134" s="58" t="s">
        <v>0</v>
      </c>
      <c r="Y134" s="58" t="s">
        <v>0</v>
      </c>
      <c r="Z134" s="54" t="s">
        <v>474</v>
      </c>
      <c r="AA134" s="54" t="s">
        <v>471</v>
      </c>
      <c r="AB134" s="54" t="s">
        <v>464</v>
      </c>
      <c r="AC134" s="54" t="s">
        <v>473</v>
      </c>
      <c r="AD134" s="58" t="s">
        <v>474</v>
      </c>
      <c r="AE134" s="58" t="s">
        <v>471</v>
      </c>
      <c r="AF134" s="58"/>
      <c r="AG134" s="58"/>
      <c r="AH134" s="58"/>
      <c r="AI134" s="58" t="s">
        <v>0</v>
      </c>
      <c r="AJ134" s="58"/>
      <c r="AK134" s="1" t="s">
        <v>1255</v>
      </c>
    </row>
    <row r="135" spans="2:37">
      <c r="B135" s="68" t="s">
        <v>651</v>
      </c>
      <c r="C135" s="68">
        <v>45958</v>
      </c>
      <c r="D135" s="68">
        <v>45958</v>
      </c>
      <c r="E135" s="68">
        <v>45959</v>
      </c>
      <c r="F135" s="59">
        <v>1</v>
      </c>
      <c r="G135" s="55" t="s">
        <v>1262</v>
      </c>
      <c r="H135" s="55" t="s">
        <v>1266</v>
      </c>
      <c r="I135" s="55" t="s">
        <v>1267</v>
      </c>
      <c r="J135" s="60" t="s">
        <v>461</v>
      </c>
      <c r="K135" s="78" t="s">
        <v>646</v>
      </c>
      <c r="L135" s="60" t="s">
        <v>594</v>
      </c>
      <c r="M135" s="55" t="s">
        <v>624</v>
      </c>
      <c r="N135" s="49" t="s">
        <v>488</v>
      </c>
      <c r="O135" s="49" t="s">
        <v>489</v>
      </c>
      <c r="P135" s="60" t="s">
        <v>3</v>
      </c>
      <c r="Q135" s="60" t="s">
        <v>651</v>
      </c>
      <c r="R135" s="85" t="s">
        <v>0</v>
      </c>
      <c r="S135" s="85">
        <v>45964</v>
      </c>
      <c r="T135" s="61">
        <v>7</v>
      </c>
      <c r="U135" s="60" t="s">
        <v>0</v>
      </c>
      <c r="V135" s="58" t="s">
        <v>1254</v>
      </c>
      <c r="W135" s="58" t="s">
        <v>1046</v>
      </c>
      <c r="X135" s="58" t="s">
        <v>1066</v>
      </c>
      <c r="Y135" s="58" t="s">
        <v>1066</v>
      </c>
      <c r="Z135" s="54" t="s">
        <v>472</v>
      </c>
      <c r="AA135" s="54" t="s">
        <v>470</v>
      </c>
      <c r="AB135" s="54" t="s">
        <v>464</v>
      </c>
      <c r="AC135" s="54" t="s">
        <v>473</v>
      </c>
      <c r="AD135" s="54" t="s">
        <v>487</v>
      </c>
      <c r="AE135" s="58" t="s">
        <v>472</v>
      </c>
      <c r="AF135" s="58"/>
      <c r="AG135" s="58"/>
      <c r="AH135" s="58"/>
      <c r="AI135" s="58">
        <v>5</v>
      </c>
      <c r="AJ135" s="58">
        <v>1</v>
      </c>
      <c r="AK135" s="1" t="s">
        <v>1255</v>
      </c>
    </row>
    <row r="136" spans="2:37">
      <c r="B136" s="68" t="s">
        <v>0</v>
      </c>
      <c r="C136" s="68" t="s">
        <v>0</v>
      </c>
      <c r="D136" s="68" t="s">
        <v>0</v>
      </c>
      <c r="E136" s="68" t="s">
        <v>0</v>
      </c>
      <c r="F136" s="59" t="s">
        <v>0</v>
      </c>
      <c r="G136" s="55" t="s">
        <v>1257</v>
      </c>
      <c r="H136" s="55" t="s">
        <v>1266</v>
      </c>
      <c r="I136" s="55" t="s">
        <v>1271</v>
      </c>
      <c r="J136" s="60" t="s">
        <v>461</v>
      </c>
      <c r="K136" s="78" t="s">
        <v>857</v>
      </c>
      <c r="L136" s="60" t="e">
        <v>#N/A</v>
      </c>
      <c r="M136" s="55" t="s">
        <v>0</v>
      </c>
      <c r="N136" s="2"/>
      <c r="O136" s="58"/>
      <c r="P136" s="60" t="e">
        <v>#N/A</v>
      </c>
      <c r="Q136" s="60" t="e">
        <v>#N/A</v>
      </c>
      <c r="R136" s="85" t="s">
        <v>0</v>
      </c>
      <c r="S136" s="85" t="s">
        <v>0</v>
      </c>
      <c r="T136" s="61" t="s">
        <v>0</v>
      </c>
      <c r="U136" s="60" t="s">
        <v>0</v>
      </c>
      <c r="V136" s="58" t="s">
        <v>0</v>
      </c>
      <c r="W136" s="58" t="s">
        <v>0</v>
      </c>
      <c r="X136" s="58" t="s">
        <v>0</v>
      </c>
      <c r="Y136" s="58" t="s">
        <v>0</v>
      </c>
      <c r="Z136" s="58" t="s">
        <v>0</v>
      </c>
      <c r="AA136" s="58" t="s">
        <v>0</v>
      </c>
      <c r="AB136" s="58" t="s">
        <v>0</v>
      </c>
      <c r="AC136" s="58" t="s">
        <v>0</v>
      </c>
      <c r="AD136" s="58" t="s">
        <v>0</v>
      </c>
      <c r="AE136" s="58" t="s">
        <v>0</v>
      </c>
      <c r="AF136" s="58"/>
      <c r="AG136" s="58"/>
      <c r="AH136" s="58"/>
      <c r="AI136" s="58" t="s">
        <v>0</v>
      </c>
      <c r="AJ136" s="58" t="s">
        <v>0</v>
      </c>
      <c r="AK136" s="1" t="s">
        <v>1255</v>
      </c>
    </row>
    <row r="137" spans="2:37">
      <c r="B137" s="68" t="s">
        <v>0</v>
      </c>
      <c r="C137" s="68" t="s">
        <v>0</v>
      </c>
      <c r="D137" s="68" t="s">
        <v>0</v>
      </c>
      <c r="E137" s="68" t="s">
        <v>0</v>
      </c>
      <c r="F137" s="59" t="s">
        <v>0</v>
      </c>
      <c r="G137" s="55" t="s">
        <v>1257</v>
      </c>
      <c r="H137" s="55" t="s">
        <v>1266</v>
      </c>
      <c r="I137" s="55" t="s">
        <v>1271</v>
      </c>
      <c r="J137" s="60" t="s">
        <v>461</v>
      </c>
      <c r="K137" s="78" t="s">
        <v>858</v>
      </c>
      <c r="L137" s="60" t="s">
        <v>634</v>
      </c>
      <c r="M137" s="55" t="s">
        <v>0</v>
      </c>
      <c r="N137" s="2"/>
      <c r="O137" s="58"/>
      <c r="P137" s="60" t="s">
        <v>379</v>
      </c>
      <c r="Q137" s="60" t="s">
        <v>522</v>
      </c>
      <c r="R137" s="85" t="s">
        <v>0</v>
      </c>
      <c r="S137" s="85" t="s">
        <v>0</v>
      </c>
      <c r="T137" s="61" t="s">
        <v>0</v>
      </c>
      <c r="U137" s="60" t="s">
        <v>0</v>
      </c>
      <c r="V137" s="58" t="s">
        <v>0</v>
      </c>
      <c r="W137" s="58" t="s">
        <v>0</v>
      </c>
      <c r="X137" s="58" t="s">
        <v>0</v>
      </c>
      <c r="Y137" s="58" t="s">
        <v>0</v>
      </c>
      <c r="Z137" s="58" t="s">
        <v>470</v>
      </c>
      <c r="AA137" s="58" t="s">
        <v>471</v>
      </c>
      <c r="AB137" s="58" t="s">
        <v>483</v>
      </c>
      <c r="AC137" s="58" t="s">
        <v>464</v>
      </c>
      <c r="AD137" s="58" t="s">
        <v>487</v>
      </c>
      <c r="AE137" s="58" t="s">
        <v>506</v>
      </c>
      <c r="AF137" s="58"/>
      <c r="AG137" s="58"/>
      <c r="AH137" s="58"/>
      <c r="AI137" s="66" t="s">
        <v>0</v>
      </c>
      <c r="AJ137" s="66" t="s">
        <v>0</v>
      </c>
      <c r="AK137" s="1" t="s">
        <v>1255</v>
      </c>
    </row>
    <row r="138" spans="2:37">
      <c r="B138" s="68" t="s">
        <v>1258</v>
      </c>
      <c r="C138" s="68">
        <v>45995</v>
      </c>
      <c r="D138" s="68">
        <v>45999</v>
      </c>
      <c r="E138" s="68">
        <v>46000</v>
      </c>
      <c r="F138" s="59">
        <v>5</v>
      </c>
      <c r="G138" s="55" t="s">
        <v>1257</v>
      </c>
      <c r="H138" s="55" t="s">
        <v>1266</v>
      </c>
      <c r="I138" s="55" t="s">
        <v>1271</v>
      </c>
      <c r="J138" s="60" t="s">
        <v>461</v>
      </c>
      <c r="K138" s="78" t="s">
        <v>859</v>
      </c>
      <c r="L138" s="60" t="s">
        <v>572</v>
      </c>
      <c r="M138" s="55" t="s">
        <v>624</v>
      </c>
      <c r="N138" s="49" t="s">
        <v>488</v>
      </c>
      <c r="O138" s="49" t="s">
        <v>489</v>
      </c>
      <c r="P138" s="60" t="s">
        <v>456</v>
      </c>
      <c r="Q138" s="60" t="s">
        <v>1012</v>
      </c>
      <c r="R138" s="85" t="s">
        <v>0</v>
      </c>
      <c r="S138" s="85">
        <v>46001</v>
      </c>
      <c r="T138" s="61">
        <v>8</v>
      </c>
      <c r="U138" s="60" t="s">
        <v>0</v>
      </c>
      <c r="V138" s="58" t="s">
        <v>1254</v>
      </c>
      <c r="W138" s="58" t="s">
        <v>0</v>
      </c>
      <c r="X138" s="58" t="s">
        <v>0</v>
      </c>
      <c r="Y138" s="58" t="s">
        <v>0</v>
      </c>
      <c r="Z138" s="54" t="s">
        <v>472</v>
      </c>
      <c r="AA138" s="54" t="s">
        <v>471</v>
      </c>
      <c r="AB138" s="54" t="s">
        <v>506</v>
      </c>
      <c r="AC138" s="54" t="s">
        <v>485</v>
      </c>
      <c r="AD138" s="58" t="s">
        <v>472</v>
      </c>
      <c r="AE138" s="58" t="s">
        <v>471</v>
      </c>
      <c r="AF138" s="58"/>
      <c r="AG138" s="58"/>
      <c r="AH138" s="58"/>
      <c r="AI138" s="58">
        <v>1</v>
      </c>
      <c r="AJ138" s="58">
        <v>5</v>
      </c>
      <c r="AK138" s="1" t="s">
        <v>1255</v>
      </c>
    </row>
    <row r="139" spans="2:37">
      <c r="B139" s="68" t="s">
        <v>1258</v>
      </c>
      <c r="C139" s="68">
        <v>45995</v>
      </c>
      <c r="D139" s="68">
        <v>45999</v>
      </c>
      <c r="E139" s="68">
        <v>46000</v>
      </c>
      <c r="F139" s="59">
        <v>5</v>
      </c>
      <c r="G139" s="55" t="s">
        <v>1257</v>
      </c>
      <c r="H139" s="55" t="s">
        <v>1266</v>
      </c>
      <c r="I139" s="55" t="s">
        <v>1271</v>
      </c>
      <c r="J139" s="60" t="s">
        <v>461</v>
      </c>
      <c r="K139" s="78" t="s">
        <v>860</v>
      </c>
      <c r="L139" s="60" t="s">
        <v>640</v>
      </c>
      <c r="M139" s="55" t="s">
        <v>624</v>
      </c>
      <c r="N139" s="49" t="s">
        <v>488</v>
      </c>
      <c r="O139" s="49" t="s">
        <v>489</v>
      </c>
      <c r="P139" s="60" t="s">
        <v>4</v>
      </c>
      <c r="Q139" s="60" t="s">
        <v>1012</v>
      </c>
      <c r="R139" s="85" t="s">
        <v>0</v>
      </c>
      <c r="S139" s="85">
        <v>46001</v>
      </c>
      <c r="T139" s="61">
        <v>8</v>
      </c>
      <c r="U139" s="60" t="s">
        <v>0</v>
      </c>
      <c r="V139" s="58" t="s">
        <v>1254</v>
      </c>
      <c r="W139" s="58" t="s">
        <v>0</v>
      </c>
      <c r="X139" s="58" t="s">
        <v>0</v>
      </c>
      <c r="Y139" s="58" t="s">
        <v>0</v>
      </c>
      <c r="Z139" s="54" t="s">
        <v>470</v>
      </c>
      <c r="AA139" s="54" t="s">
        <v>471</v>
      </c>
      <c r="AB139" s="54" t="s">
        <v>464</v>
      </c>
      <c r="AC139" s="54" t="s">
        <v>487</v>
      </c>
      <c r="AD139" s="54" t="s">
        <v>506</v>
      </c>
      <c r="AE139" s="58" t="s">
        <v>470</v>
      </c>
      <c r="AF139" s="58"/>
      <c r="AG139" s="58"/>
      <c r="AH139" s="58"/>
      <c r="AI139" s="79">
        <v>1</v>
      </c>
      <c r="AJ139" s="79">
        <v>5</v>
      </c>
      <c r="AK139" s="1" t="s">
        <v>1255</v>
      </c>
    </row>
    <row r="140" spans="2:37">
      <c r="B140" s="68" t="s">
        <v>0</v>
      </c>
      <c r="C140" s="68" t="s">
        <v>0</v>
      </c>
      <c r="D140" s="68" t="s">
        <v>0</v>
      </c>
      <c r="E140" s="68" t="s">
        <v>0</v>
      </c>
      <c r="F140" s="59" t="s">
        <v>0</v>
      </c>
      <c r="G140" s="55" t="s">
        <v>1257</v>
      </c>
      <c r="H140" s="55" t="s">
        <v>1266</v>
      </c>
      <c r="I140" s="55" t="s">
        <v>1267</v>
      </c>
      <c r="J140" s="60" t="s">
        <v>461</v>
      </c>
      <c r="K140" s="78" t="s">
        <v>861</v>
      </c>
      <c r="L140" s="60" t="s">
        <v>862</v>
      </c>
      <c r="M140" s="55" t="s">
        <v>0</v>
      </c>
      <c r="N140" s="2"/>
      <c r="O140" s="58"/>
      <c r="P140" s="60" t="s">
        <v>379</v>
      </c>
      <c r="Q140" s="60" t="s">
        <v>522</v>
      </c>
      <c r="R140" s="85" t="s">
        <v>0</v>
      </c>
      <c r="S140" s="85" t="s">
        <v>0</v>
      </c>
      <c r="T140" s="61" t="s">
        <v>0</v>
      </c>
      <c r="U140" s="60" t="s">
        <v>0</v>
      </c>
      <c r="V140" s="58" t="s">
        <v>0</v>
      </c>
      <c r="W140" s="58" t="s">
        <v>0</v>
      </c>
      <c r="X140" s="58" t="s">
        <v>0</v>
      </c>
      <c r="Y140" s="58" t="s">
        <v>0</v>
      </c>
      <c r="Z140" s="58" t="s">
        <v>472</v>
      </c>
      <c r="AA140" s="58" t="s">
        <v>472</v>
      </c>
      <c r="AB140" s="58" t="s">
        <v>0</v>
      </c>
      <c r="AC140" s="58" t="s">
        <v>0</v>
      </c>
      <c r="AD140" s="58" t="s">
        <v>0</v>
      </c>
      <c r="AE140" s="58" t="s">
        <v>0</v>
      </c>
      <c r="AF140" s="58"/>
      <c r="AG140" s="58"/>
      <c r="AH140" s="58"/>
      <c r="AI140" s="58" t="s">
        <v>0</v>
      </c>
      <c r="AJ140" s="58" t="s">
        <v>0</v>
      </c>
      <c r="AK140" s="1" t="s">
        <v>1255</v>
      </c>
    </row>
    <row r="141" spans="2:37">
      <c r="B141" s="68" t="s">
        <v>0</v>
      </c>
      <c r="C141" s="68" t="s">
        <v>0</v>
      </c>
      <c r="D141" s="68" t="s">
        <v>0</v>
      </c>
      <c r="E141" s="68" t="s">
        <v>0</v>
      </c>
      <c r="F141" s="59" t="s">
        <v>0</v>
      </c>
      <c r="G141" s="55" t="s">
        <v>1262</v>
      </c>
      <c r="H141" s="55" t="s">
        <v>1266</v>
      </c>
      <c r="I141" s="55" t="s">
        <v>1267</v>
      </c>
      <c r="J141" s="60" t="s">
        <v>461</v>
      </c>
      <c r="K141" s="78" t="s">
        <v>863</v>
      </c>
      <c r="L141" s="60" t="s">
        <v>864</v>
      </c>
      <c r="M141" s="55" t="s">
        <v>0</v>
      </c>
      <c r="N141" s="2"/>
      <c r="O141" s="58"/>
      <c r="P141" s="60" t="s">
        <v>379</v>
      </c>
      <c r="Q141" s="60" t="s">
        <v>522</v>
      </c>
      <c r="R141" s="85" t="s">
        <v>0</v>
      </c>
      <c r="S141" s="85" t="s">
        <v>0</v>
      </c>
      <c r="T141" s="61" t="s">
        <v>0</v>
      </c>
      <c r="U141" s="60" t="s">
        <v>0</v>
      </c>
      <c r="V141" s="58" t="s">
        <v>0</v>
      </c>
      <c r="W141" s="58" t="s">
        <v>0</v>
      </c>
      <c r="X141" s="58" t="s">
        <v>0</v>
      </c>
      <c r="Y141" s="58" t="s">
        <v>0</v>
      </c>
      <c r="Z141" s="58" t="s">
        <v>471</v>
      </c>
      <c r="AA141" s="58" t="s">
        <v>471</v>
      </c>
      <c r="AB141" s="58" t="s">
        <v>0</v>
      </c>
      <c r="AC141" s="58" t="s">
        <v>0</v>
      </c>
      <c r="AD141" s="58" t="s">
        <v>0</v>
      </c>
      <c r="AE141" s="58" t="s">
        <v>0</v>
      </c>
      <c r="AF141" s="58"/>
      <c r="AG141" s="58"/>
      <c r="AH141" s="58"/>
      <c r="AI141" s="58" t="s">
        <v>0</v>
      </c>
      <c r="AJ141" s="58" t="s">
        <v>0</v>
      </c>
      <c r="AK141" s="1" t="s">
        <v>1255</v>
      </c>
    </row>
    <row r="142" spans="2:37">
      <c r="B142" s="68" t="s">
        <v>0</v>
      </c>
      <c r="C142" s="68" t="s">
        <v>0</v>
      </c>
      <c r="D142" s="68" t="s">
        <v>0</v>
      </c>
      <c r="E142" s="68" t="s">
        <v>0</v>
      </c>
      <c r="F142" s="59" t="s">
        <v>0</v>
      </c>
      <c r="G142" s="55" t="s">
        <v>1262</v>
      </c>
      <c r="H142" s="55" t="s">
        <v>1266</v>
      </c>
      <c r="I142" s="55" t="s">
        <v>1267</v>
      </c>
      <c r="J142" s="60" t="s">
        <v>461</v>
      </c>
      <c r="K142" s="78" t="s">
        <v>865</v>
      </c>
      <c r="L142" s="60" t="s">
        <v>866</v>
      </c>
      <c r="M142" s="55" t="s">
        <v>0</v>
      </c>
      <c r="N142" s="2"/>
      <c r="O142" s="58"/>
      <c r="P142" s="60" t="s">
        <v>379</v>
      </c>
      <c r="Q142" s="60" t="s">
        <v>522</v>
      </c>
      <c r="R142" s="85" t="s">
        <v>0</v>
      </c>
      <c r="S142" s="85" t="s">
        <v>0</v>
      </c>
      <c r="T142" s="61" t="s">
        <v>0</v>
      </c>
      <c r="U142" s="60" t="s">
        <v>0</v>
      </c>
      <c r="V142" s="58" t="s">
        <v>0</v>
      </c>
      <c r="W142" s="58" t="s">
        <v>0</v>
      </c>
      <c r="X142" s="58" t="s">
        <v>0</v>
      </c>
      <c r="Y142" s="58" t="s">
        <v>0</v>
      </c>
      <c r="Z142" s="58" t="s">
        <v>471</v>
      </c>
      <c r="AA142" s="58" t="s">
        <v>471</v>
      </c>
      <c r="AB142" s="58" t="s">
        <v>0</v>
      </c>
      <c r="AC142" s="58" t="s">
        <v>0</v>
      </c>
      <c r="AD142" s="58" t="s">
        <v>0</v>
      </c>
      <c r="AE142" s="58" t="s">
        <v>0</v>
      </c>
      <c r="AF142" s="58"/>
      <c r="AG142" s="58"/>
      <c r="AH142" s="58"/>
      <c r="AI142" s="58" t="s">
        <v>0</v>
      </c>
      <c r="AJ142" s="58" t="s">
        <v>0</v>
      </c>
      <c r="AK142" s="1" t="s">
        <v>1255</v>
      </c>
    </row>
    <row r="143" spans="2:37">
      <c r="B143" s="68" t="s">
        <v>0</v>
      </c>
      <c r="C143" s="68" t="s">
        <v>0</v>
      </c>
      <c r="D143" s="68" t="s">
        <v>0</v>
      </c>
      <c r="E143" s="68" t="s">
        <v>0</v>
      </c>
      <c r="F143" s="59" t="s">
        <v>0</v>
      </c>
      <c r="G143" s="55" t="s">
        <v>1262</v>
      </c>
      <c r="H143" s="55" t="s">
        <v>1266</v>
      </c>
      <c r="I143" s="55" t="s">
        <v>1267</v>
      </c>
      <c r="J143" s="60" t="s">
        <v>461</v>
      </c>
      <c r="K143" s="78" t="s">
        <v>867</v>
      </c>
      <c r="L143" s="60" t="s">
        <v>868</v>
      </c>
      <c r="M143" s="55" t="s">
        <v>0</v>
      </c>
      <c r="N143" s="2"/>
      <c r="O143" s="58"/>
      <c r="P143" s="60" t="s">
        <v>379</v>
      </c>
      <c r="Q143" s="60" t="s">
        <v>522</v>
      </c>
      <c r="R143" s="85" t="s">
        <v>0</v>
      </c>
      <c r="S143" s="85" t="s">
        <v>0</v>
      </c>
      <c r="T143" s="61" t="s">
        <v>0</v>
      </c>
      <c r="U143" s="60" t="s">
        <v>0</v>
      </c>
      <c r="V143" s="58" t="s">
        <v>0</v>
      </c>
      <c r="W143" s="58" t="s">
        <v>0</v>
      </c>
      <c r="X143" s="58" t="s">
        <v>0</v>
      </c>
      <c r="Y143" s="58" t="s">
        <v>0</v>
      </c>
      <c r="Z143" s="58" t="s">
        <v>471</v>
      </c>
      <c r="AA143" s="58" t="s">
        <v>471</v>
      </c>
      <c r="AB143" s="58" t="s">
        <v>0</v>
      </c>
      <c r="AC143" s="58" t="s">
        <v>0</v>
      </c>
      <c r="AD143" s="58" t="s">
        <v>0</v>
      </c>
      <c r="AE143" s="58" t="s">
        <v>0</v>
      </c>
      <c r="AF143" s="58"/>
      <c r="AG143" s="58"/>
      <c r="AH143" s="58"/>
      <c r="AI143" s="58" t="s">
        <v>0</v>
      </c>
      <c r="AJ143" s="58" t="s">
        <v>0</v>
      </c>
      <c r="AK143" s="1" t="s">
        <v>1255</v>
      </c>
    </row>
    <row r="144" spans="2:37">
      <c r="B144" s="68" t="s">
        <v>0</v>
      </c>
      <c r="C144" s="68" t="s">
        <v>0</v>
      </c>
      <c r="D144" s="68" t="s">
        <v>0</v>
      </c>
      <c r="E144" s="68" t="s">
        <v>0</v>
      </c>
      <c r="F144" s="59" t="s">
        <v>0</v>
      </c>
      <c r="G144" s="55" t="s">
        <v>1257</v>
      </c>
      <c r="H144" s="55" t="s">
        <v>1266</v>
      </c>
      <c r="I144" s="55" t="s">
        <v>1271</v>
      </c>
      <c r="J144" s="60" t="s">
        <v>461</v>
      </c>
      <c r="K144" s="78" t="s">
        <v>869</v>
      </c>
      <c r="L144" s="60" t="s">
        <v>870</v>
      </c>
      <c r="M144" s="55" t="s">
        <v>0</v>
      </c>
      <c r="N144" s="2"/>
      <c r="O144" s="58"/>
      <c r="P144" s="60" t="s">
        <v>4</v>
      </c>
      <c r="Q144" s="60" t="s">
        <v>522</v>
      </c>
      <c r="R144" s="85" t="s">
        <v>0</v>
      </c>
      <c r="S144" s="85" t="s">
        <v>0</v>
      </c>
      <c r="T144" s="61" t="s">
        <v>0</v>
      </c>
      <c r="U144" s="60" t="s">
        <v>0</v>
      </c>
      <c r="V144" s="58" t="s">
        <v>0</v>
      </c>
      <c r="W144" s="58" t="s">
        <v>0</v>
      </c>
      <c r="X144" s="58" t="s">
        <v>0</v>
      </c>
      <c r="Y144" s="58" t="s">
        <v>0</v>
      </c>
      <c r="Z144" s="58" t="s">
        <v>508</v>
      </c>
      <c r="AA144" s="58" t="s">
        <v>473</v>
      </c>
      <c r="AB144" s="58" t="s">
        <v>520</v>
      </c>
      <c r="AC144" s="58" t="s">
        <v>508</v>
      </c>
      <c r="AD144" s="58" t="s">
        <v>473</v>
      </c>
      <c r="AE144" s="58" t="s">
        <v>520</v>
      </c>
      <c r="AF144" s="58"/>
      <c r="AG144" s="58"/>
      <c r="AH144" s="58"/>
      <c r="AI144" s="58" t="s">
        <v>0</v>
      </c>
      <c r="AJ144" s="58" t="s">
        <v>0</v>
      </c>
      <c r="AK144" s="1" t="s">
        <v>1255</v>
      </c>
    </row>
    <row r="145" spans="2:37">
      <c r="B145" s="68" t="s">
        <v>1272</v>
      </c>
      <c r="C145" s="68">
        <v>46030</v>
      </c>
      <c r="D145" s="68">
        <v>46043</v>
      </c>
      <c r="E145" s="68">
        <v>46044</v>
      </c>
      <c r="F145" s="59">
        <v>14</v>
      </c>
      <c r="G145" s="55" t="s">
        <v>1262</v>
      </c>
      <c r="H145" s="55" t="s">
        <v>1266</v>
      </c>
      <c r="I145" s="55" t="s">
        <v>1271</v>
      </c>
      <c r="J145" s="60" t="s">
        <v>461</v>
      </c>
      <c r="K145" s="78" t="s">
        <v>871</v>
      </c>
      <c r="L145" s="60" t="s">
        <v>872</v>
      </c>
      <c r="M145" s="55" t="s">
        <v>624</v>
      </c>
      <c r="N145" s="49" t="s">
        <v>488</v>
      </c>
      <c r="O145" s="50" t="s">
        <v>490</v>
      </c>
      <c r="P145" s="60" t="s">
        <v>4</v>
      </c>
      <c r="Q145" s="60" t="s">
        <v>1224</v>
      </c>
      <c r="R145" s="85" t="s">
        <v>0</v>
      </c>
      <c r="S145" s="85" t="s">
        <v>0</v>
      </c>
      <c r="T145" s="61" t="s">
        <v>0</v>
      </c>
      <c r="U145" s="60" t="s">
        <v>0</v>
      </c>
      <c r="V145" s="58" t="s">
        <v>0</v>
      </c>
      <c r="W145" s="58" t="s">
        <v>0</v>
      </c>
      <c r="X145" s="58" t="s">
        <v>0</v>
      </c>
      <c r="Y145" s="58" t="s">
        <v>0</v>
      </c>
      <c r="Z145" s="58" t="s">
        <v>471</v>
      </c>
      <c r="AA145" s="58" t="s">
        <v>464</v>
      </c>
      <c r="AB145" s="58" t="s">
        <v>487</v>
      </c>
      <c r="AC145" s="54" t="s">
        <v>520</v>
      </c>
      <c r="AD145" s="58" t="s">
        <v>471</v>
      </c>
      <c r="AE145" s="58" t="s">
        <v>464</v>
      </c>
      <c r="AF145" s="58"/>
      <c r="AG145" s="58"/>
      <c r="AH145" s="58"/>
      <c r="AI145" s="58" t="s">
        <v>0</v>
      </c>
      <c r="AJ145" s="58"/>
      <c r="AK145" s="1" t="s">
        <v>1255</v>
      </c>
    </row>
    <row r="146" spans="2:37">
      <c r="B146" s="68" t="s">
        <v>1274</v>
      </c>
      <c r="C146" s="68">
        <v>46037</v>
      </c>
      <c r="D146" s="68">
        <v>46048</v>
      </c>
      <c r="E146" s="68">
        <v>46048</v>
      </c>
      <c r="F146" s="59">
        <v>11</v>
      </c>
      <c r="G146" s="55" t="s">
        <v>1257</v>
      </c>
      <c r="H146" s="55" t="s">
        <v>1266</v>
      </c>
      <c r="I146" s="55" t="s">
        <v>1271</v>
      </c>
      <c r="J146" s="60" t="s">
        <v>461</v>
      </c>
      <c r="K146" s="78" t="s">
        <v>873</v>
      </c>
      <c r="L146" s="60" t="s">
        <v>874</v>
      </c>
      <c r="M146" s="55" t="s">
        <v>624</v>
      </c>
      <c r="N146" s="49" t="s">
        <v>488</v>
      </c>
      <c r="O146" s="50" t="s">
        <v>490</v>
      </c>
      <c r="P146" s="60" t="s">
        <v>4</v>
      </c>
      <c r="Q146" s="60" t="s">
        <v>1247</v>
      </c>
      <c r="R146" s="85" t="s">
        <v>0</v>
      </c>
      <c r="S146" s="85" t="s">
        <v>0</v>
      </c>
      <c r="T146" s="61" t="s">
        <v>0</v>
      </c>
      <c r="U146" s="60" t="s">
        <v>0</v>
      </c>
      <c r="V146" s="58" t="s">
        <v>0</v>
      </c>
      <c r="W146" s="58" t="s">
        <v>0</v>
      </c>
      <c r="X146" s="58" t="s">
        <v>0</v>
      </c>
      <c r="Y146" s="58" t="s">
        <v>0</v>
      </c>
      <c r="Z146" s="54" t="s">
        <v>507</v>
      </c>
      <c r="AA146" s="58" t="s">
        <v>471</v>
      </c>
      <c r="AB146" s="58" t="s">
        <v>464</v>
      </c>
      <c r="AC146" s="58" t="s">
        <v>507</v>
      </c>
      <c r="AD146" s="58" t="s">
        <v>471</v>
      </c>
      <c r="AE146" s="58" t="s">
        <v>464</v>
      </c>
      <c r="AF146" s="58"/>
      <c r="AG146" s="58"/>
      <c r="AH146" s="58"/>
      <c r="AI146" s="58" t="s">
        <v>0</v>
      </c>
      <c r="AJ146" s="58">
        <v>11</v>
      </c>
      <c r="AK146" s="1" t="s">
        <v>1255</v>
      </c>
    </row>
    <row r="147" spans="2:37">
      <c r="B147" s="68" t="s">
        <v>0</v>
      </c>
      <c r="C147" s="68" t="s">
        <v>0</v>
      </c>
      <c r="D147" s="68" t="s">
        <v>0</v>
      </c>
      <c r="E147" s="68" t="s">
        <v>0</v>
      </c>
      <c r="F147" s="59" t="s">
        <v>0</v>
      </c>
      <c r="G147" s="55" t="s">
        <v>1262</v>
      </c>
      <c r="H147" s="55" t="s">
        <v>1266</v>
      </c>
      <c r="I147" s="55" t="s">
        <v>1267</v>
      </c>
      <c r="J147" s="60" t="s">
        <v>461</v>
      </c>
      <c r="K147" s="78" t="s">
        <v>875</v>
      </c>
      <c r="L147" s="60" t="s">
        <v>876</v>
      </c>
      <c r="M147" s="55" t="s">
        <v>0</v>
      </c>
      <c r="N147" s="2"/>
      <c r="O147" s="58"/>
      <c r="P147" s="60" t="s">
        <v>3</v>
      </c>
      <c r="Q147" s="60" t="s">
        <v>522</v>
      </c>
      <c r="R147" s="85" t="s">
        <v>0</v>
      </c>
      <c r="S147" s="85" t="s">
        <v>0</v>
      </c>
      <c r="T147" s="61" t="s">
        <v>0</v>
      </c>
      <c r="U147" s="60" t="s">
        <v>0</v>
      </c>
      <c r="V147" s="58" t="s">
        <v>0</v>
      </c>
      <c r="W147" s="58" t="s">
        <v>0</v>
      </c>
      <c r="X147" s="58" t="s">
        <v>0</v>
      </c>
      <c r="Y147" s="58" t="s">
        <v>0</v>
      </c>
      <c r="Z147" s="58" t="s">
        <v>483</v>
      </c>
      <c r="AA147" s="58" t="s">
        <v>464</v>
      </c>
      <c r="AB147" s="58" t="s">
        <v>483</v>
      </c>
      <c r="AC147" s="58" t="s">
        <v>464</v>
      </c>
      <c r="AD147" s="58" t="s">
        <v>0</v>
      </c>
      <c r="AE147" s="58" t="s">
        <v>0</v>
      </c>
      <c r="AF147" s="58"/>
      <c r="AG147" s="58"/>
      <c r="AH147" s="58"/>
      <c r="AI147" s="58" t="s">
        <v>0</v>
      </c>
      <c r="AJ147" s="58" t="s">
        <v>0</v>
      </c>
      <c r="AK147" s="1" t="s">
        <v>1255</v>
      </c>
    </row>
    <row r="148" spans="2:37">
      <c r="B148" s="68" t="s">
        <v>1013</v>
      </c>
      <c r="C148" s="68">
        <v>45992</v>
      </c>
      <c r="D148" s="68">
        <v>45993</v>
      </c>
      <c r="E148" s="68">
        <v>45994</v>
      </c>
      <c r="F148" s="59">
        <v>2</v>
      </c>
      <c r="G148" s="55" t="s">
        <v>1262</v>
      </c>
      <c r="H148" s="55" t="s">
        <v>1266</v>
      </c>
      <c r="I148" s="55" t="s">
        <v>1267</v>
      </c>
      <c r="J148" s="60" t="s">
        <v>461</v>
      </c>
      <c r="K148" s="78" t="s">
        <v>877</v>
      </c>
      <c r="L148" s="60" t="s">
        <v>878</v>
      </c>
      <c r="M148" s="55" t="s">
        <v>624</v>
      </c>
      <c r="N148" s="49" t="s">
        <v>488</v>
      </c>
      <c r="O148" s="49" t="s">
        <v>489</v>
      </c>
      <c r="P148" s="60" t="s">
        <v>3</v>
      </c>
      <c r="Q148" s="60" t="s">
        <v>1013</v>
      </c>
      <c r="R148" s="85" t="s">
        <v>0</v>
      </c>
      <c r="S148" s="85">
        <v>45995</v>
      </c>
      <c r="T148" s="61">
        <v>6</v>
      </c>
      <c r="U148" s="60" t="s">
        <v>0</v>
      </c>
      <c r="V148" s="58" t="s">
        <v>1254</v>
      </c>
      <c r="W148" s="58" t="s">
        <v>0</v>
      </c>
      <c r="X148" s="58" t="s">
        <v>0</v>
      </c>
      <c r="Y148" s="58" t="s">
        <v>0</v>
      </c>
      <c r="Z148" s="54" t="s">
        <v>471</v>
      </c>
      <c r="AA148" s="54" t="s">
        <v>482</v>
      </c>
      <c r="AB148" s="54" t="s">
        <v>487</v>
      </c>
      <c r="AC148" s="58" t="s">
        <v>471</v>
      </c>
      <c r="AD148" s="58" t="s">
        <v>482</v>
      </c>
      <c r="AE148" s="58" t="s">
        <v>487</v>
      </c>
      <c r="AF148" s="58"/>
      <c r="AG148" s="58"/>
      <c r="AH148" s="58"/>
      <c r="AI148" s="58">
        <v>1</v>
      </c>
      <c r="AJ148" s="58">
        <v>2</v>
      </c>
      <c r="AK148" s="1" t="s">
        <v>1255</v>
      </c>
    </row>
    <row r="149" spans="2:37">
      <c r="B149" s="68" t="s">
        <v>1265</v>
      </c>
      <c r="C149" s="68">
        <v>45966</v>
      </c>
      <c r="D149" s="68">
        <v>45966</v>
      </c>
      <c r="E149" s="68">
        <v>45968</v>
      </c>
      <c r="F149" s="59">
        <v>2</v>
      </c>
      <c r="G149" s="55" t="s">
        <v>1262</v>
      </c>
      <c r="H149" s="55" t="s">
        <v>1266</v>
      </c>
      <c r="I149" s="55" t="s">
        <v>1267</v>
      </c>
      <c r="J149" s="55" t="s">
        <v>461</v>
      </c>
      <c r="K149" s="78" t="s">
        <v>879</v>
      </c>
      <c r="L149" s="60" t="s">
        <v>596</v>
      </c>
      <c r="M149" s="55" t="s">
        <v>624</v>
      </c>
      <c r="N149" s="49" t="s">
        <v>488</v>
      </c>
      <c r="O149" s="49" t="s">
        <v>489</v>
      </c>
      <c r="P149" s="60" t="s">
        <v>5</v>
      </c>
      <c r="Q149" s="60" t="s">
        <v>982</v>
      </c>
      <c r="R149" s="85" t="s">
        <v>0</v>
      </c>
      <c r="S149" s="85">
        <v>45968</v>
      </c>
      <c r="T149" s="61">
        <v>3</v>
      </c>
      <c r="U149" s="60" t="s">
        <v>0</v>
      </c>
      <c r="V149" s="58" t="s">
        <v>1254</v>
      </c>
      <c r="W149" s="58" t="s">
        <v>0</v>
      </c>
      <c r="X149" s="58" t="s">
        <v>0</v>
      </c>
      <c r="Y149" s="58" t="s">
        <v>0</v>
      </c>
      <c r="Z149" s="54" t="s">
        <v>478</v>
      </c>
      <c r="AA149" s="54" t="s">
        <v>471</v>
      </c>
      <c r="AB149" s="54" t="s">
        <v>467</v>
      </c>
      <c r="AC149" s="54" t="s">
        <v>508</v>
      </c>
      <c r="AD149" s="58" t="s">
        <v>478</v>
      </c>
      <c r="AE149" s="58" t="s">
        <v>471</v>
      </c>
      <c r="AF149" s="58"/>
      <c r="AG149" s="58"/>
      <c r="AH149" s="58"/>
      <c r="AI149" s="58">
        <v>0</v>
      </c>
      <c r="AJ149" s="58">
        <v>2</v>
      </c>
      <c r="AK149" s="1" t="s">
        <v>1255</v>
      </c>
    </row>
    <row r="150" spans="2:37">
      <c r="B150" s="68" t="s">
        <v>0</v>
      </c>
      <c r="C150" s="68" t="s">
        <v>0</v>
      </c>
      <c r="D150" s="68" t="s">
        <v>0</v>
      </c>
      <c r="E150" s="68" t="s">
        <v>0</v>
      </c>
      <c r="F150" s="59" t="s">
        <v>0</v>
      </c>
      <c r="G150" s="55" t="s">
        <v>1262</v>
      </c>
      <c r="H150" s="55" t="s">
        <v>1266</v>
      </c>
      <c r="I150" s="55" t="s">
        <v>1267</v>
      </c>
      <c r="J150" s="60" t="s">
        <v>461</v>
      </c>
      <c r="K150" s="78" t="s">
        <v>880</v>
      </c>
      <c r="L150" s="60" t="s">
        <v>598</v>
      </c>
      <c r="M150" s="55" t="s">
        <v>0</v>
      </c>
      <c r="N150" s="2"/>
      <c r="O150" s="58"/>
      <c r="P150" s="60" t="s">
        <v>7</v>
      </c>
      <c r="Q150" s="60" t="s">
        <v>522</v>
      </c>
      <c r="R150" s="85" t="s">
        <v>0</v>
      </c>
      <c r="S150" s="85" t="s">
        <v>0</v>
      </c>
      <c r="T150" s="61" t="s">
        <v>0</v>
      </c>
      <c r="U150" s="60" t="s">
        <v>0</v>
      </c>
      <c r="V150" s="58" t="s">
        <v>0</v>
      </c>
      <c r="W150" s="58" t="s">
        <v>0</v>
      </c>
      <c r="X150" s="58" t="s">
        <v>0</v>
      </c>
      <c r="Y150" s="58" t="s">
        <v>0</v>
      </c>
      <c r="Z150" s="58" t="s">
        <v>477</v>
      </c>
      <c r="AA150" s="58" t="s">
        <v>472</v>
      </c>
      <c r="AB150" s="58" t="s">
        <v>481</v>
      </c>
      <c r="AC150" s="58" t="s">
        <v>477</v>
      </c>
      <c r="AD150" s="58" t="s">
        <v>472</v>
      </c>
      <c r="AE150" s="58" t="s">
        <v>481</v>
      </c>
      <c r="AF150" s="58"/>
      <c r="AG150" s="58"/>
      <c r="AH150" s="58"/>
      <c r="AI150" s="58" t="s">
        <v>0</v>
      </c>
      <c r="AJ150" s="58" t="s">
        <v>0</v>
      </c>
      <c r="AK150" s="1" t="s">
        <v>1255</v>
      </c>
    </row>
    <row r="151" spans="2:37">
      <c r="B151" s="68" t="s">
        <v>0</v>
      </c>
      <c r="C151" s="68" t="s">
        <v>0</v>
      </c>
      <c r="D151" s="68" t="s">
        <v>0</v>
      </c>
      <c r="E151" s="68" t="s">
        <v>0</v>
      </c>
      <c r="F151" s="59" t="s">
        <v>0</v>
      </c>
      <c r="G151" s="55" t="s">
        <v>1257</v>
      </c>
      <c r="H151" s="55" t="s">
        <v>1266</v>
      </c>
      <c r="I151" s="55" t="s">
        <v>1267</v>
      </c>
      <c r="J151" s="60" t="s">
        <v>461</v>
      </c>
      <c r="K151" s="78" t="s">
        <v>881</v>
      </c>
      <c r="L151" s="60" t="s">
        <v>599</v>
      </c>
      <c r="M151" s="55" t="s">
        <v>0</v>
      </c>
      <c r="N151" s="2"/>
      <c r="O151" s="58"/>
      <c r="P151" s="60" t="s">
        <v>6</v>
      </c>
      <c r="Q151" s="60" t="s">
        <v>522</v>
      </c>
      <c r="R151" s="85" t="s">
        <v>0</v>
      </c>
      <c r="S151" s="85" t="s">
        <v>0</v>
      </c>
      <c r="T151" s="61" t="s">
        <v>0</v>
      </c>
      <c r="U151" s="60" t="s">
        <v>0</v>
      </c>
      <c r="V151" s="58" t="s">
        <v>0</v>
      </c>
      <c r="W151" s="58" t="s">
        <v>0</v>
      </c>
      <c r="X151" s="58" t="s">
        <v>0</v>
      </c>
      <c r="Y151" s="58" t="s">
        <v>0</v>
      </c>
      <c r="Z151" s="58" t="s">
        <v>472</v>
      </c>
      <c r="AA151" s="58" t="s">
        <v>469</v>
      </c>
      <c r="AB151" s="58" t="s">
        <v>472</v>
      </c>
      <c r="AC151" s="58" t="s">
        <v>469</v>
      </c>
      <c r="AD151" s="58" t="s">
        <v>0</v>
      </c>
      <c r="AE151" s="58" t="s">
        <v>0</v>
      </c>
      <c r="AF151" s="58"/>
      <c r="AG151" s="58"/>
      <c r="AH151" s="58"/>
      <c r="AI151" s="58" t="s">
        <v>0</v>
      </c>
      <c r="AJ151" s="58" t="s">
        <v>0</v>
      </c>
      <c r="AK151" s="1" t="s">
        <v>1255</v>
      </c>
    </row>
    <row r="152" spans="2:37">
      <c r="B152" s="68" t="s">
        <v>0</v>
      </c>
      <c r="C152" s="68" t="s">
        <v>0</v>
      </c>
      <c r="D152" s="68" t="s">
        <v>0</v>
      </c>
      <c r="E152" s="68" t="s">
        <v>0</v>
      </c>
      <c r="F152" s="59" t="s">
        <v>0</v>
      </c>
      <c r="G152" s="55" t="s">
        <v>1257</v>
      </c>
      <c r="H152" s="55" t="s">
        <v>1266</v>
      </c>
      <c r="I152" s="55" t="s">
        <v>1267</v>
      </c>
      <c r="J152" s="60" t="s">
        <v>461</v>
      </c>
      <c r="K152" s="78" t="s">
        <v>882</v>
      </c>
      <c r="L152" s="60" t="s">
        <v>570</v>
      </c>
      <c r="M152" s="55" t="s">
        <v>0</v>
      </c>
      <c r="N152" s="2"/>
      <c r="O152" s="58"/>
      <c r="P152" s="60" t="s">
        <v>7</v>
      </c>
      <c r="Q152" s="60" t="s">
        <v>522</v>
      </c>
      <c r="R152" s="85" t="s">
        <v>0</v>
      </c>
      <c r="S152" s="85" t="s">
        <v>0</v>
      </c>
      <c r="T152" s="61" t="s">
        <v>0</v>
      </c>
      <c r="U152" s="60" t="s">
        <v>0</v>
      </c>
      <c r="V152" s="58" t="s">
        <v>0</v>
      </c>
      <c r="W152" s="58" t="s">
        <v>0</v>
      </c>
      <c r="X152" s="58" t="s">
        <v>0</v>
      </c>
      <c r="Y152" s="58" t="s">
        <v>0</v>
      </c>
      <c r="Z152" s="58" t="s">
        <v>508</v>
      </c>
      <c r="AA152" s="58" t="s">
        <v>521</v>
      </c>
      <c r="AB152" s="58" t="s">
        <v>508</v>
      </c>
      <c r="AC152" s="58" t="s">
        <v>521</v>
      </c>
      <c r="AD152" s="58" t="s">
        <v>0</v>
      </c>
      <c r="AE152" s="58" t="s">
        <v>0</v>
      </c>
      <c r="AF152" s="58"/>
      <c r="AG152" s="58"/>
      <c r="AH152" s="58"/>
      <c r="AI152" s="58" t="s">
        <v>0</v>
      </c>
      <c r="AJ152" s="58" t="s">
        <v>0</v>
      </c>
      <c r="AK152" s="1" t="s">
        <v>1255</v>
      </c>
    </row>
    <row r="153" spans="2:37">
      <c r="B153" s="68" t="s">
        <v>0</v>
      </c>
      <c r="C153" s="68" t="s">
        <v>0</v>
      </c>
      <c r="D153" s="68" t="s">
        <v>0</v>
      </c>
      <c r="E153" s="68" t="s">
        <v>0</v>
      </c>
      <c r="F153" s="59" t="s">
        <v>0</v>
      </c>
      <c r="G153" s="55" t="s">
        <v>1257</v>
      </c>
      <c r="H153" s="55" t="s">
        <v>1266</v>
      </c>
      <c r="I153" s="55" t="s">
        <v>1267</v>
      </c>
      <c r="J153" s="60" t="s">
        <v>461</v>
      </c>
      <c r="K153" s="78" t="s">
        <v>883</v>
      </c>
      <c r="L153" s="60" t="s">
        <v>884</v>
      </c>
      <c r="M153" s="55" t="s">
        <v>0</v>
      </c>
      <c r="N153" s="2"/>
      <c r="O153" s="58"/>
      <c r="P153" s="60" t="s">
        <v>6</v>
      </c>
      <c r="Q153" s="60" t="s">
        <v>522</v>
      </c>
      <c r="R153" s="85" t="s">
        <v>0</v>
      </c>
      <c r="S153" s="85" t="s">
        <v>0</v>
      </c>
      <c r="T153" s="61" t="s">
        <v>0</v>
      </c>
      <c r="U153" s="60" t="s">
        <v>0</v>
      </c>
      <c r="V153" s="58" t="s">
        <v>0</v>
      </c>
      <c r="W153" s="58" t="s">
        <v>0</v>
      </c>
      <c r="X153" s="58" t="s">
        <v>0</v>
      </c>
      <c r="Y153" s="58" t="s">
        <v>0</v>
      </c>
      <c r="Z153" s="58" t="s">
        <v>464</v>
      </c>
      <c r="AA153" s="58" t="s">
        <v>464</v>
      </c>
      <c r="AB153" s="58" t="s">
        <v>0</v>
      </c>
      <c r="AC153" s="58" t="s">
        <v>0</v>
      </c>
      <c r="AD153" s="58" t="s">
        <v>0</v>
      </c>
      <c r="AE153" s="58" t="s">
        <v>0</v>
      </c>
      <c r="AF153" s="58"/>
      <c r="AG153" s="58"/>
      <c r="AH153" s="58"/>
      <c r="AI153" s="58" t="s">
        <v>0</v>
      </c>
      <c r="AJ153" s="58" t="s">
        <v>0</v>
      </c>
      <c r="AK153" s="1" t="s">
        <v>1255</v>
      </c>
    </row>
    <row r="154" spans="2:37">
      <c r="B154" s="68" t="s">
        <v>1274</v>
      </c>
      <c r="C154" s="68">
        <v>46037</v>
      </c>
      <c r="D154" s="68">
        <v>0</v>
      </c>
      <c r="E154" s="68">
        <v>0</v>
      </c>
      <c r="F154" s="59">
        <v>-46037</v>
      </c>
      <c r="G154" s="55" t="s">
        <v>1257</v>
      </c>
      <c r="H154" s="55" t="s">
        <v>1266</v>
      </c>
      <c r="I154" s="55" t="s">
        <v>1269</v>
      </c>
      <c r="J154" s="60" t="s">
        <v>461</v>
      </c>
      <c r="K154" s="78" t="s">
        <v>885</v>
      </c>
      <c r="L154" s="60" t="s">
        <v>573</v>
      </c>
      <c r="M154" s="55" t="s">
        <v>624</v>
      </c>
      <c r="N154" s="49" t="s">
        <v>488</v>
      </c>
      <c r="O154" s="49" t="s">
        <v>489</v>
      </c>
      <c r="P154" s="60" t="s">
        <v>5</v>
      </c>
      <c r="Q154" s="60" t="s">
        <v>1247</v>
      </c>
      <c r="R154" s="85" t="s">
        <v>0</v>
      </c>
      <c r="S154" s="85" t="s">
        <v>0</v>
      </c>
      <c r="T154" s="61" t="s">
        <v>0</v>
      </c>
      <c r="U154" s="60" t="s">
        <v>0</v>
      </c>
      <c r="V154" s="58" t="s">
        <v>0</v>
      </c>
      <c r="W154" s="58" t="s">
        <v>0</v>
      </c>
      <c r="X154" s="58" t="s">
        <v>0</v>
      </c>
      <c r="Y154" s="58" t="s">
        <v>0</v>
      </c>
      <c r="Z154" s="54" t="s">
        <v>472</v>
      </c>
      <c r="AA154" s="54" t="s">
        <v>468</v>
      </c>
      <c r="AB154" s="58" t="s">
        <v>472</v>
      </c>
      <c r="AC154" s="58" t="s">
        <v>468</v>
      </c>
      <c r="AD154" s="58" t="s">
        <v>0</v>
      </c>
      <c r="AE154" s="58" t="s">
        <v>0</v>
      </c>
      <c r="AF154" s="58"/>
      <c r="AG154" s="58"/>
      <c r="AH154" s="58"/>
      <c r="AI154" s="58" t="s">
        <v>0</v>
      </c>
      <c r="AJ154" s="58">
        <v>-46037</v>
      </c>
      <c r="AK154" s="1" t="s">
        <v>1255</v>
      </c>
    </row>
    <row r="155" spans="2:37">
      <c r="B155" s="68" t="s">
        <v>1273</v>
      </c>
      <c r="C155" s="68">
        <v>46029</v>
      </c>
      <c r="D155" s="68">
        <v>46037</v>
      </c>
      <c r="E155" s="68">
        <v>46042</v>
      </c>
      <c r="F155" s="59">
        <v>13</v>
      </c>
      <c r="G155" s="55" t="s">
        <v>1257</v>
      </c>
      <c r="H155" s="55" t="s">
        <v>1266</v>
      </c>
      <c r="I155" s="55" t="s">
        <v>1267</v>
      </c>
      <c r="J155" s="60" t="s">
        <v>461</v>
      </c>
      <c r="K155" s="78" t="s">
        <v>886</v>
      </c>
      <c r="L155" s="60" t="s">
        <v>601</v>
      </c>
      <c r="M155" s="55" t="s">
        <v>624</v>
      </c>
      <c r="N155" s="49" t="s">
        <v>488</v>
      </c>
      <c r="O155" s="49" t="s">
        <v>489</v>
      </c>
      <c r="P155" s="60" t="s">
        <v>3</v>
      </c>
      <c r="Q155" s="60" t="s">
        <v>1226</v>
      </c>
      <c r="R155" s="85" t="s">
        <v>0</v>
      </c>
      <c r="S155" s="85" t="s">
        <v>0</v>
      </c>
      <c r="T155" s="61" t="s">
        <v>0</v>
      </c>
      <c r="U155" s="60" t="s">
        <v>0</v>
      </c>
      <c r="V155" s="58" t="s">
        <v>0</v>
      </c>
      <c r="W155" s="58" t="s">
        <v>0</v>
      </c>
      <c r="X155" s="58" t="s">
        <v>0</v>
      </c>
      <c r="Y155" s="58" t="s">
        <v>0</v>
      </c>
      <c r="Z155" s="54" t="s">
        <v>470</v>
      </c>
      <c r="AA155" s="54" t="s">
        <v>467</v>
      </c>
      <c r="AB155" s="54" t="s">
        <v>483</v>
      </c>
      <c r="AC155" s="58" t="s">
        <v>470</v>
      </c>
      <c r="AD155" s="58" t="s">
        <v>467</v>
      </c>
      <c r="AE155" s="58" t="s">
        <v>483</v>
      </c>
      <c r="AF155" s="58"/>
      <c r="AG155" s="58"/>
      <c r="AH155" s="58"/>
      <c r="AI155" s="58" t="s">
        <v>0</v>
      </c>
      <c r="AJ155" s="58"/>
      <c r="AK155" s="1" t="s">
        <v>1255</v>
      </c>
    </row>
    <row r="156" spans="2:37">
      <c r="B156" s="68" t="s">
        <v>0</v>
      </c>
      <c r="C156" s="68" t="s">
        <v>0</v>
      </c>
      <c r="D156" s="68" t="s">
        <v>0</v>
      </c>
      <c r="E156" s="68" t="s">
        <v>0</v>
      </c>
      <c r="F156" s="59" t="s">
        <v>0</v>
      </c>
      <c r="G156" s="55" t="s">
        <v>466</v>
      </c>
      <c r="H156" s="55" t="s">
        <v>1266</v>
      </c>
      <c r="I156" s="55" t="s">
        <v>1269</v>
      </c>
      <c r="J156" s="60" t="s">
        <v>461</v>
      </c>
      <c r="K156" s="78" t="s">
        <v>887</v>
      </c>
      <c r="L156" s="60" t="s">
        <v>542</v>
      </c>
      <c r="M156" s="55" t="s">
        <v>0</v>
      </c>
      <c r="N156" s="2"/>
      <c r="O156" s="58"/>
      <c r="P156" s="60" t="s">
        <v>3</v>
      </c>
      <c r="Q156" s="60" t="s">
        <v>522</v>
      </c>
      <c r="R156" s="85" t="s">
        <v>0</v>
      </c>
      <c r="S156" s="85" t="s">
        <v>0</v>
      </c>
      <c r="T156" s="61" t="s">
        <v>0</v>
      </c>
      <c r="U156" s="60" t="s">
        <v>0</v>
      </c>
      <c r="V156" s="58" t="s">
        <v>0</v>
      </c>
      <c r="W156" s="58" t="s">
        <v>0</v>
      </c>
      <c r="X156" s="58" t="s">
        <v>0</v>
      </c>
      <c r="Y156" s="58" t="s">
        <v>0</v>
      </c>
      <c r="Z156" s="58" t="s">
        <v>468</v>
      </c>
      <c r="AA156" s="58" t="s">
        <v>471</v>
      </c>
      <c r="AB156" s="58" t="s">
        <v>481</v>
      </c>
      <c r="AC156" s="58" t="s">
        <v>464</v>
      </c>
      <c r="AD156" s="58" t="s">
        <v>468</v>
      </c>
      <c r="AE156" s="58" t="s">
        <v>471</v>
      </c>
      <c r="AF156" s="58"/>
      <c r="AG156" s="58"/>
      <c r="AH156" s="58"/>
      <c r="AI156" s="58" t="s">
        <v>0</v>
      </c>
      <c r="AJ156" s="58" t="s">
        <v>0</v>
      </c>
      <c r="AK156" s="1" t="s">
        <v>1255</v>
      </c>
    </row>
    <row r="157" spans="2:37">
      <c r="B157" s="68" t="s">
        <v>0</v>
      </c>
      <c r="C157" s="68" t="s">
        <v>0</v>
      </c>
      <c r="D157" s="68" t="s">
        <v>0</v>
      </c>
      <c r="E157" s="68" t="s">
        <v>0</v>
      </c>
      <c r="F157" s="59" t="s">
        <v>0</v>
      </c>
      <c r="G157" s="55" t="s">
        <v>1257</v>
      </c>
      <c r="H157" s="55" t="s">
        <v>1266</v>
      </c>
      <c r="I157" s="55" t="s">
        <v>1269</v>
      </c>
      <c r="J157" s="60" t="s">
        <v>461</v>
      </c>
      <c r="K157" s="78" t="s">
        <v>888</v>
      </c>
      <c r="L157" s="60" t="s">
        <v>543</v>
      </c>
      <c r="M157" s="55" t="s">
        <v>0</v>
      </c>
      <c r="N157" s="2"/>
      <c r="O157" s="58"/>
      <c r="P157" s="60" t="s">
        <v>3</v>
      </c>
      <c r="Q157" s="60" t="s">
        <v>522</v>
      </c>
      <c r="R157" s="85" t="s">
        <v>0</v>
      </c>
      <c r="S157" s="85" t="s">
        <v>0</v>
      </c>
      <c r="T157" s="61" t="s">
        <v>0</v>
      </c>
      <c r="U157" s="60" t="s">
        <v>0</v>
      </c>
      <c r="V157" s="58" t="s">
        <v>0</v>
      </c>
      <c r="W157" s="58" t="s">
        <v>0</v>
      </c>
      <c r="X157" s="58" t="s">
        <v>0</v>
      </c>
      <c r="Y157" s="58" t="s">
        <v>0</v>
      </c>
      <c r="Z157" s="58" t="s">
        <v>469</v>
      </c>
      <c r="AA157" s="58" t="s">
        <v>471</v>
      </c>
      <c r="AB157" s="58" t="s">
        <v>479</v>
      </c>
      <c r="AC157" s="58" t="s">
        <v>464</v>
      </c>
      <c r="AD157" s="58" t="s">
        <v>469</v>
      </c>
      <c r="AE157" s="58" t="s">
        <v>471</v>
      </c>
      <c r="AF157" s="58"/>
      <c r="AG157" s="58"/>
      <c r="AH157" s="58"/>
      <c r="AI157" s="58" t="s">
        <v>0</v>
      </c>
      <c r="AJ157" s="58" t="s">
        <v>0</v>
      </c>
      <c r="AK157" s="1" t="s">
        <v>1255</v>
      </c>
    </row>
    <row r="158" spans="2:37">
      <c r="B158" s="68" t="s">
        <v>0</v>
      </c>
      <c r="C158" s="68" t="s">
        <v>0</v>
      </c>
      <c r="D158" s="68" t="s">
        <v>0</v>
      </c>
      <c r="E158" s="68" t="s">
        <v>0</v>
      </c>
      <c r="F158" s="59" t="s">
        <v>0</v>
      </c>
      <c r="G158" s="55" t="s">
        <v>1257</v>
      </c>
      <c r="H158" s="55" t="s">
        <v>1266</v>
      </c>
      <c r="I158" s="55" t="s">
        <v>1269</v>
      </c>
      <c r="J158" s="60" t="s">
        <v>461</v>
      </c>
      <c r="K158" s="78" t="s">
        <v>889</v>
      </c>
      <c r="L158" s="60" t="s">
        <v>544</v>
      </c>
      <c r="M158" s="55" t="s">
        <v>0</v>
      </c>
      <c r="N158" s="2"/>
      <c r="O158" s="58"/>
      <c r="P158" s="60" t="s">
        <v>3</v>
      </c>
      <c r="Q158" s="60" t="s">
        <v>522</v>
      </c>
      <c r="R158" s="85" t="s">
        <v>0</v>
      </c>
      <c r="S158" s="85" t="s">
        <v>0</v>
      </c>
      <c r="T158" s="61" t="s">
        <v>0</v>
      </c>
      <c r="U158" s="60" t="s">
        <v>0</v>
      </c>
      <c r="V158" s="58" t="s">
        <v>0</v>
      </c>
      <c r="W158" s="58" t="s">
        <v>0</v>
      </c>
      <c r="X158" s="58" t="s">
        <v>0</v>
      </c>
      <c r="Y158" s="58" t="s">
        <v>0</v>
      </c>
      <c r="Z158" s="58" t="s">
        <v>470</v>
      </c>
      <c r="AA158" s="58" t="s">
        <v>483</v>
      </c>
      <c r="AB158" s="58" t="s">
        <v>464</v>
      </c>
      <c r="AC158" s="58" t="s">
        <v>470</v>
      </c>
      <c r="AD158" s="58" t="s">
        <v>483</v>
      </c>
      <c r="AE158" s="58" t="s">
        <v>464</v>
      </c>
      <c r="AF158" s="58"/>
      <c r="AG158" s="58"/>
      <c r="AH158" s="58"/>
      <c r="AI158" s="58" t="s">
        <v>0</v>
      </c>
      <c r="AJ158" s="58" t="s">
        <v>0</v>
      </c>
      <c r="AK158" s="1" t="s">
        <v>1255</v>
      </c>
    </row>
    <row r="159" spans="2:37">
      <c r="B159" s="68" t="s">
        <v>0</v>
      </c>
      <c r="C159" s="68" t="s">
        <v>0</v>
      </c>
      <c r="D159" s="68" t="s">
        <v>0</v>
      </c>
      <c r="E159" s="68" t="s">
        <v>0</v>
      </c>
      <c r="F159" s="59" t="s">
        <v>0</v>
      </c>
      <c r="G159" s="55" t="s">
        <v>1257</v>
      </c>
      <c r="H159" s="55" t="s">
        <v>1266</v>
      </c>
      <c r="I159" s="55" t="s">
        <v>1269</v>
      </c>
      <c r="J159" s="60" t="s">
        <v>461</v>
      </c>
      <c r="K159" s="78" t="s">
        <v>890</v>
      </c>
      <c r="L159" s="60" t="s">
        <v>891</v>
      </c>
      <c r="M159" s="55" t="s">
        <v>0</v>
      </c>
      <c r="N159" s="2"/>
      <c r="O159" s="58"/>
      <c r="P159" s="60" t="s">
        <v>379</v>
      </c>
      <c r="Q159" s="60" t="s">
        <v>522</v>
      </c>
      <c r="R159" s="85" t="s">
        <v>0</v>
      </c>
      <c r="S159" s="85" t="s">
        <v>0</v>
      </c>
      <c r="T159" s="61" t="s">
        <v>0</v>
      </c>
      <c r="U159" s="60" t="s">
        <v>0</v>
      </c>
      <c r="V159" s="58" t="s">
        <v>0</v>
      </c>
      <c r="W159" s="58" t="s">
        <v>0</v>
      </c>
      <c r="X159" s="58" t="s">
        <v>0</v>
      </c>
      <c r="Y159" s="58" t="s">
        <v>0</v>
      </c>
      <c r="Z159" s="58" t="s">
        <v>507</v>
      </c>
      <c r="AA159" s="58" t="s">
        <v>464</v>
      </c>
      <c r="AB159" s="58" t="s">
        <v>487</v>
      </c>
      <c r="AC159" s="58" t="s">
        <v>507</v>
      </c>
      <c r="AD159" s="58" t="s">
        <v>464</v>
      </c>
      <c r="AE159" s="58" t="s">
        <v>487</v>
      </c>
      <c r="AF159" s="58"/>
      <c r="AG159" s="58"/>
      <c r="AH159" s="58"/>
      <c r="AI159" s="58" t="s">
        <v>0</v>
      </c>
      <c r="AJ159" s="58" t="s">
        <v>0</v>
      </c>
      <c r="AK159" s="1" t="s">
        <v>1255</v>
      </c>
    </row>
    <row r="160" spans="2:37">
      <c r="B160" s="68" t="s">
        <v>0</v>
      </c>
      <c r="C160" s="68" t="s">
        <v>0</v>
      </c>
      <c r="D160" s="68" t="s">
        <v>0</v>
      </c>
      <c r="E160" s="68" t="s">
        <v>0</v>
      </c>
      <c r="F160" s="59" t="s">
        <v>0</v>
      </c>
      <c r="G160" s="55" t="s">
        <v>1262</v>
      </c>
      <c r="H160" s="55" t="s">
        <v>1266</v>
      </c>
      <c r="I160" s="55" t="s">
        <v>1269</v>
      </c>
      <c r="J160" s="60" t="s">
        <v>461</v>
      </c>
      <c r="K160" s="78" t="s">
        <v>892</v>
      </c>
      <c r="L160" s="60" t="s">
        <v>635</v>
      </c>
      <c r="M160" s="55" t="s">
        <v>0</v>
      </c>
      <c r="N160" s="2"/>
      <c r="O160" s="58"/>
      <c r="P160" s="60" t="s">
        <v>379</v>
      </c>
      <c r="Q160" s="60" t="s">
        <v>522</v>
      </c>
      <c r="R160" s="85" t="s">
        <v>0</v>
      </c>
      <c r="S160" s="85" t="s">
        <v>0</v>
      </c>
      <c r="T160" s="61" t="s">
        <v>0</v>
      </c>
      <c r="U160" s="60" t="s">
        <v>0</v>
      </c>
      <c r="V160" s="58" t="s">
        <v>0</v>
      </c>
      <c r="W160" s="58" t="s">
        <v>0</v>
      </c>
      <c r="X160" s="58" t="s">
        <v>0</v>
      </c>
      <c r="Y160" s="58" t="s">
        <v>0</v>
      </c>
      <c r="Z160" s="58" t="s">
        <v>468</v>
      </c>
      <c r="AA160" s="58" t="s">
        <v>464</v>
      </c>
      <c r="AB160" s="58" t="s">
        <v>468</v>
      </c>
      <c r="AC160" s="58" t="s">
        <v>464</v>
      </c>
      <c r="AD160" s="58" t="s">
        <v>0</v>
      </c>
      <c r="AE160" s="58" t="s">
        <v>0</v>
      </c>
      <c r="AF160" s="58"/>
      <c r="AG160" s="58"/>
      <c r="AH160" s="58"/>
      <c r="AI160" s="58" t="s">
        <v>0</v>
      </c>
      <c r="AJ160" s="58" t="s">
        <v>0</v>
      </c>
      <c r="AK160" s="1" t="s">
        <v>1255</v>
      </c>
    </row>
    <row r="161" spans="2:37">
      <c r="B161" s="68" t="s">
        <v>0</v>
      </c>
      <c r="C161" s="68" t="s">
        <v>0</v>
      </c>
      <c r="D161" s="68" t="s">
        <v>0</v>
      </c>
      <c r="E161" s="68" t="s">
        <v>0</v>
      </c>
      <c r="F161" s="59" t="s">
        <v>0</v>
      </c>
      <c r="G161" s="55" t="s">
        <v>1262</v>
      </c>
      <c r="H161" s="55" t="s">
        <v>1266</v>
      </c>
      <c r="I161" s="55" t="s">
        <v>1277</v>
      </c>
      <c r="J161" s="60" t="s">
        <v>461</v>
      </c>
      <c r="K161" s="78" t="s">
        <v>893</v>
      </c>
      <c r="L161" s="60" t="s">
        <v>602</v>
      </c>
      <c r="M161" s="55" t="s">
        <v>0</v>
      </c>
      <c r="N161" s="2"/>
      <c r="O161" s="58"/>
      <c r="P161" s="60" t="s">
        <v>379</v>
      </c>
      <c r="Q161" s="60" t="s">
        <v>522</v>
      </c>
      <c r="R161" s="85" t="s">
        <v>0</v>
      </c>
      <c r="S161" s="85" t="s">
        <v>0</v>
      </c>
      <c r="T161" s="61" t="s">
        <v>0</v>
      </c>
      <c r="U161" s="60" t="s">
        <v>0</v>
      </c>
      <c r="V161" s="58" t="s">
        <v>0</v>
      </c>
      <c r="W161" s="58" t="s">
        <v>0</v>
      </c>
      <c r="X161" s="58" t="s">
        <v>0</v>
      </c>
      <c r="Y161" s="58" t="s">
        <v>0</v>
      </c>
      <c r="Z161" s="58" t="s">
        <v>465</v>
      </c>
      <c r="AA161" s="58" t="s">
        <v>472</v>
      </c>
      <c r="AB161" s="58" t="s">
        <v>468</v>
      </c>
      <c r="AC161" s="58" t="s">
        <v>518</v>
      </c>
      <c r="AD161" s="58" t="s">
        <v>506</v>
      </c>
      <c r="AE161" s="58" t="s">
        <v>465</v>
      </c>
      <c r="AF161" s="58"/>
      <c r="AG161" s="58"/>
      <c r="AH161" s="58"/>
      <c r="AI161" s="58" t="s">
        <v>0</v>
      </c>
      <c r="AJ161" s="58" t="s">
        <v>0</v>
      </c>
      <c r="AK161" s="1" t="s">
        <v>1255</v>
      </c>
    </row>
    <row r="162" spans="2:37">
      <c r="B162" s="68" t="s">
        <v>0</v>
      </c>
      <c r="C162" s="68" t="s">
        <v>0</v>
      </c>
      <c r="D162" s="68" t="s">
        <v>0</v>
      </c>
      <c r="E162" s="68" t="s">
        <v>0</v>
      </c>
      <c r="F162" s="59" t="s">
        <v>0</v>
      </c>
      <c r="G162" s="55" t="s">
        <v>1257</v>
      </c>
      <c r="H162" s="55" t="s">
        <v>1266</v>
      </c>
      <c r="I162" s="55" t="s">
        <v>1277</v>
      </c>
      <c r="J162" s="60" t="s">
        <v>461</v>
      </c>
      <c r="K162" s="78" t="s">
        <v>894</v>
      </c>
      <c r="L162" s="60" t="s">
        <v>575</v>
      </c>
      <c r="M162" s="55" t="s">
        <v>0</v>
      </c>
      <c r="N162" s="2"/>
      <c r="O162" s="58"/>
      <c r="P162" s="60" t="s">
        <v>379</v>
      </c>
      <c r="Q162" s="60" t="s">
        <v>522</v>
      </c>
      <c r="R162" s="85" t="s">
        <v>0</v>
      </c>
      <c r="S162" s="85" t="s">
        <v>0</v>
      </c>
      <c r="T162" s="61" t="s">
        <v>0</v>
      </c>
      <c r="U162" s="60" t="s">
        <v>0</v>
      </c>
      <c r="V162" s="58" t="s">
        <v>0</v>
      </c>
      <c r="W162" s="58" t="s">
        <v>0</v>
      </c>
      <c r="X162" s="58" t="s">
        <v>0</v>
      </c>
      <c r="Y162" s="58" t="s">
        <v>0</v>
      </c>
      <c r="Z162" s="58" t="s">
        <v>472</v>
      </c>
      <c r="AA162" s="58" t="s">
        <v>478</v>
      </c>
      <c r="AB162" s="58" t="s">
        <v>471</v>
      </c>
      <c r="AC162" s="58" t="s">
        <v>467</v>
      </c>
      <c r="AD162" s="58" t="s">
        <v>506</v>
      </c>
      <c r="AE162" s="58" t="s">
        <v>472</v>
      </c>
      <c r="AF162" s="58"/>
      <c r="AG162" s="58"/>
      <c r="AH162" s="58"/>
      <c r="AI162" s="58" t="s">
        <v>0</v>
      </c>
      <c r="AJ162" s="58" t="s">
        <v>0</v>
      </c>
      <c r="AK162" s="1" t="s">
        <v>1255</v>
      </c>
    </row>
    <row r="163" spans="2:37">
      <c r="B163" s="68" t="s">
        <v>0</v>
      </c>
      <c r="C163" s="68" t="s">
        <v>0</v>
      </c>
      <c r="D163" s="68" t="s">
        <v>0</v>
      </c>
      <c r="E163" s="68" t="s">
        <v>0</v>
      </c>
      <c r="F163" s="59" t="s">
        <v>0</v>
      </c>
      <c r="G163" s="55" t="s">
        <v>1262</v>
      </c>
      <c r="H163" s="55" t="s">
        <v>1266</v>
      </c>
      <c r="I163" s="55" t="s">
        <v>1277</v>
      </c>
      <c r="J163" s="60" t="s">
        <v>461</v>
      </c>
      <c r="K163" s="78" t="s">
        <v>895</v>
      </c>
      <c r="L163" s="60" t="s">
        <v>896</v>
      </c>
      <c r="M163" s="55" t="s">
        <v>0</v>
      </c>
      <c r="N163" s="2"/>
      <c r="O163" s="58"/>
      <c r="P163" s="60" t="s">
        <v>379</v>
      </c>
      <c r="Q163" s="60" t="s">
        <v>522</v>
      </c>
      <c r="R163" s="85" t="s">
        <v>0</v>
      </c>
      <c r="S163" s="85" t="s">
        <v>0</v>
      </c>
      <c r="T163" s="61" t="s">
        <v>0</v>
      </c>
      <c r="U163" s="60" t="s">
        <v>0</v>
      </c>
      <c r="V163" s="58" t="s">
        <v>0</v>
      </c>
      <c r="W163" s="58" t="s">
        <v>0</v>
      </c>
      <c r="X163" s="58" t="s">
        <v>0</v>
      </c>
      <c r="Y163" s="58" t="s">
        <v>0</v>
      </c>
      <c r="Z163" s="58" t="s">
        <v>464</v>
      </c>
      <c r="AA163" s="58" t="s">
        <v>464</v>
      </c>
      <c r="AB163" s="58" t="s">
        <v>0</v>
      </c>
      <c r="AC163" s="58" t="s">
        <v>0</v>
      </c>
      <c r="AD163" s="58" t="s">
        <v>0</v>
      </c>
      <c r="AE163" s="58" t="s">
        <v>0</v>
      </c>
      <c r="AF163" s="58"/>
      <c r="AG163" s="58"/>
      <c r="AH163" s="58"/>
      <c r="AI163" s="58" t="s">
        <v>0</v>
      </c>
      <c r="AJ163" s="58" t="s">
        <v>0</v>
      </c>
      <c r="AK163" s="1" t="s">
        <v>1255</v>
      </c>
    </row>
    <row r="164" spans="2:37">
      <c r="B164" s="68" t="s">
        <v>0</v>
      </c>
      <c r="C164" s="68" t="s">
        <v>0</v>
      </c>
      <c r="D164" s="68" t="s">
        <v>0</v>
      </c>
      <c r="E164" s="68" t="s">
        <v>0</v>
      </c>
      <c r="F164" s="59" t="s">
        <v>0</v>
      </c>
      <c r="G164" s="55" t="s">
        <v>1257</v>
      </c>
      <c r="H164" s="55" t="s">
        <v>1266</v>
      </c>
      <c r="I164" s="55" t="s">
        <v>1277</v>
      </c>
      <c r="J164" s="60" t="s">
        <v>461</v>
      </c>
      <c r="K164" s="78" t="s">
        <v>897</v>
      </c>
      <c r="L164" s="60" t="s">
        <v>898</v>
      </c>
      <c r="M164" s="55" t="s">
        <v>0</v>
      </c>
      <c r="N164" s="2"/>
      <c r="O164" s="58"/>
      <c r="P164" s="60" t="s">
        <v>379</v>
      </c>
      <c r="Q164" s="60" t="s">
        <v>522</v>
      </c>
      <c r="R164" s="85" t="s">
        <v>0</v>
      </c>
      <c r="S164" s="85" t="s">
        <v>0</v>
      </c>
      <c r="T164" s="61" t="s">
        <v>0</v>
      </c>
      <c r="U164" s="60" t="s">
        <v>0</v>
      </c>
      <c r="V164" s="58" t="s">
        <v>0</v>
      </c>
      <c r="W164" s="58" t="s">
        <v>0</v>
      </c>
      <c r="X164" s="58" t="s">
        <v>0</v>
      </c>
      <c r="Y164" s="58" t="s">
        <v>0</v>
      </c>
      <c r="Z164" s="58" t="s">
        <v>472</v>
      </c>
      <c r="AA164" s="58" t="s">
        <v>471</v>
      </c>
      <c r="AB164" s="58" t="s">
        <v>467</v>
      </c>
      <c r="AC164" s="58" t="s">
        <v>506</v>
      </c>
      <c r="AD164" s="58" t="s">
        <v>472</v>
      </c>
      <c r="AE164" s="58" t="s">
        <v>471</v>
      </c>
      <c r="AF164" s="58"/>
      <c r="AG164" s="58"/>
      <c r="AH164" s="58"/>
      <c r="AI164" s="58" t="s">
        <v>0</v>
      </c>
      <c r="AJ164" s="58" t="s">
        <v>0</v>
      </c>
      <c r="AK164" s="1" t="s">
        <v>1255</v>
      </c>
    </row>
    <row r="165" spans="2:37">
      <c r="B165" s="68" t="s">
        <v>1278</v>
      </c>
      <c r="C165" s="68">
        <v>46036</v>
      </c>
      <c r="D165" s="68">
        <v>0</v>
      </c>
      <c r="E165" s="68">
        <v>0</v>
      </c>
      <c r="F165" s="59">
        <v>-46036</v>
      </c>
      <c r="G165" s="55" t="s">
        <v>466</v>
      </c>
      <c r="H165" s="55" t="s">
        <v>1266</v>
      </c>
      <c r="I165" s="55" t="s">
        <v>1267</v>
      </c>
      <c r="J165" s="60" t="s">
        <v>461</v>
      </c>
      <c r="K165" s="78" t="s">
        <v>899</v>
      </c>
      <c r="L165" s="60" t="s">
        <v>900</v>
      </c>
      <c r="M165" s="55" t="s">
        <v>624</v>
      </c>
      <c r="N165" s="49" t="s">
        <v>488</v>
      </c>
      <c r="O165" s="49" t="s">
        <v>489</v>
      </c>
      <c r="P165" s="60" t="s">
        <v>6</v>
      </c>
      <c r="Q165" s="60" t="s">
        <v>1250</v>
      </c>
      <c r="R165" s="85" t="s">
        <v>0</v>
      </c>
      <c r="S165" s="85" t="s">
        <v>0</v>
      </c>
      <c r="T165" s="61" t="s">
        <v>0</v>
      </c>
      <c r="U165" s="60" t="s">
        <v>0</v>
      </c>
      <c r="V165" s="58" t="s">
        <v>0</v>
      </c>
      <c r="W165" s="58" t="s">
        <v>0</v>
      </c>
      <c r="X165" s="58" t="s">
        <v>0</v>
      </c>
      <c r="Y165" s="58" t="s">
        <v>0</v>
      </c>
      <c r="Z165" s="54" t="s">
        <v>479</v>
      </c>
      <c r="AA165" s="54" t="s">
        <v>480</v>
      </c>
      <c r="AB165" s="54" t="s">
        <v>525</v>
      </c>
      <c r="AC165" s="58" t="s">
        <v>479</v>
      </c>
      <c r="AD165" s="58" t="s">
        <v>480</v>
      </c>
      <c r="AE165" s="58" t="s">
        <v>525</v>
      </c>
      <c r="AF165" s="58"/>
      <c r="AG165" s="58"/>
      <c r="AH165" s="58"/>
      <c r="AI165" s="58" t="s">
        <v>0</v>
      </c>
      <c r="AJ165" s="58">
        <v>-46036</v>
      </c>
      <c r="AK165" s="1" t="s">
        <v>1255</v>
      </c>
    </row>
    <row r="166" spans="2:37">
      <c r="B166" s="68" t="s">
        <v>0</v>
      </c>
      <c r="C166" s="68" t="s">
        <v>0</v>
      </c>
      <c r="D166" s="68" t="s">
        <v>0</v>
      </c>
      <c r="E166" s="68" t="s">
        <v>0</v>
      </c>
      <c r="F166" s="59" t="s">
        <v>0</v>
      </c>
      <c r="G166" s="55" t="s">
        <v>1257</v>
      </c>
      <c r="H166" s="55" t="s">
        <v>1266</v>
      </c>
      <c r="I166" s="55" t="s">
        <v>1267</v>
      </c>
      <c r="J166" s="60" t="s">
        <v>461</v>
      </c>
      <c r="K166" s="78" t="s">
        <v>901</v>
      </c>
      <c r="L166" s="60" t="s">
        <v>902</v>
      </c>
      <c r="M166" s="55" t="s">
        <v>0</v>
      </c>
      <c r="N166" s="2"/>
      <c r="O166" s="58"/>
      <c r="P166" s="60" t="s">
        <v>6</v>
      </c>
      <c r="Q166" s="60" t="s">
        <v>522</v>
      </c>
      <c r="R166" s="85" t="s">
        <v>0</v>
      </c>
      <c r="S166" s="85" t="s">
        <v>0</v>
      </c>
      <c r="T166" s="61" t="s">
        <v>0</v>
      </c>
      <c r="U166" s="60" t="s">
        <v>0</v>
      </c>
      <c r="V166" s="58" t="s">
        <v>0</v>
      </c>
      <c r="W166" s="58" t="s">
        <v>0</v>
      </c>
      <c r="X166" s="58" t="s">
        <v>0</v>
      </c>
      <c r="Y166" s="58" t="s">
        <v>0</v>
      </c>
      <c r="Z166" s="58" t="s">
        <v>479</v>
      </c>
      <c r="AA166" s="58" t="s">
        <v>480</v>
      </c>
      <c r="AB166" s="58" t="s">
        <v>525</v>
      </c>
      <c r="AC166" s="58" t="s">
        <v>479</v>
      </c>
      <c r="AD166" s="58" t="s">
        <v>480</v>
      </c>
      <c r="AE166" s="58" t="s">
        <v>525</v>
      </c>
      <c r="AF166" s="58"/>
      <c r="AG166" s="58"/>
      <c r="AH166" s="58"/>
      <c r="AI166" s="58" t="s">
        <v>0</v>
      </c>
      <c r="AJ166" s="58" t="s">
        <v>0</v>
      </c>
      <c r="AK166" s="1" t="s">
        <v>1255</v>
      </c>
    </row>
    <row r="167" spans="2:37">
      <c r="B167" s="68" t="s">
        <v>1278</v>
      </c>
      <c r="C167" s="68">
        <v>46036</v>
      </c>
      <c r="D167" s="68">
        <v>0</v>
      </c>
      <c r="E167" s="68">
        <v>0</v>
      </c>
      <c r="F167" s="59">
        <v>-46036</v>
      </c>
      <c r="G167" s="55" t="s">
        <v>1257</v>
      </c>
      <c r="H167" s="55" t="s">
        <v>1266</v>
      </c>
      <c r="I167" s="55" t="s">
        <v>1267</v>
      </c>
      <c r="J167" s="60" t="s">
        <v>461</v>
      </c>
      <c r="K167" s="78" t="s">
        <v>903</v>
      </c>
      <c r="L167" s="60" t="s">
        <v>617</v>
      </c>
      <c r="M167" s="55" t="s">
        <v>624</v>
      </c>
      <c r="N167" s="49" t="s">
        <v>488</v>
      </c>
      <c r="O167" s="49" t="s">
        <v>489</v>
      </c>
      <c r="P167" s="60" t="s">
        <v>6</v>
      </c>
      <c r="Q167" s="60" t="s">
        <v>1250</v>
      </c>
      <c r="R167" s="85" t="s">
        <v>0</v>
      </c>
      <c r="S167" s="85" t="s">
        <v>0</v>
      </c>
      <c r="T167" s="61" t="s">
        <v>0</v>
      </c>
      <c r="U167" s="60" t="s">
        <v>0</v>
      </c>
      <c r="V167" s="58" t="s">
        <v>0</v>
      </c>
      <c r="W167" s="58" t="s">
        <v>0</v>
      </c>
      <c r="X167" s="58" t="s">
        <v>0</v>
      </c>
      <c r="Y167" s="58" t="s">
        <v>0</v>
      </c>
      <c r="Z167" s="54" t="s">
        <v>480</v>
      </c>
      <c r="AA167" s="54" t="s">
        <v>525</v>
      </c>
      <c r="AB167" s="58" t="s">
        <v>480</v>
      </c>
      <c r="AC167" s="58" t="s">
        <v>525</v>
      </c>
      <c r="AD167" s="58" t="s">
        <v>0</v>
      </c>
      <c r="AE167" s="58" t="s">
        <v>0</v>
      </c>
      <c r="AF167" s="58"/>
      <c r="AG167" s="58"/>
      <c r="AH167" s="58"/>
      <c r="AI167" s="58" t="s">
        <v>0</v>
      </c>
      <c r="AJ167" s="58">
        <v>-46036</v>
      </c>
      <c r="AK167" s="1" t="s">
        <v>1255</v>
      </c>
    </row>
    <row r="168" spans="2:37">
      <c r="B168" s="68" t="s">
        <v>1273</v>
      </c>
      <c r="C168" s="68">
        <v>46029</v>
      </c>
      <c r="D168" s="68">
        <v>46037</v>
      </c>
      <c r="E168" s="68">
        <v>46042</v>
      </c>
      <c r="F168" s="59">
        <v>13</v>
      </c>
      <c r="G168" s="55" t="s">
        <v>1262</v>
      </c>
      <c r="H168" s="55" t="s">
        <v>1266</v>
      </c>
      <c r="I168" s="55" t="s">
        <v>1267</v>
      </c>
      <c r="J168" s="60" t="s">
        <v>461</v>
      </c>
      <c r="K168" s="78" t="s">
        <v>904</v>
      </c>
      <c r="L168" s="60" t="s">
        <v>603</v>
      </c>
      <c r="M168" s="55" t="s">
        <v>624</v>
      </c>
      <c r="N168" s="49" t="s">
        <v>488</v>
      </c>
      <c r="O168" s="50" t="s">
        <v>490</v>
      </c>
      <c r="P168" s="60" t="s">
        <v>5</v>
      </c>
      <c r="Q168" s="60" t="s">
        <v>1226</v>
      </c>
      <c r="R168" s="85" t="s">
        <v>0</v>
      </c>
      <c r="S168" s="85" t="s">
        <v>0</v>
      </c>
      <c r="T168" s="61" t="s">
        <v>0</v>
      </c>
      <c r="U168" s="60" t="s">
        <v>0</v>
      </c>
      <c r="V168" s="58" t="s">
        <v>0</v>
      </c>
      <c r="W168" s="58" t="s">
        <v>0</v>
      </c>
      <c r="X168" s="58" t="s">
        <v>0</v>
      </c>
      <c r="Y168" s="58" t="s">
        <v>0</v>
      </c>
      <c r="Z168" s="54" t="s">
        <v>468</v>
      </c>
      <c r="AA168" s="54" t="s">
        <v>479</v>
      </c>
      <c r="AB168" s="58" t="s">
        <v>480</v>
      </c>
      <c r="AC168" s="54" t="s">
        <v>464</v>
      </c>
      <c r="AD168" s="58" t="s">
        <v>468</v>
      </c>
      <c r="AE168" s="58" t="s">
        <v>479</v>
      </c>
      <c r="AF168" s="58"/>
      <c r="AG168" s="58"/>
      <c r="AH168" s="58"/>
      <c r="AI168" s="58" t="s">
        <v>0</v>
      </c>
      <c r="AJ168" s="58"/>
      <c r="AK168" s="1" t="s">
        <v>1255</v>
      </c>
    </row>
    <row r="169" spans="2:37">
      <c r="B169" s="68" t="s">
        <v>1278</v>
      </c>
      <c r="C169" s="68">
        <v>46036</v>
      </c>
      <c r="D169" s="68">
        <v>0</v>
      </c>
      <c r="E169" s="68">
        <v>0</v>
      </c>
      <c r="F169" s="59">
        <v>-46036</v>
      </c>
      <c r="G169" s="55" t="s">
        <v>466</v>
      </c>
      <c r="H169" s="55" t="s">
        <v>1266</v>
      </c>
      <c r="I169" s="55" t="s">
        <v>1267</v>
      </c>
      <c r="J169" s="60" t="s">
        <v>461</v>
      </c>
      <c r="K169" s="78" t="s">
        <v>905</v>
      </c>
      <c r="L169" s="60" t="s">
        <v>906</v>
      </c>
      <c r="M169" s="55" t="s">
        <v>624</v>
      </c>
      <c r="N169" s="49" t="s">
        <v>488</v>
      </c>
      <c r="O169" s="49" t="s">
        <v>489</v>
      </c>
      <c r="P169" s="60" t="s">
        <v>6</v>
      </c>
      <c r="Q169" s="60" t="s">
        <v>1250</v>
      </c>
      <c r="R169" s="85" t="s">
        <v>0</v>
      </c>
      <c r="S169" s="85" t="s">
        <v>0</v>
      </c>
      <c r="T169" s="61" t="s">
        <v>0</v>
      </c>
      <c r="U169" s="60" t="s">
        <v>0</v>
      </c>
      <c r="V169" s="58" t="s">
        <v>0</v>
      </c>
      <c r="W169" s="58" t="s">
        <v>0</v>
      </c>
      <c r="X169" s="58" t="s">
        <v>0</v>
      </c>
      <c r="Y169" s="58" t="s">
        <v>0</v>
      </c>
      <c r="Z169" s="54" t="s">
        <v>479</v>
      </c>
      <c r="AA169" s="54" t="s">
        <v>525</v>
      </c>
      <c r="AB169" s="58" t="s">
        <v>479</v>
      </c>
      <c r="AC169" s="58" t="s">
        <v>525</v>
      </c>
      <c r="AD169" s="58" t="s">
        <v>0</v>
      </c>
      <c r="AE169" s="58" t="s">
        <v>0</v>
      </c>
      <c r="AF169" s="58"/>
      <c r="AG169" s="58"/>
      <c r="AH169" s="58"/>
      <c r="AI169" s="58" t="s">
        <v>0</v>
      </c>
      <c r="AJ169" s="58">
        <v>-46036</v>
      </c>
      <c r="AK169" s="1" t="s">
        <v>1255</v>
      </c>
    </row>
    <row r="170" spans="2:37">
      <c r="B170" s="68" t="s">
        <v>0</v>
      </c>
      <c r="C170" s="68" t="s">
        <v>0</v>
      </c>
      <c r="D170" s="68" t="s">
        <v>0</v>
      </c>
      <c r="E170" s="68" t="s">
        <v>0</v>
      </c>
      <c r="F170" s="59" t="s">
        <v>0</v>
      </c>
      <c r="G170" s="55" t="s">
        <v>1257</v>
      </c>
      <c r="H170" s="55" t="s">
        <v>1266</v>
      </c>
      <c r="I170" s="55" t="s">
        <v>1267</v>
      </c>
      <c r="J170" s="60" t="s">
        <v>461</v>
      </c>
      <c r="K170" s="78" t="s">
        <v>907</v>
      </c>
      <c r="L170" s="60" t="s">
        <v>908</v>
      </c>
      <c r="M170" s="55" t="s">
        <v>0</v>
      </c>
      <c r="N170" s="2"/>
      <c r="O170" s="58"/>
      <c r="P170" s="60" t="s">
        <v>379</v>
      </c>
      <c r="Q170" s="60" t="s">
        <v>522</v>
      </c>
      <c r="R170" s="85" t="s">
        <v>0</v>
      </c>
      <c r="S170" s="85" t="s">
        <v>0</v>
      </c>
      <c r="T170" s="61" t="s">
        <v>0</v>
      </c>
      <c r="U170" s="60" t="s">
        <v>0</v>
      </c>
      <c r="V170" s="58" t="s">
        <v>0</v>
      </c>
      <c r="W170" s="58" t="s">
        <v>0</v>
      </c>
      <c r="X170" s="58" t="s">
        <v>0</v>
      </c>
      <c r="Y170" s="58" t="s">
        <v>0</v>
      </c>
      <c r="Z170" s="58" t="s">
        <v>473</v>
      </c>
      <c r="AA170" s="58" t="s">
        <v>487</v>
      </c>
      <c r="AB170" s="58" t="s">
        <v>473</v>
      </c>
      <c r="AC170" s="58" t="s">
        <v>487</v>
      </c>
      <c r="AD170" s="58" t="s">
        <v>0</v>
      </c>
      <c r="AE170" s="58" t="s">
        <v>0</v>
      </c>
      <c r="AF170" s="58"/>
      <c r="AG170" s="58"/>
      <c r="AH170" s="58"/>
      <c r="AI170" s="58" t="s">
        <v>0</v>
      </c>
      <c r="AJ170" s="58" t="s">
        <v>0</v>
      </c>
      <c r="AK170" s="1" t="s">
        <v>1255</v>
      </c>
    </row>
    <row r="171" spans="2:37">
      <c r="B171" s="68" t="s">
        <v>1272</v>
      </c>
      <c r="C171" s="68">
        <v>46030</v>
      </c>
      <c r="D171" s="68">
        <v>46043</v>
      </c>
      <c r="E171" s="68">
        <v>46044</v>
      </c>
      <c r="F171" s="59">
        <v>14</v>
      </c>
      <c r="G171" s="55" t="s">
        <v>1257</v>
      </c>
      <c r="H171" s="55" t="s">
        <v>1266</v>
      </c>
      <c r="I171" s="55" t="s">
        <v>1267</v>
      </c>
      <c r="J171" s="60" t="s">
        <v>461</v>
      </c>
      <c r="K171" s="78" t="s">
        <v>909</v>
      </c>
      <c r="L171" s="60" t="s">
        <v>910</v>
      </c>
      <c r="M171" s="55" t="s">
        <v>624</v>
      </c>
      <c r="N171" s="49" t="s">
        <v>488</v>
      </c>
      <c r="O171" s="49" t="s">
        <v>489</v>
      </c>
      <c r="P171" s="60" t="s">
        <v>9</v>
      </c>
      <c r="Q171" s="60" t="s">
        <v>1224</v>
      </c>
      <c r="R171" s="85" t="s">
        <v>0</v>
      </c>
      <c r="S171" s="85" t="s">
        <v>0</v>
      </c>
      <c r="T171" s="61" t="s">
        <v>0</v>
      </c>
      <c r="U171" s="60" t="s">
        <v>0</v>
      </c>
      <c r="V171" s="58" t="s">
        <v>0</v>
      </c>
      <c r="W171" s="58" t="s">
        <v>0</v>
      </c>
      <c r="X171" s="58" t="s">
        <v>0</v>
      </c>
      <c r="Y171" s="58" t="s">
        <v>0</v>
      </c>
      <c r="Z171" s="54" t="s">
        <v>480</v>
      </c>
      <c r="AA171" s="58" t="s">
        <v>480</v>
      </c>
      <c r="AB171" s="58" t="s">
        <v>0</v>
      </c>
      <c r="AC171" s="58" t="s">
        <v>0</v>
      </c>
      <c r="AD171" s="58" t="s">
        <v>0</v>
      </c>
      <c r="AE171" s="58" t="s">
        <v>0</v>
      </c>
      <c r="AF171" s="58"/>
      <c r="AG171" s="58"/>
      <c r="AH171" s="58"/>
      <c r="AI171" s="58" t="s">
        <v>0</v>
      </c>
      <c r="AJ171" s="58"/>
      <c r="AK171" s="1" t="s">
        <v>1255</v>
      </c>
    </row>
    <row r="172" spans="2:37">
      <c r="B172" s="68" t="s">
        <v>0</v>
      </c>
      <c r="C172" s="68" t="s">
        <v>0</v>
      </c>
      <c r="D172" s="68" t="s">
        <v>0</v>
      </c>
      <c r="E172" s="68" t="s">
        <v>0</v>
      </c>
      <c r="F172" s="59" t="s">
        <v>0</v>
      </c>
      <c r="G172" s="55" t="s">
        <v>466</v>
      </c>
      <c r="H172" s="55" t="s">
        <v>1266</v>
      </c>
      <c r="I172" s="55" t="s">
        <v>1267</v>
      </c>
      <c r="J172" s="60" t="s">
        <v>461</v>
      </c>
      <c r="K172" s="78" t="s">
        <v>911</v>
      </c>
      <c r="L172" s="60" t="s">
        <v>912</v>
      </c>
      <c r="M172" s="55" t="s">
        <v>0</v>
      </c>
      <c r="N172" s="2"/>
      <c r="O172" s="58"/>
      <c r="P172" s="60" t="s">
        <v>8</v>
      </c>
      <c r="Q172" s="60" t="s">
        <v>522</v>
      </c>
      <c r="R172" s="85" t="s">
        <v>0</v>
      </c>
      <c r="S172" s="85" t="s">
        <v>0</v>
      </c>
      <c r="T172" s="61" t="s">
        <v>0</v>
      </c>
      <c r="U172" s="60" t="s">
        <v>0</v>
      </c>
      <c r="V172" s="58" t="s">
        <v>0</v>
      </c>
      <c r="W172" s="58" t="s">
        <v>0</v>
      </c>
      <c r="X172" s="58" t="s">
        <v>0</v>
      </c>
      <c r="Y172" s="58" t="s">
        <v>0</v>
      </c>
      <c r="Z172" s="58" t="s">
        <v>464</v>
      </c>
      <c r="AA172" s="58" t="s">
        <v>464</v>
      </c>
      <c r="AB172" s="58" t="s">
        <v>0</v>
      </c>
      <c r="AC172" s="58" t="s">
        <v>0</v>
      </c>
      <c r="AD172" s="58" t="s">
        <v>0</v>
      </c>
      <c r="AE172" s="58" t="s">
        <v>0</v>
      </c>
      <c r="AF172" s="58"/>
      <c r="AG172" s="58"/>
      <c r="AH172" s="58"/>
      <c r="AI172" s="58" t="s">
        <v>0</v>
      </c>
      <c r="AJ172" s="58" t="s">
        <v>0</v>
      </c>
      <c r="AK172" s="1" t="s">
        <v>1255</v>
      </c>
    </row>
    <row r="173" spans="2:37">
      <c r="B173" s="68" t="s">
        <v>1273</v>
      </c>
      <c r="C173" s="68">
        <v>46029</v>
      </c>
      <c r="D173" s="68">
        <v>46037</v>
      </c>
      <c r="E173" s="68">
        <v>46042</v>
      </c>
      <c r="F173" s="59">
        <v>13</v>
      </c>
      <c r="G173" s="55" t="s">
        <v>1257</v>
      </c>
      <c r="H173" s="55" t="s">
        <v>1266</v>
      </c>
      <c r="I173" s="55" t="s">
        <v>1271</v>
      </c>
      <c r="J173" s="60" t="s">
        <v>461</v>
      </c>
      <c r="K173" s="78" t="s">
        <v>913</v>
      </c>
      <c r="L173" s="60" t="s">
        <v>615</v>
      </c>
      <c r="M173" s="55" t="s">
        <v>624</v>
      </c>
      <c r="N173" s="49" t="s">
        <v>488</v>
      </c>
      <c r="O173" s="49" t="s">
        <v>489</v>
      </c>
      <c r="P173" s="60" t="s">
        <v>6</v>
      </c>
      <c r="Q173" s="60" t="s">
        <v>1226</v>
      </c>
      <c r="R173" s="85" t="s">
        <v>0</v>
      </c>
      <c r="S173" s="85" t="s">
        <v>0</v>
      </c>
      <c r="T173" s="61" t="s">
        <v>0</v>
      </c>
      <c r="U173" s="60" t="s">
        <v>0</v>
      </c>
      <c r="V173" s="58" t="s">
        <v>0</v>
      </c>
      <c r="W173" s="58" t="s">
        <v>0</v>
      </c>
      <c r="X173" s="58" t="s">
        <v>0</v>
      </c>
      <c r="Y173" s="58" t="s">
        <v>0</v>
      </c>
      <c r="Z173" s="54" t="s">
        <v>479</v>
      </c>
      <c r="AA173" s="54" t="s">
        <v>464</v>
      </c>
      <c r="AB173" s="58" t="s">
        <v>479</v>
      </c>
      <c r="AC173" s="58" t="s">
        <v>464</v>
      </c>
      <c r="AD173" s="58" t="s">
        <v>0</v>
      </c>
      <c r="AE173" s="58" t="s">
        <v>0</v>
      </c>
      <c r="AF173" s="58"/>
      <c r="AG173" s="58"/>
      <c r="AH173" s="58"/>
      <c r="AI173" s="58" t="s">
        <v>0</v>
      </c>
      <c r="AJ173" s="58"/>
      <c r="AK173" s="1" t="s">
        <v>1255</v>
      </c>
    </row>
    <row r="174" spans="2:37">
      <c r="B174" s="68" t="s">
        <v>0</v>
      </c>
      <c r="C174" s="68" t="s">
        <v>0</v>
      </c>
      <c r="D174" s="68" t="s">
        <v>0</v>
      </c>
      <c r="E174" s="68" t="s">
        <v>0</v>
      </c>
      <c r="F174" s="59" t="s">
        <v>0</v>
      </c>
      <c r="G174" s="55" t="s">
        <v>1257</v>
      </c>
      <c r="H174" s="55" t="s">
        <v>1266</v>
      </c>
      <c r="I174" s="55" t="s">
        <v>1271</v>
      </c>
      <c r="J174" s="60" t="s">
        <v>461</v>
      </c>
      <c r="K174" s="78" t="s">
        <v>914</v>
      </c>
      <c r="L174" s="60" t="s">
        <v>545</v>
      </c>
      <c r="M174" s="55" t="s">
        <v>0</v>
      </c>
      <c r="N174" s="2"/>
      <c r="O174" s="58"/>
      <c r="P174" s="60" t="s">
        <v>379</v>
      </c>
      <c r="Q174" s="60" t="s">
        <v>522</v>
      </c>
      <c r="R174" s="85" t="s">
        <v>0</v>
      </c>
      <c r="S174" s="85" t="s">
        <v>0</v>
      </c>
      <c r="T174" s="61" t="s">
        <v>0</v>
      </c>
      <c r="U174" s="60" t="s">
        <v>0</v>
      </c>
      <c r="V174" s="58" t="s">
        <v>0</v>
      </c>
      <c r="W174" s="58" t="s">
        <v>0</v>
      </c>
      <c r="X174" s="58" t="s">
        <v>0</v>
      </c>
      <c r="Y174" s="58" t="s">
        <v>0</v>
      </c>
      <c r="Z174" s="58" t="s">
        <v>483</v>
      </c>
      <c r="AA174" s="58" t="s">
        <v>479</v>
      </c>
      <c r="AB174" s="58" t="s">
        <v>480</v>
      </c>
      <c r="AC174" s="58" t="s">
        <v>483</v>
      </c>
      <c r="AD174" s="58" t="s">
        <v>479</v>
      </c>
      <c r="AE174" s="58" t="s">
        <v>480</v>
      </c>
      <c r="AF174" s="58"/>
      <c r="AG174" s="58"/>
      <c r="AH174" s="58"/>
      <c r="AI174" s="58" t="s">
        <v>0</v>
      </c>
      <c r="AJ174" s="58" t="s">
        <v>0</v>
      </c>
      <c r="AK174" s="1" t="s">
        <v>1255</v>
      </c>
    </row>
    <row r="175" spans="2:37">
      <c r="B175" s="68" t="s">
        <v>0</v>
      </c>
      <c r="C175" s="68" t="s">
        <v>0</v>
      </c>
      <c r="D175" s="68" t="s">
        <v>0</v>
      </c>
      <c r="E175" s="68" t="s">
        <v>0</v>
      </c>
      <c r="F175" s="59" t="s">
        <v>0</v>
      </c>
      <c r="G175" s="55" t="s">
        <v>466</v>
      </c>
      <c r="H175" s="55" t="s">
        <v>1266</v>
      </c>
      <c r="I175" s="55" t="s">
        <v>1271</v>
      </c>
      <c r="J175" s="60" t="s">
        <v>461</v>
      </c>
      <c r="K175" s="78" t="s">
        <v>915</v>
      </c>
      <c r="L175" s="60" t="s">
        <v>604</v>
      </c>
      <c r="M175" s="55" t="s">
        <v>0</v>
      </c>
      <c r="N175" s="2"/>
      <c r="O175" s="58"/>
      <c r="P175" s="60" t="s">
        <v>379</v>
      </c>
      <c r="Q175" s="60" t="s">
        <v>522</v>
      </c>
      <c r="R175" s="85" t="s">
        <v>0</v>
      </c>
      <c r="S175" s="85" t="s">
        <v>0</v>
      </c>
      <c r="T175" s="61" t="s">
        <v>0</v>
      </c>
      <c r="U175" s="60" t="s">
        <v>0</v>
      </c>
      <c r="V175" s="58" t="s">
        <v>0</v>
      </c>
      <c r="W175" s="58" t="s">
        <v>0</v>
      </c>
      <c r="X175" s="58" t="s">
        <v>0</v>
      </c>
      <c r="Y175" s="58" t="s">
        <v>0</v>
      </c>
      <c r="Z175" s="58" t="s">
        <v>479</v>
      </c>
      <c r="AA175" s="58" t="s">
        <v>480</v>
      </c>
      <c r="AB175" s="58" t="s">
        <v>464</v>
      </c>
      <c r="AC175" s="58" t="s">
        <v>479</v>
      </c>
      <c r="AD175" s="58" t="s">
        <v>480</v>
      </c>
      <c r="AE175" s="58" t="s">
        <v>464</v>
      </c>
      <c r="AF175" s="58"/>
      <c r="AG175" s="58"/>
      <c r="AH175" s="58"/>
      <c r="AI175" s="58" t="s">
        <v>0</v>
      </c>
      <c r="AJ175" s="58" t="s">
        <v>0</v>
      </c>
      <c r="AK175" s="1" t="s">
        <v>1255</v>
      </c>
    </row>
    <row r="176" spans="2:37">
      <c r="B176" s="68" t="s">
        <v>1278</v>
      </c>
      <c r="C176" s="68">
        <v>46036</v>
      </c>
      <c r="D176" s="68">
        <v>0</v>
      </c>
      <c r="E176" s="68">
        <v>0</v>
      </c>
      <c r="F176" s="59">
        <v>-46036</v>
      </c>
      <c r="G176" s="55" t="s">
        <v>1257</v>
      </c>
      <c r="H176" s="55" t="s">
        <v>1266</v>
      </c>
      <c r="I176" s="55" t="s">
        <v>1271</v>
      </c>
      <c r="J176" s="60" t="s">
        <v>461</v>
      </c>
      <c r="K176" s="78" t="s">
        <v>916</v>
      </c>
      <c r="L176" s="60" t="s">
        <v>917</v>
      </c>
      <c r="M176" s="55" t="s">
        <v>624</v>
      </c>
      <c r="N176" s="49" t="s">
        <v>488</v>
      </c>
      <c r="O176" s="49" t="s">
        <v>489</v>
      </c>
      <c r="P176" s="60" t="s">
        <v>5</v>
      </c>
      <c r="Q176" s="60" t="s">
        <v>1250</v>
      </c>
      <c r="R176" s="85" t="s">
        <v>0</v>
      </c>
      <c r="S176" s="85" t="s">
        <v>0</v>
      </c>
      <c r="T176" s="61" t="s">
        <v>0</v>
      </c>
      <c r="U176" s="60" t="s">
        <v>0</v>
      </c>
      <c r="V176" s="58" t="s">
        <v>0</v>
      </c>
      <c r="W176" s="58" t="s">
        <v>0</v>
      </c>
      <c r="X176" s="58" t="s">
        <v>0</v>
      </c>
      <c r="Y176" s="58" t="s">
        <v>0</v>
      </c>
      <c r="Z176" s="54" t="s">
        <v>479</v>
      </c>
      <c r="AA176" s="54" t="s">
        <v>480</v>
      </c>
      <c r="AB176" s="54" t="s">
        <v>525</v>
      </c>
      <c r="AC176" s="58" t="s">
        <v>479</v>
      </c>
      <c r="AD176" s="58" t="s">
        <v>480</v>
      </c>
      <c r="AE176" s="58" t="s">
        <v>525</v>
      </c>
      <c r="AF176" s="58"/>
      <c r="AG176" s="58"/>
      <c r="AH176" s="58"/>
      <c r="AI176" s="58" t="s">
        <v>0</v>
      </c>
      <c r="AJ176" s="58">
        <v>-46036</v>
      </c>
      <c r="AK176" s="1" t="s">
        <v>1255</v>
      </c>
    </row>
    <row r="177" spans="2:37">
      <c r="B177" s="68" t="s">
        <v>0</v>
      </c>
      <c r="C177" s="68" t="s">
        <v>0</v>
      </c>
      <c r="D177" s="68" t="s">
        <v>0</v>
      </c>
      <c r="E177" s="68" t="s">
        <v>0</v>
      </c>
      <c r="F177" s="59" t="s">
        <v>0</v>
      </c>
      <c r="G177" s="55" t="s">
        <v>1257</v>
      </c>
      <c r="H177" s="55" t="s">
        <v>1266</v>
      </c>
      <c r="I177" s="55" t="s">
        <v>1271</v>
      </c>
      <c r="J177" s="60" t="s">
        <v>461</v>
      </c>
      <c r="K177" s="78" t="s">
        <v>918</v>
      </c>
      <c r="L177" s="60" t="s">
        <v>578</v>
      </c>
      <c r="M177" s="55" t="s">
        <v>0</v>
      </c>
      <c r="N177" s="2"/>
      <c r="O177" s="58"/>
      <c r="P177" s="60" t="s">
        <v>379</v>
      </c>
      <c r="Q177" s="60" t="s">
        <v>522</v>
      </c>
      <c r="R177" s="85" t="s">
        <v>0</v>
      </c>
      <c r="S177" s="85" t="s">
        <v>0</v>
      </c>
      <c r="T177" s="61" t="s">
        <v>0</v>
      </c>
      <c r="U177" s="60" t="s">
        <v>0</v>
      </c>
      <c r="V177" s="58" t="s">
        <v>0</v>
      </c>
      <c r="W177" s="58" t="s">
        <v>0</v>
      </c>
      <c r="X177" s="58" t="s">
        <v>0</v>
      </c>
      <c r="Y177" s="58" t="s">
        <v>0</v>
      </c>
      <c r="Z177" s="58" t="s">
        <v>473</v>
      </c>
      <c r="AA177" s="58" t="s">
        <v>487</v>
      </c>
      <c r="AB177" s="58" t="s">
        <v>506</v>
      </c>
      <c r="AC177" s="58" t="s">
        <v>473</v>
      </c>
      <c r="AD177" s="58" t="s">
        <v>487</v>
      </c>
      <c r="AE177" s="58" t="s">
        <v>506</v>
      </c>
      <c r="AF177" s="58"/>
      <c r="AG177" s="58"/>
      <c r="AH177" s="58"/>
      <c r="AI177" s="58" t="s">
        <v>0</v>
      </c>
      <c r="AJ177" s="58" t="s">
        <v>0</v>
      </c>
      <c r="AK177" s="1" t="s">
        <v>1255</v>
      </c>
    </row>
    <row r="178" spans="2:37">
      <c r="B178" s="68" t="s">
        <v>0</v>
      </c>
      <c r="C178" s="68" t="s">
        <v>0</v>
      </c>
      <c r="D178" s="68" t="s">
        <v>0</v>
      </c>
      <c r="E178" s="68" t="s">
        <v>0</v>
      </c>
      <c r="F178" s="59" t="s">
        <v>0</v>
      </c>
      <c r="G178" s="55" t="s">
        <v>466</v>
      </c>
      <c r="H178" s="55" t="s">
        <v>1266</v>
      </c>
      <c r="I178" s="55" t="s">
        <v>1271</v>
      </c>
      <c r="J178" s="60" t="s">
        <v>461</v>
      </c>
      <c r="K178" s="78" t="s">
        <v>919</v>
      </c>
      <c r="L178" s="60" t="s">
        <v>608</v>
      </c>
      <c r="M178" s="55" t="s">
        <v>0</v>
      </c>
      <c r="N178" s="2"/>
      <c r="O178" s="58"/>
      <c r="P178" s="60" t="s">
        <v>379</v>
      </c>
      <c r="Q178" s="60" t="s">
        <v>522</v>
      </c>
      <c r="R178" s="85" t="s">
        <v>0</v>
      </c>
      <c r="S178" s="85" t="s">
        <v>0</v>
      </c>
      <c r="T178" s="61" t="s">
        <v>0</v>
      </c>
      <c r="U178" s="60" t="s">
        <v>0</v>
      </c>
      <c r="V178" s="58" t="s">
        <v>0</v>
      </c>
      <c r="W178" s="58" t="s">
        <v>0</v>
      </c>
      <c r="X178" s="58" t="s">
        <v>0</v>
      </c>
      <c r="Y178" s="58" t="s">
        <v>0</v>
      </c>
      <c r="Z178" s="58" t="s">
        <v>479</v>
      </c>
      <c r="AA178" s="58" t="s">
        <v>480</v>
      </c>
      <c r="AB178" s="58" t="s">
        <v>479</v>
      </c>
      <c r="AC178" s="58" t="s">
        <v>480</v>
      </c>
      <c r="AD178" s="58" t="s">
        <v>0</v>
      </c>
      <c r="AE178" s="58" t="s">
        <v>0</v>
      </c>
      <c r="AF178" s="58"/>
      <c r="AG178" s="58"/>
      <c r="AH178" s="58"/>
      <c r="AI178" s="58" t="s">
        <v>0</v>
      </c>
      <c r="AJ178" s="58" t="s">
        <v>0</v>
      </c>
      <c r="AK178" s="1" t="s">
        <v>1255</v>
      </c>
    </row>
    <row r="179" spans="2:37">
      <c r="B179" s="68" t="s">
        <v>0</v>
      </c>
      <c r="C179" s="68" t="s">
        <v>0</v>
      </c>
      <c r="D179" s="68" t="s">
        <v>0</v>
      </c>
      <c r="E179" s="68" t="s">
        <v>0</v>
      </c>
      <c r="F179" s="59" t="s">
        <v>0</v>
      </c>
      <c r="G179" s="55" t="s">
        <v>1262</v>
      </c>
      <c r="H179" s="55" t="s">
        <v>1266</v>
      </c>
      <c r="I179" s="55" t="s">
        <v>1271</v>
      </c>
      <c r="J179" s="60" t="s">
        <v>461</v>
      </c>
      <c r="K179" s="78" t="s">
        <v>920</v>
      </c>
      <c r="L179" s="60" t="s">
        <v>606</v>
      </c>
      <c r="M179" s="55" t="s">
        <v>0</v>
      </c>
      <c r="N179" s="2"/>
      <c r="O179" s="58"/>
      <c r="P179" s="60" t="s">
        <v>379</v>
      </c>
      <c r="Q179" s="60" t="s">
        <v>522</v>
      </c>
      <c r="R179" s="85" t="s">
        <v>0</v>
      </c>
      <c r="S179" s="85" t="s">
        <v>0</v>
      </c>
      <c r="T179" s="61" t="s">
        <v>0</v>
      </c>
      <c r="U179" s="60" t="s">
        <v>0</v>
      </c>
      <c r="V179" s="58" t="s">
        <v>0</v>
      </c>
      <c r="W179" s="58" t="s">
        <v>0</v>
      </c>
      <c r="X179" s="58" t="s">
        <v>0</v>
      </c>
      <c r="Y179" s="58" t="s">
        <v>0</v>
      </c>
      <c r="Z179" s="58" t="s">
        <v>472</v>
      </c>
      <c r="AA179" s="58" t="s">
        <v>525</v>
      </c>
      <c r="AB179" s="58" t="s">
        <v>472</v>
      </c>
      <c r="AC179" s="58" t="s">
        <v>525</v>
      </c>
      <c r="AD179" s="58" t="s">
        <v>0</v>
      </c>
      <c r="AE179" s="58" t="s">
        <v>0</v>
      </c>
      <c r="AF179" s="58"/>
      <c r="AG179" s="58"/>
      <c r="AH179" s="58"/>
      <c r="AI179" s="58" t="s">
        <v>0</v>
      </c>
      <c r="AJ179" s="58" t="s">
        <v>0</v>
      </c>
      <c r="AK179" s="1" t="s">
        <v>1255</v>
      </c>
    </row>
    <row r="180" spans="2:37">
      <c r="B180" s="68" t="s">
        <v>0</v>
      </c>
      <c r="C180" s="68" t="s">
        <v>0</v>
      </c>
      <c r="D180" s="68" t="s">
        <v>0</v>
      </c>
      <c r="E180" s="68" t="s">
        <v>0</v>
      </c>
      <c r="F180" s="59" t="s">
        <v>0</v>
      </c>
      <c r="G180" s="55" t="s">
        <v>466</v>
      </c>
      <c r="H180" s="55" t="s">
        <v>1266</v>
      </c>
      <c r="I180" s="55" t="s">
        <v>1271</v>
      </c>
      <c r="J180" s="60" t="s">
        <v>461</v>
      </c>
      <c r="K180" s="78" t="s">
        <v>921</v>
      </c>
      <c r="L180" s="60" t="s">
        <v>922</v>
      </c>
      <c r="M180" s="55" t="s">
        <v>0</v>
      </c>
      <c r="N180" s="2"/>
      <c r="O180" s="58"/>
      <c r="P180" s="60" t="s">
        <v>379</v>
      </c>
      <c r="Q180" s="60" t="s">
        <v>522</v>
      </c>
      <c r="R180" s="85" t="s">
        <v>0</v>
      </c>
      <c r="S180" s="85" t="s">
        <v>0</v>
      </c>
      <c r="T180" s="61" t="s">
        <v>0</v>
      </c>
      <c r="U180" s="60" t="s">
        <v>0</v>
      </c>
      <c r="V180" s="58" t="s">
        <v>0</v>
      </c>
      <c r="W180" s="58" t="s">
        <v>0</v>
      </c>
      <c r="X180" s="58" t="s">
        <v>0</v>
      </c>
      <c r="Y180" s="58" t="s">
        <v>0</v>
      </c>
      <c r="Z180" s="58" t="s">
        <v>479</v>
      </c>
      <c r="AA180" s="58" t="s">
        <v>479</v>
      </c>
      <c r="AB180" s="58" t="s">
        <v>0</v>
      </c>
      <c r="AC180" s="58" t="s">
        <v>0</v>
      </c>
      <c r="AD180" s="58" t="s">
        <v>0</v>
      </c>
      <c r="AE180" s="58" t="s">
        <v>0</v>
      </c>
      <c r="AF180" s="58"/>
      <c r="AG180" s="58"/>
      <c r="AH180" s="58"/>
      <c r="AI180" s="58" t="s">
        <v>0</v>
      </c>
      <c r="AJ180" s="58" t="s">
        <v>0</v>
      </c>
      <c r="AK180" s="1" t="s">
        <v>1255</v>
      </c>
    </row>
    <row r="181" spans="2:37">
      <c r="B181" s="68" t="s">
        <v>0</v>
      </c>
      <c r="C181" s="68" t="s">
        <v>0</v>
      </c>
      <c r="D181" s="68" t="s">
        <v>0</v>
      </c>
      <c r="E181" s="68" t="s">
        <v>0</v>
      </c>
      <c r="F181" s="59" t="s">
        <v>0</v>
      </c>
      <c r="G181" s="55" t="s">
        <v>1257</v>
      </c>
      <c r="H181" s="55" t="s">
        <v>1266</v>
      </c>
      <c r="I181" s="55" t="s">
        <v>1271</v>
      </c>
      <c r="J181" s="60" t="s">
        <v>461</v>
      </c>
      <c r="K181" s="78" t="s">
        <v>923</v>
      </c>
      <c r="L181" s="60" t="s">
        <v>924</v>
      </c>
      <c r="M181" s="55" t="s">
        <v>0</v>
      </c>
      <c r="N181" s="2"/>
      <c r="O181" s="58"/>
      <c r="P181" s="60" t="s">
        <v>7</v>
      </c>
      <c r="Q181" s="60" t="s">
        <v>522</v>
      </c>
      <c r="R181" s="85" t="s">
        <v>0</v>
      </c>
      <c r="S181" s="85" t="s">
        <v>0</v>
      </c>
      <c r="T181" s="61" t="s">
        <v>0</v>
      </c>
      <c r="U181" s="60" t="s">
        <v>0</v>
      </c>
      <c r="V181" s="58" t="s">
        <v>0</v>
      </c>
      <c r="W181" s="58" t="s">
        <v>0</v>
      </c>
      <c r="X181" s="58" t="s">
        <v>0</v>
      </c>
      <c r="Y181" s="58" t="s">
        <v>0</v>
      </c>
      <c r="Z181" s="58" t="s">
        <v>480</v>
      </c>
      <c r="AA181" s="58" t="s">
        <v>480</v>
      </c>
      <c r="AB181" s="58" t="s">
        <v>0</v>
      </c>
      <c r="AC181" s="58" t="s">
        <v>0</v>
      </c>
      <c r="AD181" s="58" t="s">
        <v>0</v>
      </c>
      <c r="AE181" s="58" t="s">
        <v>0</v>
      </c>
      <c r="AF181" s="58"/>
      <c r="AG181" s="58"/>
      <c r="AH181" s="58"/>
      <c r="AI181" s="58" t="s">
        <v>0</v>
      </c>
      <c r="AJ181" s="58" t="s">
        <v>0</v>
      </c>
      <c r="AK181" s="1" t="s">
        <v>1255</v>
      </c>
    </row>
    <row r="182" spans="2:37">
      <c r="B182" s="68" t="s">
        <v>0</v>
      </c>
      <c r="C182" s="68" t="s">
        <v>0</v>
      </c>
      <c r="D182" s="68" t="s">
        <v>0</v>
      </c>
      <c r="E182" s="68" t="s">
        <v>0</v>
      </c>
      <c r="F182" s="59" t="s">
        <v>0</v>
      </c>
      <c r="G182" s="55" t="s">
        <v>1257</v>
      </c>
      <c r="H182" s="55" t="s">
        <v>1266</v>
      </c>
      <c r="I182" s="55" t="s">
        <v>1271</v>
      </c>
      <c r="J182" s="60" t="s">
        <v>461</v>
      </c>
      <c r="K182" s="78" t="s">
        <v>925</v>
      </c>
      <c r="L182" s="60" t="s">
        <v>633</v>
      </c>
      <c r="M182" s="55" t="s">
        <v>0</v>
      </c>
      <c r="N182" s="2"/>
      <c r="O182" s="58"/>
      <c r="P182" s="60" t="s">
        <v>379</v>
      </c>
      <c r="Q182" s="60" t="s">
        <v>522</v>
      </c>
      <c r="R182" s="85" t="s">
        <v>0</v>
      </c>
      <c r="S182" s="85" t="s">
        <v>0</v>
      </c>
      <c r="T182" s="61" t="s">
        <v>0</v>
      </c>
      <c r="U182" s="60" t="s">
        <v>0</v>
      </c>
      <c r="V182" s="58" t="s">
        <v>0</v>
      </c>
      <c r="W182" s="58" t="s">
        <v>0</v>
      </c>
      <c r="X182" s="58" t="s">
        <v>0</v>
      </c>
      <c r="Y182" s="58" t="s">
        <v>0</v>
      </c>
      <c r="Z182" s="58" t="s">
        <v>479</v>
      </c>
      <c r="AA182" s="58" t="s">
        <v>479</v>
      </c>
      <c r="AB182" s="58" t="s">
        <v>0</v>
      </c>
      <c r="AC182" s="58" t="s">
        <v>0</v>
      </c>
      <c r="AD182" s="58" t="s">
        <v>0</v>
      </c>
      <c r="AE182" s="58" t="s">
        <v>0</v>
      </c>
      <c r="AF182" s="58"/>
      <c r="AG182" s="58"/>
      <c r="AH182" s="58"/>
      <c r="AI182" s="58" t="s">
        <v>0</v>
      </c>
      <c r="AJ182" s="58" t="s">
        <v>0</v>
      </c>
      <c r="AK182" s="1" t="s">
        <v>1255</v>
      </c>
    </row>
    <row r="183" spans="2:37">
      <c r="B183" s="68" t="s">
        <v>0</v>
      </c>
      <c r="C183" s="68" t="s">
        <v>0</v>
      </c>
      <c r="D183" s="68" t="s">
        <v>0</v>
      </c>
      <c r="E183" s="68" t="s">
        <v>0</v>
      </c>
      <c r="F183" s="59" t="s">
        <v>0</v>
      </c>
      <c r="G183" s="55" t="s">
        <v>1257</v>
      </c>
      <c r="H183" s="55" t="s">
        <v>1266</v>
      </c>
      <c r="I183" s="55" t="s">
        <v>1269</v>
      </c>
      <c r="J183" s="60" t="s">
        <v>461</v>
      </c>
      <c r="K183" s="78" t="s">
        <v>926</v>
      </c>
      <c r="L183" s="60" t="s">
        <v>616</v>
      </c>
      <c r="M183" s="55" t="s">
        <v>0</v>
      </c>
      <c r="N183" s="2"/>
      <c r="O183" s="58"/>
      <c r="P183" s="60" t="s">
        <v>379</v>
      </c>
      <c r="Q183" s="60" t="s">
        <v>522</v>
      </c>
      <c r="R183" s="85" t="s">
        <v>0</v>
      </c>
      <c r="S183" s="85" t="s">
        <v>0</v>
      </c>
      <c r="T183" s="61" t="s">
        <v>0</v>
      </c>
      <c r="U183" s="60" t="s">
        <v>0</v>
      </c>
      <c r="V183" s="58" t="s">
        <v>0</v>
      </c>
      <c r="W183" s="58" t="s">
        <v>0</v>
      </c>
      <c r="X183" s="58" t="s">
        <v>0</v>
      </c>
      <c r="Y183" s="58" t="s">
        <v>0</v>
      </c>
      <c r="Z183" s="58" t="s">
        <v>479</v>
      </c>
      <c r="AA183" s="58" t="s">
        <v>480</v>
      </c>
      <c r="AB183" s="58" t="s">
        <v>479</v>
      </c>
      <c r="AC183" s="58" t="s">
        <v>480</v>
      </c>
      <c r="AD183" s="58" t="s">
        <v>0</v>
      </c>
      <c r="AE183" s="58" t="s">
        <v>0</v>
      </c>
      <c r="AF183" s="58"/>
      <c r="AG183" s="58"/>
      <c r="AH183" s="58"/>
      <c r="AI183" s="58" t="s">
        <v>0</v>
      </c>
      <c r="AJ183" s="58" t="s">
        <v>0</v>
      </c>
      <c r="AK183" s="1" t="s">
        <v>1255</v>
      </c>
    </row>
    <row r="184" spans="2:37">
      <c r="B184" s="68" t="s">
        <v>0</v>
      </c>
      <c r="C184" s="68" t="s">
        <v>0</v>
      </c>
      <c r="D184" s="68" t="s">
        <v>0</v>
      </c>
      <c r="E184" s="68" t="s">
        <v>0</v>
      </c>
      <c r="F184" s="59" t="s">
        <v>0</v>
      </c>
      <c r="G184" s="55" t="s">
        <v>1257</v>
      </c>
      <c r="H184" s="55" t="s">
        <v>1266</v>
      </c>
      <c r="I184" s="55" t="s">
        <v>1269</v>
      </c>
      <c r="J184" s="60" t="s">
        <v>461</v>
      </c>
      <c r="K184" s="78" t="s">
        <v>927</v>
      </c>
      <c r="L184" s="60" t="s">
        <v>546</v>
      </c>
      <c r="M184" s="55" t="s">
        <v>0</v>
      </c>
      <c r="N184" s="2"/>
      <c r="O184" s="58"/>
      <c r="P184" s="60" t="s">
        <v>379</v>
      </c>
      <c r="Q184" s="60" t="s">
        <v>522</v>
      </c>
      <c r="R184" s="85" t="s">
        <v>0</v>
      </c>
      <c r="S184" s="85" t="s">
        <v>0</v>
      </c>
      <c r="T184" s="61" t="s">
        <v>0</v>
      </c>
      <c r="U184" s="60" t="s">
        <v>0</v>
      </c>
      <c r="V184" s="58" t="s">
        <v>0</v>
      </c>
      <c r="W184" s="58" t="s">
        <v>0</v>
      </c>
      <c r="X184" s="58" t="s">
        <v>0</v>
      </c>
      <c r="Y184" s="58" t="s">
        <v>0</v>
      </c>
      <c r="Z184" s="58" t="s">
        <v>479</v>
      </c>
      <c r="AA184" s="58" t="s">
        <v>506</v>
      </c>
      <c r="AB184" s="58" t="s">
        <v>479</v>
      </c>
      <c r="AC184" s="58" t="s">
        <v>506</v>
      </c>
      <c r="AD184" s="58" t="s">
        <v>0</v>
      </c>
      <c r="AE184" s="58" t="s">
        <v>0</v>
      </c>
      <c r="AF184" s="58"/>
      <c r="AG184" s="58"/>
      <c r="AH184" s="58"/>
      <c r="AI184" s="58" t="s">
        <v>0</v>
      </c>
      <c r="AJ184" s="58" t="s">
        <v>0</v>
      </c>
      <c r="AK184" s="1" t="s">
        <v>1255</v>
      </c>
    </row>
    <row r="185" spans="2:37">
      <c r="B185" s="68" t="s">
        <v>0</v>
      </c>
      <c r="C185" s="68" t="s">
        <v>0</v>
      </c>
      <c r="D185" s="68" t="s">
        <v>0</v>
      </c>
      <c r="E185" s="68" t="s">
        <v>0</v>
      </c>
      <c r="F185" s="59" t="s">
        <v>0</v>
      </c>
      <c r="G185" s="55" t="s">
        <v>466</v>
      </c>
      <c r="H185" s="55" t="s">
        <v>1266</v>
      </c>
      <c r="I185" s="55" t="s">
        <v>1269</v>
      </c>
      <c r="J185" s="60" t="s">
        <v>461</v>
      </c>
      <c r="K185" s="78" t="s">
        <v>928</v>
      </c>
      <c r="L185" s="60" t="s">
        <v>929</v>
      </c>
      <c r="M185" s="55" t="s">
        <v>0</v>
      </c>
      <c r="N185" s="2"/>
      <c r="O185" s="58"/>
      <c r="P185" s="60" t="s">
        <v>379</v>
      </c>
      <c r="Q185" s="60" t="s">
        <v>522</v>
      </c>
      <c r="R185" s="85" t="s">
        <v>0</v>
      </c>
      <c r="S185" s="85" t="s">
        <v>0</v>
      </c>
      <c r="T185" s="61" t="s">
        <v>0</v>
      </c>
      <c r="U185" s="60" t="s">
        <v>0</v>
      </c>
      <c r="V185" s="58" t="s">
        <v>0</v>
      </c>
      <c r="W185" s="58" t="s">
        <v>0</v>
      </c>
      <c r="X185" s="58" t="s">
        <v>0</v>
      </c>
      <c r="Y185" s="58" t="s">
        <v>0</v>
      </c>
      <c r="Z185" s="58" t="s">
        <v>476</v>
      </c>
      <c r="AA185" s="58" t="s">
        <v>479</v>
      </c>
      <c r="AB185" s="58" t="s">
        <v>480</v>
      </c>
      <c r="AC185" s="58" t="s">
        <v>476</v>
      </c>
      <c r="AD185" s="58" t="s">
        <v>479</v>
      </c>
      <c r="AE185" s="58" t="s">
        <v>480</v>
      </c>
      <c r="AF185" s="58"/>
      <c r="AG185" s="58"/>
      <c r="AH185" s="58"/>
      <c r="AI185" s="58" t="s">
        <v>0</v>
      </c>
      <c r="AJ185" s="58" t="s">
        <v>0</v>
      </c>
      <c r="AK185" s="1" t="s">
        <v>1255</v>
      </c>
    </row>
    <row r="186" spans="2:37">
      <c r="B186" s="68" t="s">
        <v>0</v>
      </c>
      <c r="C186" s="68" t="s">
        <v>0</v>
      </c>
      <c r="D186" s="68" t="s">
        <v>0</v>
      </c>
      <c r="E186" s="68" t="s">
        <v>0</v>
      </c>
      <c r="F186" s="59" t="s">
        <v>0</v>
      </c>
      <c r="G186" s="55" t="s">
        <v>1257</v>
      </c>
      <c r="H186" s="55" t="s">
        <v>1266</v>
      </c>
      <c r="I186" s="55" t="s">
        <v>1269</v>
      </c>
      <c r="J186" s="60" t="s">
        <v>461</v>
      </c>
      <c r="K186" s="78" t="s">
        <v>930</v>
      </c>
      <c r="L186" s="60" t="s">
        <v>931</v>
      </c>
      <c r="M186" s="55" t="s">
        <v>0</v>
      </c>
      <c r="N186" s="2"/>
      <c r="O186" s="58"/>
      <c r="P186" s="60" t="s">
        <v>379</v>
      </c>
      <c r="Q186" s="60" t="s">
        <v>522</v>
      </c>
      <c r="R186" s="85" t="s">
        <v>0</v>
      </c>
      <c r="S186" s="85" t="s">
        <v>0</v>
      </c>
      <c r="T186" s="61" t="s">
        <v>0</v>
      </c>
      <c r="U186" s="60" t="s">
        <v>0</v>
      </c>
      <c r="V186" s="58" t="s">
        <v>0</v>
      </c>
      <c r="W186" s="58" t="s">
        <v>0</v>
      </c>
      <c r="X186" s="58" t="s">
        <v>0</v>
      </c>
      <c r="Y186" s="58" t="s">
        <v>0</v>
      </c>
      <c r="Z186" s="58" t="s">
        <v>472</v>
      </c>
      <c r="AA186" s="58" t="s">
        <v>479</v>
      </c>
      <c r="AB186" s="58" t="s">
        <v>472</v>
      </c>
      <c r="AC186" s="58" t="s">
        <v>479</v>
      </c>
      <c r="AD186" s="58" t="s">
        <v>0</v>
      </c>
      <c r="AE186" s="58" t="s">
        <v>0</v>
      </c>
      <c r="AF186" s="58"/>
      <c r="AG186" s="58"/>
      <c r="AH186" s="58"/>
      <c r="AI186" s="58" t="s">
        <v>0</v>
      </c>
      <c r="AJ186" s="58" t="s">
        <v>0</v>
      </c>
      <c r="AK186" s="1" t="s">
        <v>1255</v>
      </c>
    </row>
    <row r="187" spans="2:37">
      <c r="B187" s="68" t="s">
        <v>0</v>
      </c>
      <c r="C187" s="68" t="s">
        <v>0</v>
      </c>
      <c r="D187" s="68" t="s">
        <v>0</v>
      </c>
      <c r="E187" s="68" t="s">
        <v>0</v>
      </c>
      <c r="F187" s="59" t="s">
        <v>0</v>
      </c>
      <c r="G187" s="55" t="s">
        <v>1257</v>
      </c>
      <c r="H187" s="55" t="s">
        <v>1266</v>
      </c>
      <c r="I187" s="55" t="s">
        <v>1269</v>
      </c>
      <c r="J187" s="60" t="s">
        <v>461</v>
      </c>
      <c r="K187" s="78" t="s">
        <v>932</v>
      </c>
      <c r="L187" s="60" t="s">
        <v>607</v>
      </c>
      <c r="M187" s="55" t="s">
        <v>0</v>
      </c>
      <c r="N187" s="2"/>
      <c r="O187" s="58"/>
      <c r="P187" s="60" t="s">
        <v>379</v>
      </c>
      <c r="Q187" s="60" t="s">
        <v>522</v>
      </c>
      <c r="R187" s="85" t="s">
        <v>0</v>
      </c>
      <c r="S187" s="85" t="s">
        <v>0</v>
      </c>
      <c r="T187" s="61" t="s">
        <v>0</v>
      </c>
      <c r="U187" s="60" t="s">
        <v>0</v>
      </c>
      <c r="V187" s="58" t="s">
        <v>0</v>
      </c>
      <c r="W187" s="58" t="s">
        <v>0</v>
      </c>
      <c r="X187" s="58" t="s">
        <v>0</v>
      </c>
      <c r="Y187" s="58" t="s">
        <v>0</v>
      </c>
      <c r="Z187" s="58" t="s">
        <v>472</v>
      </c>
      <c r="AA187" s="58" t="s">
        <v>479</v>
      </c>
      <c r="AB187" s="58" t="s">
        <v>480</v>
      </c>
      <c r="AC187" s="58" t="s">
        <v>472</v>
      </c>
      <c r="AD187" s="58" t="s">
        <v>479</v>
      </c>
      <c r="AE187" s="58" t="s">
        <v>480</v>
      </c>
      <c r="AF187" s="58"/>
      <c r="AG187" s="58"/>
      <c r="AH187" s="58"/>
      <c r="AI187" s="58" t="s">
        <v>0</v>
      </c>
      <c r="AJ187" s="58" t="s">
        <v>0</v>
      </c>
      <c r="AK187" s="1" t="s">
        <v>1255</v>
      </c>
    </row>
    <row r="188" spans="2:37">
      <c r="B188" s="68" t="s">
        <v>0</v>
      </c>
      <c r="C188" s="68" t="s">
        <v>0</v>
      </c>
      <c r="D188" s="68" t="s">
        <v>0</v>
      </c>
      <c r="E188" s="68" t="s">
        <v>0</v>
      </c>
      <c r="F188" s="59" t="s">
        <v>0</v>
      </c>
      <c r="G188" s="55" t="s">
        <v>1257</v>
      </c>
      <c r="H188" s="55" t="s">
        <v>1266</v>
      </c>
      <c r="I188" s="55" t="s">
        <v>1269</v>
      </c>
      <c r="J188" s="60" t="s">
        <v>461</v>
      </c>
      <c r="K188" s="78" t="s">
        <v>933</v>
      </c>
      <c r="L188" s="60" t="s">
        <v>934</v>
      </c>
      <c r="M188" s="55" t="s">
        <v>0</v>
      </c>
      <c r="N188" s="2"/>
      <c r="O188" s="58"/>
      <c r="P188" s="60" t="s">
        <v>379</v>
      </c>
      <c r="Q188" s="60" t="s">
        <v>522</v>
      </c>
      <c r="R188" s="85" t="s">
        <v>0</v>
      </c>
      <c r="S188" s="85" t="s">
        <v>0</v>
      </c>
      <c r="T188" s="61" t="s">
        <v>0</v>
      </c>
      <c r="U188" s="60" t="s">
        <v>0</v>
      </c>
      <c r="V188" s="58" t="s">
        <v>0</v>
      </c>
      <c r="W188" s="58" t="s">
        <v>0</v>
      </c>
      <c r="X188" s="58" t="s">
        <v>0</v>
      </c>
      <c r="Y188" s="58" t="s">
        <v>0</v>
      </c>
      <c r="Z188" s="58" t="s">
        <v>463</v>
      </c>
      <c r="AA188" s="58" t="s">
        <v>479</v>
      </c>
      <c r="AB188" s="58" t="s">
        <v>463</v>
      </c>
      <c r="AC188" s="58" t="s">
        <v>479</v>
      </c>
      <c r="AD188" s="58" t="s">
        <v>0</v>
      </c>
      <c r="AE188" s="58" t="s">
        <v>0</v>
      </c>
      <c r="AF188" s="58"/>
      <c r="AG188" s="58"/>
      <c r="AH188" s="58"/>
      <c r="AI188" s="58" t="s">
        <v>0</v>
      </c>
      <c r="AJ188" s="58" t="s">
        <v>0</v>
      </c>
      <c r="AK188" s="1" t="s">
        <v>1255</v>
      </c>
    </row>
    <row r="189" spans="2:37">
      <c r="B189" s="68" t="s">
        <v>1264</v>
      </c>
      <c r="C189" s="68">
        <v>46001</v>
      </c>
      <c r="D189" s="68">
        <v>46002</v>
      </c>
      <c r="E189" s="68">
        <v>46007</v>
      </c>
      <c r="F189" s="59">
        <v>6</v>
      </c>
      <c r="G189" s="55" t="s">
        <v>1262</v>
      </c>
      <c r="H189" s="55" t="s">
        <v>1266</v>
      </c>
      <c r="I189" s="55" t="s">
        <v>462</v>
      </c>
      <c r="J189" s="60" t="s">
        <v>461</v>
      </c>
      <c r="K189" s="78" t="s">
        <v>935</v>
      </c>
      <c r="L189" s="60" t="s">
        <v>559</v>
      </c>
      <c r="M189" s="55" t="s">
        <v>624</v>
      </c>
      <c r="N189" s="49" t="s">
        <v>488</v>
      </c>
      <c r="O189" s="49" t="s">
        <v>489</v>
      </c>
      <c r="P189" s="60" t="s">
        <v>5</v>
      </c>
      <c r="Q189" s="60" t="s">
        <v>1053</v>
      </c>
      <c r="R189" s="85">
        <v>46000</v>
      </c>
      <c r="S189" s="85">
        <v>46009</v>
      </c>
      <c r="T189" s="61">
        <v>9</v>
      </c>
      <c r="U189" s="60">
        <v>9</v>
      </c>
      <c r="V189" s="58" t="s">
        <v>1254</v>
      </c>
      <c r="W189" s="58" t="s">
        <v>0</v>
      </c>
      <c r="X189" s="58" t="s">
        <v>0</v>
      </c>
      <c r="Y189" s="58" t="s">
        <v>0</v>
      </c>
      <c r="Z189" s="54" t="s">
        <v>472</v>
      </c>
      <c r="AA189" s="54" t="s">
        <v>520</v>
      </c>
      <c r="AB189" s="54" t="s">
        <v>485</v>
      </c>
      <c r="AC189" s="58" t="s">
        <v>472</v>
      </c>
      <c r="AD189" s="58" t="s">
        <v>520</v>
      </c>
      <c r="AE189" s="58" t="s">
        <v>485</v>
      </c>
      <c r="AF189" s="58"/>
      <c r="AG189" s="58"/>
      <c r="AH189" s="58"/>
      <c r="AI189" s="58">
        <v>2</v>
      </c>
      <c r="AJ189" s="58">
        <v>6</v>
      </c>
      <c r="AK189" s="1" t="s">
        <v>1255</v>
      </c>
    </row>
    <row r="190" spans="2:37">
      <c r="B190" s="68" t="s">
        <v>1264</v>
      </c>
      <c r="C190" s="68">
        <v>46001</v>
      </c>
      <c r="D190" s="68">
        <v>46002</v>
      </c>
      <c r="E190" s="68">
        <v>46007</v>
      </c>
      <c r="F190" s="59">
        <v>6</v>
      </c>
      <c r="G190" s="55" t="s">
        <v>1262</v>
      </c>
      <c r="H190" s="55" t="s">
        <v>1266</v>
      </c>
      <c r="I190" s="55" t="s">
        <v>462</v>
      </c>
      <c r="J190" s="60" t="s">
        <v>461</v>
      </c>
      <c r="K190" s="78" t="s">
        <v>936</v>
      </c>
      <c r="L190" s="60" t="s">
        <v>560</v>
      </c>
      <c r="M190" s="55" t="s">
        <v>624</v>
      </c>
      <c r="N190" s="49" t="s">
        <v>488</v>
      </c>
      <c r="O190" s="49" t="s">
        <v>489</v>
      </c>
      <c r="P190" s="60" t="s">
        <v>5</v>
      </c>
      <c r="Q190" s="60" t="s">
        <v>1053</v>
      </c>
      <c r="R190" s="85">
        <v>46000</v>
      </c>
      <c r="S190" s="85">
        <v>46009</v>
      </c>
      <c r="T190" s="61">
        <v>9</v>
      </c>
      <c r="U190" s="60">
        <v>9</v>
      </c>
      <c r="V190" s="58" t="s">
        <v>1254</v>
      </c>
      <c r="W190" s="58" t="s">
        <v>0</v>
      </c>
      <c r="X190" s="58" t="s">
        <v>0</v>
      </c>
      <c r="Y190" s="58" t="s">
        <v>0</v>
      </c>
      <c r="Z190" s="54" t="s">
        <v>464</v>
      </c>
      <c r="AA190" s="54" t="s">
        <v>485</v>
      </c>
      <c r="AB190" s="58" t="s">
        <v>464</v>
      </c>
      <c r="AC190" s="58" t="s">
        <v>485</v>
      </c>
      <c r="AD190" s="58" t="s">
        <v>0</v>
      </c>
      <c r="AE190" s="58" t="s">
        <v>0</v>
      </c>
      <c r="AF190" s="58"/>
      <c r="AG190" s="58"/>
      <c r="AH190" s="58"/>
      <c r="AI190" s="58">
        <v>2</v>
      </c>
      <c r="AJ190" s="58">
        <v>6</v>
      </c>
      <c r="AK190" s="1" t="s">
        <v>1255</v>
      </c>
    </row>
    <row r="191" spans="2:37">
      <c r="B191" s="68" t="s">
        <v>983</v>
      </c>
      <c r="C191" s="68">
        <v>45960</v>
      </c>
      <c r="D191" s="68">
        <v>45960</v>
      </c>
      <c r="E191" s="68">
        <v>45960</v>
      </c>
      <c r="F191" s="59">
        <v>0</v>
      </c>
      <c r="G191" s="55" t="s">
        <v>1257</v>
      </c>
      <c r="H191" s="55" t="s">
        <v>1266</v>
      </c>
      <c r="I191" s="55" t="s">
        <v>462</v>
      </c>
      <c r="J191" s="60" t="s">
        <v>461</v>
      </c>
      <c r="K191" s="78" t="s">
        <v>650</v>
      </c>
      <c r="L191" s="60" t="s">
        <v>937</v>
      </c>
      <c r="M191" s="55" t="s">
        <v>624</v>
      </c>
      <c r="N191" s="49" t="s">
        <v>488</v>
      </c>
      <c r="O191" s="49" t="s">
        <v>489</v>
      </c>
      <c r="P191" s="60" t="s">
        <v>5</v>
      </c>
      <c r="Q191" s="60" t="s">
        <v>981</v>
      </c>
      <c r="R191" s="85">
        <v>46009</v>
      </c>
      <c r="S191" s="85">
        <v>45964</v>
      </c>
      <c r="T191" s="61">
        <v>4</v>
      </c>
      <c r="U191" s="60">
        <v>-45</v>
      </c>
      <c r="V191" s="58" t="s">
        <v>1254</v>
      </c>
      <c r="W191" s="58" t="s">
        <v>1045</v>
      </c>
      <c r="X191" s="58" t="s">
        <v>1046</v>
      </c>
      <c r="Y191" s="58" t="s">
        <v>1047</v>
      </c>
      <c r="Z191" s="54" t="s">
        <v>464</v>
      </c>
      <c r="AA191" s="54" t="s">
        <v>485</v>
      </c>
      <c r="AB191" s="58" t="s">
        <v>464</v>
      </c>
      <c r="AC191" s="58" t="s">
        <v>485</v>
      </c>
      <c r="AD191" s="58" t="s">
        <v>0</v>
      </c>
      <c r="AE191" s="58" t="s">
        <v>0</v>
      </c>
      <c r="AF191" s="58"/>
      <c r="AG191" s="58"/>
      <c r="AH191" s="58"/>
      <c r="AI191" s="58">
        <v>4</v>
      </c>
      <c r="AJ191" s="58">
        <v>0</v>
      </c>
      <c r="AK191" s="1" t="s">
        <v>1255</v>
      </c>
    </row>
    <row r="192" spans="2:37">
      <c r="B192" s="68" t="s">
        <v>1049</v>
      </c>
      <c r="C192" s="68">
        <v>46002</v>
      </c>
      <c r="D192" s="68">
        <v>46008</v>
      </c>
      <c r="E192" s="68">
        <v>46008</v>
      </c>
      <c r="F192" s="59">
        <v>6</v>
      </c>
      <c r="G192" s="55" t="s">
        <v>1257</v>
      </c>
      <c r="H192" s="55" t="s">
        <v>1266</v>
      </c>
      <c r="I192" s="55" t="s">
        <v>1267</v>
      </c>
      <c r="J192" s="60" t="s">
        <v>461</v>
      </c>
      <c r="K192" s="78" t="s">
        <v>938</v>
      </c>
      <c r="L192" s="60" t="s">
        <v>619</v>
      </c>
      <c r="M192" s="55" t="s">
        <v>624</v>
      </c>
      <c r="N192" s="49" t="s">
        <v>488</v>
      </c>
      <c r="O192" s="49" t="s">
        <v>489</v>
      </c>
      <c r="P192" s="60" t="s">
        <v>3</v>
      </c>
      <c r="Q192" s="60" t="s">
        <v>1049</v>
      </c>
      <c r="R192" s="85">
        <v>46002</v>
      </c>
      <c r="S192" s="85">
        <v>46009</v>
      </c>
      <c r="T192" s="61">
        <v>8</v>
      </c>
      <c r="U192" s="60">
        <v>7</v>
      </c>
      <c r="V192" s="58" t="s">
        <v>1254</v>
      </c>
      <c r="W192" s="58" t="s">
        <v>0</v>
      </c>
      <c r="X192" s="58" t="s">
        <v>0</v>
      </c>
      <c r="Y192" s="58" t="s">
        <v>0</v>
      </c>
      <c r="Z192" s="54" t="s">
        <v>472</v>
      </c>
      <c r="AA192" s="54" t="s">
        <v>485</v>
      </c>
      <c r="AB192" s="58" t="s">
        <v>472</v>
      </c>
      <c r="AC192" s="58" t="s">
        <v>485</v>
      </c>
      <c r="AD192" s="58" t="s">
        <v>0</v>
      </c>
      <c r="AE192" s="58" t="s">
        <v>0</v>
      </c>
      <c r="AF192" s="58"/>
      <c r="AG192" s="58"/>
      <c r="AH192" s="58"/>
      <c r="AI192" s="58">
        <v>1</v>
      </c>
      <c r="AJ192" s="58">
        <v>6</v>
      </c>
      <c r="AK192" s="1" t="s">
        <v>1255</v>
      </c>
    </row>
    <row r="193" spans="2:37">
      <c r="B193" s="68" t="s">
        <v>0</v>
      </c>
      <c r="C193" s="68" t="s">
        <v>0</v>
      </c>
      <c r="D193" s="68" t="s">
        <v>0</v>
      </c>
      <c r="E193" s="68" t="s">
        <v>0</v>
      </c>
      <c r="F193" s="59" t="s">
        <v>0</v>
      </c>
      <c r="G193" s="55" t="s">
        <v>1257</v>
      </c>
      <c r="H193" s="55" t="s">
        <v>1266</v>
      </c>
      <c r="I193" s="55" t="s">
        <v>1269</v>
      </c>
      <c r="J193" s="60" t="s">
        <v>461</v>
      </c>
      <c r="K193" s="78" t="s">
        <v>939</v>
      </c>
      <c r="L193" s="60" t="s">
        <v>940</v>
      </c>
      <c r="M193" s="55" t="s">
        <v>0</v>
      </c>
      <c r="N193" s="2"/>
      <c r="O193" s="58"/>
      <c r="P193" s="60" t="s">
        <v>379</v>
      </c>
      <c r="Q193" s="60" t="s">
        <v>522</v>
      </c>
      <c r="R193" s="85" t="s">
        <v>0</v>
      </c>
      <c r="S193" s="85" t="s">
        <v>0</v>
      </c>
      <c r="T193" s="61" t="s">
        <v>0</v>
      </c>
      <c r="U193" s="60" t="s">
        <v>0</v>
      </c>
      <c r="V193" s="58" t="s">
        <v>0</v>
      </c>
      <c r="W193" s="58" t="s">
        <v>0</v>
      </c>
      <c r="X193" s="58" t="s">
        <v>0</v>
      </c>
      <c r="Y193" s="58" t="s">
        <v>0</v>
      </c>
      <c r="Z193" s="58" t="s">
        <v>471</v>
      </c>
      <c r="AA193" s="58" t="s">
        <v>471</v>
      </c>
      <c r="AB193" s="58" t="s">
        <v>0</v>
      </c>
      <c r="AC193" s="58" t="s">
        <v>0</v>
      </c>
      <c r="AD193" s="58" t="s">
        <v>0</v>
      </c>
      <c r="AE193" s="58" t="s">
        <v>0</v>
      </c>
      <c r="AF193" s="58"/>
      <c r="AG193" s="58"/>
      <c r="AH193" s="58"/>
      <c r="AI193" s="58" t="s">
        <v>0</v>
      </c>
      <c r="AJ193" s="58" t="s">
        <v>0</v>
      </c>
      <c r="AK193" s="1" t="s">
        <v>1255</v>
      </c>
    </row>
    <row r="194" spans="2:37">
      <c r="B194" s="68" t="s">
        <v>1272</v>
      </c>
      <c r="C194" s="68">
        <v>46030</v>
      </c>
      <c r="D194" s="68">
        <v>46043</v>
      </c>
      <c r="E194" s="68">
        <v>46044</v>
      </c>
      <c r="F194" s="59">
        <v>14</v>
      </c>
      <c r="G194" s="55" t="s">
        <v>1257</v>
      </c>
      <c r="H194" s="55" t="s">
        <v>1266</v>
      </c>
      <c r="I194" s="55" t="s">
        <v>1271</v>
      </c>
      <c r="J194" s="60" t="s">
        <v>461</v>
      </c>
      <c r="K194" s="78" t="s">
        <v>941</v>
      </c>
      <c r="L194" s="60" t="s">
        <v>942</v>
      </c>
      <c r="M194" s="55" t="s">
        <v>624</v>
      </c>
      <c r="N194" s="49" t="s">
        <v>488</v>
      </c>
      <c r="O194" s="49" t="s">
        <v>489</v>
      </c>
      <c r="P194" s="60" t="s">
        <v>6</v>
      </c>
      <c r="Q194" s="60" t="s">
        <v>1224</v>
      </c>
      <c r="R194" s="85" t="s">
        <v>0</v>
      </c>
      <c r="S194" s="85" t="s">
        <v>0</v>
      </c>
      <c r="T194" s="61" t="s">
        <v>0</v>
      </c>
      <c r="U194" s="60" t="s">
        <v>0</v>
      </c>
      <c r="V194" s="58" t="s">
        <v>0</v>
      </c>
      <c r="W194" s="58" t="s">
        <v>0</v>
      </c>
      <c r="X194" s="58" t="s">
        <v>0</v>
      </c>
      <c r="Y194" s="58" t="s">
        <v>0</v>
      </c>
      <c r="Z194" s="54" t="s">
        <v>471</v>
      </c>
      <c r="AA194" s="54" t="s">
        <v>464</v>
      </c>
      <c r="AB194" s="58" t="s">
        <v>471</v>
      </c>
      <c r="AC194" s="58" t="s">
        <v>464</v>
      </c>
      <c r="AD194" s="58" t="s">
        <v>0</v>
      </c>
      <c r="AE194" s="58" t="s">
        <v>0</v>
      </c>
      <c r="AF194" s="58"/>
      <c r="AG194" s="58"/>
      <c r="AH194" s="58"/>
      <c r="AI194" s="58" t="s">
        <v>0</v>
      </c>
      <c r="AJ194" s="58"/>
      <c r="AK194" s="1" t="s">
        <v>1255</v>
      </c>
    </row>
    <row r="195" spans="2:37">
      <c r="B195" s="68" t="s">
        <v>0</v>
      </c>
      <c r="C195" s="68" t="s">
        <v>0</v>
      </c>
      <c r="D195" s="68" t="s">
        <v>0</v>
      </c>
      <c r="E195" s="68" t="s">
        <v>0</v>
      </c>
      <c r="F195" s="59" t="s">
        <v>0</v>
      </c>
      <c r="G195" s="55" t="s">
        <v>1257</v>
      </c>
      <c r="H195" s="55" t="s">
        <v>1266</v>
      </c>
      <c r="I195" s="55" t="s">
        <v>1271</v>
      </c>
      <c r="J195" s="60" t="s">
        <v>461</v>
      </c>
      <c r="K195" s="78" t="s">
        <v>943</v>
      </c>
      <c r="L195" s="60" t="s">
        <v>944</v>
      </c>
      <c r="M195" s="55" t="s">
        <v>0</v>
      </c>
      <c r="N195" s="2"/>
      <c r="O195" s="58"/>
      <c r="P195" s="60" t="s">
        <v>379</v>
      </c>
      <c r="Q195" s="60" t="s">
        <v>522</v>
      </c>
      <c r="R195" s="85" t="s">
        <v>0</v>
      </c>
      <c r="S195" s="85" t="s">
        <v>0</v>
      </c>
      <c r="T195" s="61" t="s">
        <v>0</v>
      </c>
      <c r="U195" s="60" t="s">
        <v>0</v>
      </c>
      <c r="V195" s="58" t="s">
        <v>0</v>
      </c>
      <c r="W195" s="58" t="s">
        <v>0</v>
      </c>
      <c r="X195" s="58" t="s">
        <v>0</v>
      </c>
      <c r="Y195" s="58" t="s">
        <v>0</v>
      </c>
      <c r="Z195" s="58" t="s">
        <v>472</v>
      </c>
      <c r="AA195" s="58" t="s">
        <v>464</v>
      </c>
      <c r="AB195" s="58" t="s">
        <v>472</v>
      </c>
      <c r="AC195" s="58" t="s">
        <v>464</v>
      </c>
      <c r="AD195" s="58" t="s">
        <v>0</v>
      </c>
      <c r="AE195" s="58" t="s">
        <v>0</v>
      </c>
      <c r="AF195" s="58"/>
      <c r="AG195" s="58"/>
      <c r="AH195" s="58"/>
      <c r="AI195" s="58" t="s">
        <v>0</v>
      </c>
      <c r="AJ195" s="58" t="s">
        <v>0</v>
      </c>
      <c r="AK195" s="1" t="s">
        <v>1255</v>
      </c>
    </row>
    <row r="196" spans="2:37">
      <c r="B196" s="68" t="s">
        <v>1278</v>
      </c>
      <c r="C196" s="68">
        <v>46036</v>
      </c>
      <c r="D196" s="68">
        <v>0</v>
      </c>
      <c r="E196" s="68">
        <v>0</v>
      </c>
      <c r="F196" s="59">
        <v>-46036</v>
      </c>
      <c r="G196" s="55" t="s">
        <v>1257</v>
      </c>
      <c r="H196" s="55" t="s">
        <v>1266</v>
      </c>
      <c r="I196" s="55" t="s">
        <v>1271</v>
      </c>
      <c r="J196" s="60" t="s">
        <v>461</v>
      </c>
      <c r="K196" s="78" t="s">
        <v>945</v>
      </c>
      <c r="L196" s="60" t="s">
        <v>946</v>
      </c>
      <c r="M196" s="55" t="s">
        <v>624</v>
      </c>
      <c r="N196" s="49" t="s">
        <v>488</v>
      </c>
      <c r="O196" s="49" t="s">
        <v>489</v>
      </c>
      <c r="P196" s="60" t="s">
        <v>7</v>
      </c>
      <c r="Q196" s="60" t="s">
        <v>1250</v>
      </c>
      <c r="R196" s="85" t="s">
        <v>0</v>
      </c>
      <c r="S196" s="85" t="s">
        <v>0</v>
      </c>
      <c r="T196" s="61" t="s">
        <v>0</v>
      </c>
      <c r="U196" s="60" t="s">
        <v>0</v>
      </c>
      <c r="V196" s="58" t="s">
        <v>0</v>
      </c>
      <c r="W196" s="58" t="s">
        <v>0</v>
      </c>
      <c r="X196" s="58" t="s">
        <v>0</v>
      </c>
      <c r="Y196" s="58" t="s">
        <v>0</v>
      </c>
      <c r="Z196" s="54" t="s">
        <v>506</v>
      </c>
      <c r="AA196" s="58" t="s">
        <v>506</v>
      </c>
      <c r="AB196" s="58" t="s">
        <v>0</v>
      </c>
      <c r="AC196" s="58" t="s">
        <v>0</v>
      </c>
      <c r="AD196" s="58" t="s">
        <v>0</v>
      </c>
      <c r="AE196" s="58" t="s">
        <v>0</v>
      </c>
      <c r="AF196" s="58"/>
      <c r="AG196" s="58"/>
      <c r="AH196" s="58"/>
      <c r="AI196" s="58" t="s">
        <v>0</v>
      </c>
      <c r="AJ196" s="58">
        <v>-46036</v>
      </c>
      <c r="AK196" s="1" t="s">
        <v>1255</v>
      </c>
    </row>
    <row r="197" spans="2:37">
      <c r="B197" s="68" t="s">
        <v>0</v>
      </c>
      <c r="C197" s="68" t="s">
        <v>0</v>
      </c>
      <c r="D197" s="68" t="s">
        <v>0</v>
      </c>
      <c r="E197" s="68" t="s">
        <v>0</v>
      </c>
      <c r="F197" s="59" t="s">
        <v>0</v>
      </c>
      <c r="G197" s="55" t="s">
        <v>1257</v>
      </c>
      <c r="H197" s="55" t="s">
        <v>1266</v>
      </c>
      <c r="I197" s="55" t="s">
        <v>1271</v>
      </c>
      <c r="J197" s="60" t="s">
        <v>461</v>
      </c>
      <c r="K197" s="78" t="s">
        <v>947</v>
      </c>
      <c r="L197" s="60" t="s">
        <v>948</v>
      </c>
      <c r="M197" s="55" t="s">
        <v>0</v>
      </c>
      <c r="N197" s="2"/>
      <c r="O197" s="58"/>
      <c r="P197" s="60" t="s">
        <v>6</v>
      </c>
      <c r="Q197" s="60" t="s">
        <v>522</v>
      </c>
      <c r="R197" s="85" t="s">
        <v>0</v>
      </c>
      <c r="S197" s="85" t="s">
        <v>0</v>
      </c>
      <c r="T197" s="61" t="s">
        <v>0</v>
      </c>
      <c r="U197" s="60" t="s">
        <v>0</v>
      </c>
      <c r="V197" s="58" t="s">
        <v>0</v>
      </c>
      <c r="W197" s="58" t="s">
        <v>0</v>
      </c>
      <c r="X197" s="58" t="s">
        <v>0</v>
      </c>
      <c r="Y197" s="58" t="s">
        <v>0</v>
      </c>
      <c r="Z197" s="58" t="s">
        <v>464</v>
      </c>
      <c r="AA197" s="58" t="s">
        <v>508</v>
      </c>
      <c r="AB197" s="58" t="s">
        <v>464</v>
      </c>
      <c r="AC197" s="58" t="s">
        <v>508</v>
      </c>
      <c r="AD197" s="58" t="s">
        <v>0</v>
      </c>
      <c r="AE197" s="58" t="s">
        <v>0</v>
      </c>
      <c r="AF197" s="58"/>
      <c r="AG197" s="58"/>
      <c r="AH197" s="58"/>
      <c r="AI197" s="58" t="s">
        <v>0</v>
      </c>
      <c r="AJ197" s="58" t="s">
        <v>0</v>
      </c>
      <c r="AK197" s="1" t="s">
        <v>1255</v>
      </c>
    </row>
    <row r="198" spans="2:37">
      <c r="B198" s="68" t="s">
        <v>0</v>
      </c>
      <c r="C198" s="68" t="s">
        <v>0</v>
      </c>
      <c r="D198" s="68" t="s">
        <v>0</v>
      </c>
      <c r="E198" s="68" t="s">
        <v>0</v>
      </c>
      <c r="F198" s="59" t="s">
        <v>0</v>
      </c>
      <c r="G198" s="55" t="s">
        <v>1257</v>
      </c>
      <c r="H198" s="55" t="s">
        <v>1266</v>
      </c>
      <c r="I198" s="55" t="s">
        <v>1271</v>
      </c>
      <c r="J198" s="60" t="s">
        <v>461</v>
      </c>
      <c r="K198" s="78" t="s">
        <v>949</v>
      </c>
      <c r="L198" s="60" t="s">
        <v>950</v>
      </c>
      <c r="M198" s="55" t="s">
        <v>0</v>
      </c>
      <c r="N198" s="2"/>
      <c r="O198" s="58"/>
      <c r="P198" s="60" t="s">
        <v>7</v>
      </c>
      <c r="Q198" s="60" t="s">
        <v>522</v>
      </c>
      <c r="R198" s="85" t="s">
        <v>0</v>
      </c>
      <c r="S198" s="85" t="s">
        <v>0</v>
      </c>
      <c r="T198" s="61" t="s">
        <v>0</v>
      </c>
      <c r="U198" s="60" t="s">
        <v>0</v>
      </c>
      <c r="V198" s="58" t="s">
        <v>0</v>
      </c>
      <c r="W198" s="58" t="s">
        <v>0</v>
      </c>
      <c r="X198" s="58" t="s">
        <v>0</v>
      </c>
      <c r="Y198" s="58" t="s">
        <v>0</v>
      </c>
      <c r="Z198" s="58" t="s">
        <v>479</v>
      </c>
      <c r="AA198" s="58" t="s">
        <v>479</v>
      </c>
      <c r="AB198" s="58" t="s">
        <v>0</v>
      </c>
      <c r="AC198" s="58" t="s">
        <v>0</v>
      </c>
      <c r="AD198" s="58" t="s">
        <v>0</v>
      </c>
      <c r="AE198" s="58" t="s">
        <v>0</v>
      </c>
      <c r="AF198" s="58"/>
      <c r="AG198" s="58"/>
      <c r="AH198" s="58"/>
      <c r="AI198" s="58" t="s">
        <v>0</v>
      </c>
      <c r="AJ198" s="58" t="s">
        <v>0</v>
      </c>
      <c r="AK198" s="1" t="s">
        <v>1255</v>
      </c>
    </row>
    <row r="199" spans="2:37">
      <c r="B199" s="68" t="s">
        <v>0</v>
      </c>
      <c r="C199" s="68" t="s">
        <v>0</v>
      </c>
      <c r="D199" s="68" t="s">
        <v>0</v>
      </c>
      <c r="E199" s="68" t="s">
        <v>0</v>
      </c>
      <c r="F199" s="59" t="s">
        <v>0</v>
      </c>
      <c r="G199" s="55" t="s">
        <v>1257</v>
      </c>
      <c r="H199" s="55" t="s">
        <v>1266</v>
      </c>
      <c r="I199" s="55" t="s">
        <v>1271</v>
      </c>
      <c r="J199" s="60" t="s">
        <v>461</v>
      </c>
      <c r="K199" s="78" t="s">
        <v>951</v>
      </c>
      <c r="L199" s="60" t="s">
        <v>1065</v>
      </c>
      <c r="M199" s="55" t="s">
        <v>0</v>
      </c>
      <c r="N199" s="2"/>
      <c r="O199" s="58"/>
      <c r="P199" s="60" t="s">
        <v>5</v>
      </c>
      <c r="Q199" s="60" t="s">
        <v>522</v>
      </c>
      <c r="R199" s="85" t="s">
        <v>0</v>
      </c>
      <c r="S199" s="85" t="s">
        <v>0</v>
      </c>
      <c r="T199" s="61" t="s">
        <v>0</v>
      </c>
      <c r="U199" s="60" t="s">
        <v>0</v>
      </c>
      <c r="V199" s="58" t="s">
        <v>0</v>
      </c>
      <c r="W199" s="58" t="s">
        <v>0</v>
      </c>
      <c r="X199" s="58" t="s">
        <v>0</v>
      </c>
      <c r="Y199" s="58" t="s">
        <v>0</v>
      </c>
      <c r="Z199" s="58" t="s">
        <v>472</v>
      </c>
      <c r="AA199" s="58" t="s">
        <v>469</v>
      </c>
      <c r="AB199" s="58" t="s">
        <v>472</v>
      </c>
      <c r="AC199" s="58" t="s">
        <v>469</v>
      </c>
      <c r="AD199" s="58" t="s">
        <v>0</v>
      </c>
      <c r="AE199" s="58" t="s">
        <v>0</v>
      </c>
      <c r="AF199" s="58"/>
      <c r="AG199" s="58"/>
      <c r="AH199" s="58"/>
      <c r="AI199" s="58" t="s">
        <v>0</v>
      </c>
      <c r="AJ199" s="58" t="s">
        <v>0</v>
      </c>
      <c r="AK199" s="1" t="s">
        <v>1255</v>
      </c>
    </row>
    <row r="200" spans="2:37">
      <c r="B200" s="68" t="s">
        <v>0</v>
      </c>
      <c r="C200" s="68" t="s">
        <v>0</v>
      </c>
      <c r="D200" s="68" t="s">
        <v>0</v>
      </c>
      <c r="E200" s="68" t="s">
        <v>0</v>
      </c>
      <c r="F200" s="59" t="s">
        <v>0</v>
      </c>
      <c r="G200" s="55" t="s">
        <v>1257</v>
      </c>
      <c r="H200" s="55" t="s">
        <v>1266</v>
      </c>
      <c r="I200" s="55" t="s">
        <v>1269</v>
      </c>
      <c r="J200" s="60" t="s">
        <v>461</v>
      </c>
      <c r="K200" s="78" t="s">
        <v>952</v>
      </c>
      <c r="L200" s="60" t="s">
        <v>953</v>
      </c>
      <c r="M200" s="55" t="s">
        <v>0</v>
      </c>
      <c r="N200" s="2"/>
      <c r="O200" s="58"/>
      <c r="P200" s="60" t="s">
        <v>6</v>
      </c>
      <c r="Q200" s="60" t="s">
        <v>522</v>
      </c>
      <c r="R200" s="85" t="s">
        <v>0</v>
      </c>
      <c r="S200" s="85" t="s">
        <v>0</v>
      </c>
      <c r="T200" s="61" t="s">
        <v>0</v>
      </c>
      <c r="U200" s="60" t="s">
        <v>0</v>
      </c>
      <c r="V200" s="58" t="s">
        <v>0</v>
      </c>
      <c r="W200" s="58" t="s">
        <v>0</v>
      </c>
      <c r="X200" s="58" t="s">
        <v>0</v>
      </c>
      <c r="Y200" s="58" t="s">
        <v>0</v>
      </c>
      <c r="Z200" s="58" t="s">
        <v>471</v>
      </c>
      <c r="AA200" s="58" t="s">
        <v>471</v>
      </c>
      <c r="AB200" s="58" t="s">
        <v>0</v>
      </c>
      <c r="AC200" s="58" t="s">
        <v>0</v>
      </c>
      <c r="AD200" s="58" t="s">
        <v>0</v>
      </c>
      <c r="AE200" s="58" t="s">
        <v>0</v>
      </c>
      <c r="AF200" s="58"/>
      <c r="AG200" s="58"/>
      <c r="AH200" s="58"/>
      <c r="AI200" s="58" t="s">
        <v>0</v>
      </c>
      <c r="AJ200" s="58" t="s">
        <v>0</v>
      </c>
      <c r="AK200" s="1" t="s">
        <v>1255</v>
      </c>
    </row>
    <row r="201" spans="2:37">
      <c r="B201" s="68" t="s">
        <v>1260</v>
      </c>
      <c r="C201" s="68">
        <v>46000</v>
      </c>
      <c r="D201" s="68">
        <v>46002</v>
      </c>
      <c r="E201" s="68">
        <v>46007</v>
      </c>
      <c r="F201" s="59">
        <v>7</v>
      </c>
      <c r="G201" s="55" t="s">
        <v>1257</v>
      </c>
      <c r="H201" s="55" t="s">
        <v>1266</v>
      </c>
      <c r="I201" s="55" t="s">
        <v>1267</v>
      </c>
      <c r="J201" s="60" t="s">
        <v>461</v>
      </c>
      <c r="K201" s="78" t="s">
        <v>954</v>
      </c>
      <c r="L201" s="60" t="s">
        <v>535</v>
      </c>
      <c r="M201" s="55" t="s">
        <v>624</v>
      </c>
      <c r="N201" s="49" t="s">
        <v>488</v>
      </c>
      <c r="O201" s="50" t="s">
        <v>490</v>
      </c>
      <c r="P201" s="60" t="s">
        <v>5</v>
      </c>
      <c r="Q201" s="60" t="s">
        <v>1054</v>
      </c>
      <c r="R201" s="85" t="s">
        <v>0</v>
      </c>
      <c r="S201" s="85">
        <v>46009</v>
      </c>
      <c r="T201" s="61">
        <v>10</v>
      </c>
      <c r="U201" s="60" t="s">
        <v>0</v>
      </c>
      <c r="V201" s="58" t="s">
        <v>1254</v>
      </c>
      <c r="W201" s="58" t="s">
        <v>0</v>
      </c>
      <c r="X201" s="58" t="s">
        <v>0</v>
      </c>
      <c r="Y201" s="58" t="s">
        <v>0</v>
      </c>
      <c r="Z201" s="54" t="s">
        <v>470</v>
      </c>
      <c r="AA201" s="54" t="s">
        <v>478</v>
      </c>
      <c r="AB201" s="54" t="s">
        <v>471</v>
      </c>
      <c r="AC201" s="58" t="s">
        <v>483</v>
      </c>
      <c r="AD201" s="54" t="s">
        <v>464</v>
      </c>
      <c r="AE201" s="58" t="s">
        <v>506</v>
      </c>
      <c r="AF201" s="58"/>
      <c r="AG201" s="58"/>
      <c r="AH201" s="58"/>
      <c r="AI201" s="58">
        <v>2</v>
      </c>
      <c r="AJ201" s="58">
        <v>7</v>
      </c>
      <c r="AK201" s="1" t="s">
        <v>1255</v>
      </c>
    </row>
    <row r="202" spans="2:37">
      <c r="B202" s="68" t="s">
        <v>0</v>
      </c>
      <c r="C202" s="68" t="s">
        <v>0</v>
      </c>
      <c r="D202" s="68" t="s">
        <v>0</v>
      </c>
      <c r="E202" s="68" t="s">
        <v>0</v>
      </c>
      <c r="F202" s="59" t="s">
        <v>0</v>
      </c>
      <c r="G202" s="55" t="s">
        <v>1257</v>
      </c>
      <c r="H202" s="55" t="s">
        <v>1266</v>
      </c>
      <c r="I202" s="55" t="s">
        <v>1269</v>
      </c>
      <c r="J202" s="60" t="s">
        <v>461</v>
      </c>
      <c r="K202" s="78" t="s">
        <v>955</v>
      </c>
      <c r="L202" s="60" t="s">
        <v>1039</v>
      </c>
      <c r="M202" s="55" t="s">
        <v>0</v>
      </c>
      <c r="N202" s="2"/>
      <c r="O202" s="58"/>
      <c r="P202" s="60" t="s">
        <v>379</v>
      </c>
      <c r="Q202" s="60" t="s">
        <v>522</v>
      </c>
      <c r="R202" s="85" t="s">
        <v>0</v>
      </c>
      <c r="S202" s="85" t="s">
        <v>0</v>
      </c>
      <c r="T202" s="61" t="s">
        <v>0</v>
      </c>
      <c r="U202" s="60" t="s">
        <v>0</v>
      </c>
      <c r="V202" s="58" t="s">
        <v>0</v>
      </c>
      <c r="W202" s="58" t="s">
        <v>0</v>
      </c>
      <c r="X202" s="58" t="s">
        <v>0</v>
      </c>
      <c r="Y202" s="58" t="s">
        <v>0</v>
      </c>
      <c r="Z202" s="58" t="s">
        <v>471</v>
      </c>
      <c r="AA202" s="58" t="s">
        <v>483</v>
      </c>
      <c r="AB202" s="58" t="s">
        <v>471</v>
      </c>
      <c r="AC202" s="58" t="s">
        <v>483</v>
      </c>
      <c r="AD202" s="58" t="s">
        <v>0</v>
      </c>
      <c r="AE202" s="58" t="s">
        <v>0</v>
      </c>
      <c r="AF202" s="58"/>
      <c r="AG202" s="58"/>
      <c r="AH202" s="58"/>
      <c r="AI202" s="58" t="s">
        <v>0</v>
      </c>
      <c r="AJ202" s="58" t="s">
        <v>0</v>
      </c>
      <c r="AK202" s="1" t="s">
        <v>1255</v>
      </c>
    </row>
    <row r="203" spans="2:37">
      <c r="B203" s="68" t="s">
        <v>0</v>
      </c>
      <c r="C203" s="68" t="s">
        <v>0</v>
      </c>
      <c r="D203" s="68" t="s">
        <v>0</v>
      </c>
      <c r="E203" s="68" t="s">
        <v>0</v>
      </c>
      <c r="F203" s="59" t="s">
        <v>0</v>
      </c>
      <c r="G203" s="55" t="s">
        <v>1257</v>
      </c>
      <c r="H203" s="55" t="s">
        <v>1266</v>
      </c>
      <c r="I203" s="55" t="s">
        <v>1269</v>
      </c>
      <c r="J203" s="60" t="s">
        <v>461</v>
      </c>
      <c r="K203" s="78" t="s">
        <v>956</v>
      </c>
      <c r="L203" s="60" t="s">
        <v>957</v>
      </c>
      <c r="M203" s="55" t="s">
        <v>0</v>
      </c>
      <c r="N203" s="2"/>
      <c r="O203" s="58"/>
      <c r="P203" s="60" t="s">
        <v>379</v>
      </c>
      <c r="Q203" s="60" t="s">
        <v>522</v>
      </c>
      <c r="R203" s="85" t="s">
        <v>0</v>
      </c>
      <c r="S203" s="85" t="s">
        <v>0</v>
      </c>
      <c r="T203" s="61" t="s">
        <v>0</v>
      </c>
      <c r="U203" s="60" t="s">
        <v>0</v>
      </c>
      <c r="V203" s="58" t="s">
        <v>0</v>
      </c>
      <c r="W203" s="58" t="s">
        <v>0</v>
      </c>
      <c r="X203" s="58" t="s">
        <v>0</v>
      </c>
      <c r="Y203" s="58" t="s">
        <v>0</v>
      </c>
      <c r="Z203" s="58" t="s">
        <v>471</v>
      </c>
      <c r="AA203" s="58" t="s">
        <v>467</v>
      </c>
      <c r="AB203" s="58" t="s">
        <v>464</v>
      </c>
      <c r="AC203" s="58" t="s">
        <v>471</v>
      </c>
      <c r="AD203" s="58" t="s">
        <v>467</v>
      </c>
      <c r="AE203" s="58" t="s">
        <v>464</v>
      </c>
      <c r="AF203" s="58"/>
      <c r="AG203" s="58"/>
      <c r="AH203" s="58"/>
      <c r="AI203" s="58" t="s">
        <v>0</v>
      </c>
      <c r="AJ203" s="58" t="s">
        <v>0</v>
      </c>
      <c r="AK203" s="1" t="s">
        <v>1255</v>
      </c>
    </row>
    <row r="204" spans="2:37">
      <c r="B204" s="68" t="s">
        <v>1272</v>
      </c>
      <c r="C204" s="68">
        <v>46030</v>
      </c>
      <c r="D204" s="68">
        <v>46030</v>
      </c>
      <c r="E204" s="68">
        <v>46035</v>
      </c>
      <c r="F204" s="59">
        <v>5</v>
      </c>
      <c r="G204" s="55" t="s">
        <v>1262</v>
      </c>
      <c r="H204" s="55" t="s">
        <v>1266</v>
      </c>
      <c r="I204" s="55" t="s">
        <v>1267</v>
      </c>
      <c r="J204" s="60" t="s">
        <v>461</v>
      </c>
      <c r="K204" s="78" t="s">
        <v>958</v>
      </c>
      <c r="L204" s="60" t="s">
        <v>959</v>
      </c>
      <c r="M204" s="55" t="s">
        <v>624</v>
      </c>
      <c r="N204" s="49" t="s">
        <v>488</v>
      </c>
      <c r="O204" s="49" t="s">
        <v>489</v>
      </c>
      <c r="P204" s="60" t="s">
        <v>5</v>
      </c>
      <c r="Q204" s="60" t="s">
        <v>1224</v>
      </c>
      <c r="R204" s="85" t="s">
        <v>0</v>
      </c>
      <c r="S204" s="85" t="s">
        <v>0</v>
      </c>
      <c r="T204" s="61" t="s">
        <v>0</v>
      </c>
      <c r="U204" s="60" t="s">
        <v>0</v>
      </c>
      <c r="V204" s="58" t="s">
        <v>0</v>
      </c>
      <c r="W204" s="58" t="s">
        <v>0</v>
      </c>
      <c r="X204" s="58" t="s">
        <v>0</v>
      </c>
      <c r="Y204" s="58" t="s">
        <v>0</v>
      </c>
      <c r="Z204" s="54" t="s">
        <v>471</v>
      </c>
      <c r="AA204" s="54" t="s">
        <v>464</v>
      </c>
      <c r="AB204" s="58" t="s">
        <v>471</v>
      </c>
      <c r="AC204" s="58" t="s">
        <v>464</v>
      </c>
      <c r="AD204" s="58" t="s">
        <v>0</v>
      </c>
      <c r="AE204" s="58" t="s">
        <v>0</v>
      </c>
      <c r="AF204" s="58"/>
      <c r="AG204" s="58"/>
      <c r="AH204" s="58"/>
      <c r="AI204" s="58" t="s">
        <v>0</v>
      </c>
      <c r="AJ204" s="58"/>
      <c r="AK204" s="1" t="s">
        <v>1255</v>
      </c>
    </row>
    <row r="205" spans="2:37">
      <c r="B205" s="68" t="s">
        <v>1263</v>
      </c>
      <c r="C205" s="68">
        <v>46031</v>
      </c>
      <c r="D205" s="68">
        <v>46043</v>
      </c>
      <c r="E205" s="68">
        <v>46045</v>
      </c>
      <c r="F205" s="59">
        <v>14</v>
      </c>
      <c r="G205" s="55" t="s">
        <v>1262</v>
      </c>
      <c r="H205" s="55" t="s">
        <v>1266</v>
      </c>
      <c r="I205" s="55" t="s">
        <v>1271</v>
      </c>
      <c r="J205" s="60" t="s">
        <v>461</v>
      </c>
      <c r="K205" s="78" t="s">
        <v>960</v>
      </c>
      <c r="L205" s="60" t="s">
        <v>625</v>
      </c>
      <c r="M205" s="55" t="s">
        <v>624</v>
      </c>
      <c r="N205" s="49" t="s">
        <v>488</v>
      </c>
      <c r="O205" s="49" t="s">
        <v>489</v>
      </c>
      <c r="P205" s="60" t="s">
        <v>5</v>
      </c>
      <c r="Q205" s="60" t="s">
        <v>1249</v>
      </c>
      <c r="R205" s="85">
        <v>46030</v>
      </c>
      <c r="S205" s="85" t="s">
        <v>0</v>
      </c>
      <c r="T205" s="61" t="s">
        <v>0</v>
      </c>
      <c r="U205" s="60" t="s">
        <v>0</v>
      </c>
      <c r="V205" s="58" t="s">
        <v>0</v>
      </c>
      <c r="W205" s="58" t="s">
        <v>0</v>
      </c>
      <c r="X205" s="58" t="s">
        <v>0</v>
      </c>
      <c r="Y205" s="58" t="s">
        <v>0</v>
      </c>
      <c r="Z205" s="54" t="s">
        <v>474</v>
      </c>
      <c r="AA205" s="54" t="s">
        <v>464</v>
      </c>
      <c r="AB205" s="58" t="s">
        <v>474</v>
      </c>
      <c r="AC205" s="58" t="s">
        <v>464</v>
      </c>
      <c r="AD205" s="58" t="s">
        <v>0</v>
      </c>
      <c r="AE205" s="58" t="s">
        <v>0</v>
      </c>
      <c r="AF205" s="58"/>
      <c r="AG205" s="58"/>
      <c r="AH205" s="58"/>
      <c r="AI205" s="58" t="s">
        <v>0</v>
      </c>
      <c r="AJ205" s="58"/>
      <c r="AK205" s="1" t="s">
        <v>1255</v>
      </c>
    </row>
    <row r="206" spans="2:37">
      <c r="B206" s="68" t="s">
        <v>1274</v>
      </c>
      <c r="C206" s="68">
        <v>46037</v>
      </c>
      <c r="D206" s="68">
        <v>0</v>
      </c>
      <c r="E206" s="68">
        <v>0</v>
      </c>
      <c r="F206" s="59">
        <v>-46037</v>
      </c>
      <c r="G206" s="55" t="s">
        <v>1257</v>
      </c>
      <c r="H206" s="55" t="s">
        <v>1266</v>
      </c>
      <c r="I206" s="55" t="s">
        <v>1271</v>
      </c>
      <c r="J206" s="60" t="s">
        <v>461</v>
      </c>
      <c r="K206" s="78" t="s">
        <v>961</v>
      </c>
      <c r="L206" s="60" t="s">
        <v>962</v>
      </c>
      <c r="M206" s="55" t="s">
        <v>624</v>
      </c>
      <c r="N206" s="49" t="s">
        <v>488</v>
      </c>
      <c r="O206" s="49" t="s">
        <v>489</v>
      </c>
      <c r="P206" s="60" t="s">
        <v>5</v>
      </c>
      <c r="Q206" s="60" t="s">
        <v>1247</v>
      </c>
      <c r="R206" s="85" t="s">
        <v>0</v>
      </c>
      <c r="S206" s="85" t="s">
        <v>0</v>
      </c>
      <c r="T206" s="61" t="s">
        <v>0</v>
      </c>
      <c r="U206" s="60" t="s">
        <v>0</v>
      </c>
      <c r="V206" s="58" t="s">
        <v>0</v>
      </c>
      <c r="W206" s="58" t="s">
        <v>0</v>
      </c>
      <c r="X206" s="58" t="s">
        <v>0</v>
      </c>
      <c r="Y206" s="58" t="s">
        <v>0</v>
      </c>
      <c r="Z206" s="54" t="s">
        <v>474</v>
      </c>
      <c r="AA206" s="54" t="s">
        <v>464</v>
      </c>
      <c r="AB206" s="54" t="s">
        <v>487</v>
      </c>
      <c r="AC206" s="58" t="s">
        <v>474</v>
      </c>
      <c r="AD206" s="58" t="s">
        <v>464</v>
      </c>
      <c r="AE206" s="58" t="s">
        <v>487</v>
      </c>
      <c r="AF206" s="58"/>
      <c r="AG206" s="58"/>
      <c r="AH206" s="58"/>
      <c r="AI206" s="58" t="s">
        <v>0</v>
      </c>
      <c r="AJ206" s="58">
        <v>-46037</v>
      </c>
      <c r="AK206" s="1" t="s">
        <v>1255</v>
      </c>
    </row>
    <row r="207" spans="2:37">
      <c r="B207" s="68" t="s">
        <v>0</v>
      </c>
      <c r="C207" s="68" t="s">
        <v>0</v>
      </c>
      <c r="D207" s="68" t="s">
        <v>0</v>
      </c>
      <c r="E207" s="68" t="s">
        <v>0</v>
      </c>
      <c r="F207" s="59" t="s">
        <v>0</v>
      </c>
      <c r="G207" s="55" t="s">
        <v>1262</v>
      </c>
      <c r="H207" s="55" t="s">
        <v>1266</v>
      </c>
      <c r="I207" s="55" t="s">
        <v>1271</v>
      </c>
      <c r="J207" s="60" t="s">
        <v>461</v>
      </c>
      <c r="K207" s="78" t="s">
        <v>963</v>
      </c>
      <c r="L207" s="60" t="s">
        <v>964</v>
      </c>
      <c r="M207" s="55" t="s">
        <v>0</v>
      </c>
      <c r="N207" s="2"/>
      <c r="O207" s="58"/>
      <c r="P207" s="60" t="s">
        <v>379</v>
      </c>
      <c r="Q207" s="60" t="s">
        <v>522</v>
      </c>
      <c r="R207" s="85" t="s">
        <v>0</v>
      </c>
      <c r="S207" s="85" t="s">
        <v>0</v>
      </c>
      <c r="T207" s="61" t="s">
        <v>0</v>
      </c>
      <c r="U207" s="60" t="s">
        <v>0</v>
      </c>
      <c r="V207" s="58" t="s">
        <v>0</v>
      </c>
      <c r="W207" s="58" t="s">
        <v>0</v>
      </c>
      <c r="X207" s="58" t="s">
        <v>0</v>
      </c>
      <c r="Y207" s="58" t="s">
        <v>0</v>
      </c>
      <c r="Z207" s="58" t="s">
        <v>484</v>
      </c>
      <c r="AA207" s="58" t="s">
        <v>464</v>
      </c>
      <c r="AB207" s="58" t="s">
        <v>484</v>
      </c>
      <c r="AC207" s="58" t="s">
        <v>464</v>
      </c>
      <c r="AD207" s="58" t="s">
        <v>0</v>
      </c>
      <c r="AE207" s="58" t="s">
        <v>0</v>
      </c>
      <c r="AF207" s="58"/>
      <c r="AG207" s="58"/>
      <c r="AH207" s="58"/>
      <c r="AI207" s="58" t="s">
        <v>0</v>
      </c>
      <c r="AJ207" s="58" t="s">
        <v>0</v>
      </c>
      <c r="AK207" s="1" t="s">
        <v>1255</v>
      </c>
    </row>
    <row r="208" spans="2:37">
      <c r="B208" s="68" t="s">
        <v>1049</v>
      </c>
      <c r="C208" s="68">
        <v>46002</v>
      </c>
      <c r="D208" s="68">
        <v>46008</v>
      </c>
      <c r="E208" s="68">
        <v>46008</v>
      </c>
      <c r="F208" s="59">
        <v>6</v>
      </c>
      <c r="G208" s="55" t="s">
        <v>1262</v>
      </c>
      <c r="H208" s="55" t="s">
        <v>1266</v>
      </c>
      <c r="I208" s="55" t="s">
        <v>1267</v>
      </c>
      <c r="J208" s="60" t="s">
        <v>461</v>
      </c>
      <c r="K208" s="78" t="s">
        <v>965</v>
      </c>
      <c r="L208" s="60" t="s">
        <v>966</v>
      </c>
      <c r="M208" s="55" t="s">
        <v>624</v>
      </c>
      <c r="N208" s="49" t="s">
        <v>488</v>
      </c>
      <c r="O208" s="49" t="s">
        <v>489</v>
      </c>
      <c r="P208" s="60" t="s">
        <v>6</v>
      </c>
      <c r="Q208" s="60" t="s">
        <v>1049</v>
      </c>
      <c r="R208" s="85">
        <v>46013</v>
      </c>
      <c r="S208" s="85">
        <v>46009</v>
      </c>
      <c r="T208" s="61">
        <v>8</v>
      </c>
      <c r="U208" s="60">
        <v>-4</v>
      </c>
      <c r="V208" s="58" t="s">
        <v>1254</v>
      </c>
      <c r="W208" s="58" t="s">
        <v>0</v>
      </c>
      <c r="X208" s="58" t="s">
        <v>0</v>
      </c>
      <c r="Y208" s="58" t="s">
        <v>0</v>
      </c>
      <c r="Z208" s="54" t="s">
        <v>472</v>
      </c>
      <c r="AA208" s="54" t="s">
        <v>479</v>
      </c>
      <c r="AB208" s="54" t="s">
        <v>480</v>
      </c>
      <c r="AC208" s="58" t="s">
        <v>472</v>
      </c>
      <c r="AD208" s="58" t="s">
        <v>479</v>
      </c>
      <c r="AE208" s="58" t="s">
        <v>480</v>
      </c>
      <c r="AF208" s="58"/>
      <c r="AG208" s="58"/>
      <c r="AH208" s="58"/>
      <c r="AI208" s="58">
        <v>1</v>
      </c>
      <c r="AJ208" s="58">
        <v>6</v>
      </c>
      <c r="AK208" s="1" t="s">
        <v>1255</v>
      </c>
    </row>
    <row r="209" spans="2:37">
      <c r="B209" s="68" t="s">
        <v>1256</v>
      </c>
      <c r="C209" s="68">
        <v>45996</v>
      </c>
      <c r="D209" s="68">
        <v>45999</v>
      </c>
      <c r="E209" s="68">
        <v>46000</v>
      </c>
      <c r="F209" s="59">
        <v>4</v>
      </c>
      <c r="G209" s="55" t="s">
        <v>1257</v>
      </c>
      <c r="H209" s="55" t="s">
        <v>1266</v>
      </c>
      <c r="I209" s="55" t="s">
        <v>1267</v>
      </c>
      <c r="J209" s="60" t="s">
        <v>461</v>
      </c>
      <c r="K209" s="78" t="s">
        <v>967</v>
      </c>
      <c r="L209" s="60" t="s">
        <v>968</v>
      </c>
      <c r="M209" s="55" t="s">
        <v>624</v>
      </c>
      <c r="N209" s="49" t="s">
        <v>488</v>
      </c>
      <c r="O209" s="49" t="s">
        <v>489</v>
      </c>
      <c r="P209" s="60" t="s">
        <v>6</v>
      </c>
      <c r="Q209" s="60" t="s">
        <v>1050</v>
      </c>
      <c r="R209" s="85">
        <v>46009</v>
      </c>
      <c r="S209" s="85">
        <v>46001</v>
      </c>
      <c r="T209" s="61">
        <v>6</v>
      </c>
      <c r="U209" s="60">
        <v>-8</v>
      </c>
      <c r="V209" s="58" t="s">
        <v>1254</v>
      </c>
      <c r="W209" s="58" t="s">
        <v>0</v>
      </c>
      <c r="X209" s="58" t="s">
        <v>0</v>
      </c>
      <c r="Y209" s="58" t="s">
        <v>0</v>
      </c>
      <c r="Z209" s="54" t="s">
        <v>479</v>
      </c>
      <c r="AA209" s="54" t="s">
        <v>480</v>
      </c>
      <c r="AB209" s="58" t="s">
        <v>479</v>
      </c>
      <c r="AC209" s="58" t="s">
        <v>480</v>
      </c>
      <c r="AD209" s="58" t="s">
        <v>0</v>
      </c>
      <c r="AE209" s="58" t="s">
        <v>0</v>
      </c>
      <c r="AF209" s="58"/>
      <c r="AG209" s="58"/>
      <c r="AH209" s="58"/>
      <c r="AI209" s="58">
        <v>1</v>
      </c>
      <c r="AJ209" s="58">
        <v>4</v>
      </c>
      <c r="AK209" s="1" t="s">
        <v>1255</v>
      </c>
    </row>
    <row r="210" spans="2:37">
      <c r="B210" s="68" t="s">
        <v>0</v>
      </c>
      <c r="C210" s="68" t="s">
        <v>0</v>
      </c>
      <c r="D210" s="68" t="s">
        <v>0</v>
      </c>
      <c r="E210" s="68" t="s">
        <v>0</v>
      </c>
      <c r="F210" s="59" t="s">
        <v>0</v>
      </c>
      <c r="G210" s="55" t="s">
        <v>1262</v>
      </c>
      <c r="H210" s="55" t="s">
        <v>1266</v>
      </c>
      <c r="I210" s="55" t="s">
        <v>1267</v>
      </c>
      <c r="J210" s="60" t="s">
        <v>461</v>
      </c>
      <c r="K210" s="78" t="s">
        <v>969</v>
      </c>
      <c r="L210" s="60" t="e">
        <v>#N/A</v>
      </c>
      <c r="M210" s="55" t="s">
        <v>0</v>
      </c>
      <c r="N210" s="2"/>
      <c r="O210" s="58"/>
      <c r="P210" s="60" t="e">
        <v>#N/A</v>
      </c>
      <c r="Q210" s="60" t="e">
        <v>#N/A</v>
      </c>
      <c r="R210" s="85" t="s">
        <v>0</v>
      </c>
      <c r="S210" s="85" t="s">
        <v>0</v>
      </c>
      <c r="T210" s="61" t="s">
        <v>0</v>
      </c>
      <c r="U210" s="60" t="s">
        <v>0</v>
      </c>
      <c r="V210" s="58" t="s">
        <v>0</v>
      </c>
      <c r="W210" s="58" t="s">
        <v>0</v>
      </c>
      <c r="X210" s="58" t="s">
        <v>0</v>
      </c>
      <c r="Y210" s="58" t="s">
        <v>0</v>
      </c>
      <c r="Z210" s="58" t="s">
        <v>0</v>
      </c>
      <c r="AA210" s="58" t="s">
        <v>0</v>
      </c>
      <c r="AB210" s="58" t="s">
        <v>0</v>
      </c>
      <c r="AC210" s="58" t="s">
        <v>0</v>
      </c>
      <c r="AD210" s="58" t="s">
        <v>0</v>
      </c>
      <c r="AE210" s="58" t="s">
        <v>0</v>
      </c>
      <c r="AF210" s="58"/>
      <c r="AG210" s="58"/>
      <c r="AH210" s="58"/>
      <c r="AI210" s="58" t="s">
        <v>0</v>
      </c>
      <c r="AJ210" s="58" t="s">
        <v>0</v>
      </c>
      <c r="AK210" s="1" t="s">
        <v>1255</v>
      </c>
    </row>
    <row r="211" spans="2:37">
      <c r="B211" s="68" t="s">
        <v>0</v>
      </c>
      <c r="C211" s="68" t="s">
        <v>0</v>
      </c>
      <c r="D211" s="68" t="s">
        <v>0</v>
      </c>
      <c r="E211" s="68" t="s">
        <v>0</v>
      </c>
      <c r="F211" s="59" t="s">
        <v>0</v>
      </c>
      <c r="G211" s="55" t="s">
        <v>1257</v>
      </c>
      <c r="H211" s="55" t="s">
        <v>1266</v>
      </c>
      <c r="I211" s="55" t="s">
        <v>1267</v>
      </c>
      <c r="J211" s="60" t="s">
        <v>461</v>
      </c>
      <c r="K211" s="78" t="s">
        <v>970</v>
      </c>
      <c r="L211" s="60" t="s">
        <v>971</v>
      </c>
      <c r="M211" s="55" t="s">
        <v>0</v>
      </c>
      <c r="N211" s="2"/>
      <c r="O211" s="58"/>
      <c r="P211" s="60" t="s">
        <v>379</v>
      </c>
      <c r="Q211" s="60" t="s">
        <v>522</v>
      </c>
      <c r="R211" s="85" t="s">
        <v>0</v>
      </c>
      <c r="S211" s="85" t="s">
        <v>0</v>
      </c>
      <c r="T211" s="61" t="s">
        <v>0</v>
      </c>
      <c r="U211" s="60" t="s">
        <v>0</v>
      </c>
      <c r="V211" s="58" t="s">
        <v>0</v>
      </c>
      <c r="W211" s="58" t="s">
        <v>0</v>
      </c>
      <c r="X211" s="58" t="s">
        <v>0</v>
      </c>
      <c r="Y211" s="58" t="s">
        <v>0</v>
      </c>
      <c r="Z211" s="58" t="s">
        <v>479</v>
      </c>
      <c r="AA211" s="58" t="s">
        <v>479</v>
      </c>
      <c r="AB211" s="58" t="s">
        <v>0</v>
      </c>
      <c r="AC211" s="58" t="s">
        <v>0</v>
      </c>
      <c r="AD211" s="58" t="s">
        <v>0</v>
      </c>
      <c r="AE211" s="58" t="s">
        <v>0</v>
      </c>
      <c r="AF211" s="58"/>
      <c r="AG211" s="58"/>
      <c r="AH211" s="58"/>
      <c r="AI211" s="58" t="s">
        <v>0</v>
      </c>
      <c r="AJ211" s="58" t="s">
        <v>0</v>
      </c>
      <c r="AK211" s="1" t="s">
        <v>1255</v>
      </c>
    </row>
    <row r="212" spans="2:37">
      <c r="B212" s="68" t="s">
        <v>0</v>
      </c>
      <c r="C212" s="68" t="s">
        <v>0</v>
      </c>
      <c r="D212" s="68" t="s">
        <v>0</v>
      </c>
      <c r="E212" s="68" t="s">
        <v>0</v>
      </c>
      <c r="F212" s="59" t="s">
        <v>0</v>
      </c>
      <c r="G212" s="55" t="s">
        <v>1262</v>
      </c>
      <c r="H212" s="55" t="s">
        <v>1266</v>
      </c>
      <c r="I212" s="55" t="s">
        <v>1269</v>
      </c>
      <c r="J212" s="60" t="s">
        <v>461</v>
      </c>
      <c r="K212" s="78" t="s">
        <v>972</v>
      </c>
      <c r="L212" s="60" t="s">
        <v>548</v>
      </c>
      <c r="M212" s="55" t="s">
        <v>0</v>
      </c>
      <c r="N212" s="2"/>
      <c r="O212" s="58"/>
      <c r="P212" s="60" t="s">
        <v>379</v>
      </c>
      <c r="Q212" s="60" t="s">
        <v>522</v>
      </c>
      <c r="R212" s="85" t="s">
        <v>0</v>
      </c>
      <c r="S212" s="85" t="s">
        <v>0</v>
      </c>
      <c r="T212" s="61" t="s">
        <v>0</v>
      </c>
      <c r="U212" s="60" t="s">
        <v>0</v>
      </c>
      <c r="V212" s="58" t="s">
        <v>0</v>
      </c>
      <c r="W212" s="58" t="s">
        <v>0</v>
      </c>
      <c r="X212" s="58" t="s">
        <v>0</v>
      </c>
      <c r="Y212" s="58" t="s">
        <v>0</v>
      </c>
      <c r="Z212" s="58" t="s">
        <v>476</v>
      </c>
      <c r="AA212" s="58" t="s">
        <v>479</v>
      </c>
      <c r="AB212" s="58" t="s">
        <v>480</v>
      </c>
      <c r="AC212" s="58" t="s">
        <v>476</v>
      </c>
      <c r="AD212" s="58" t="s">
        <v>479</v>
      </c>
      <c r="AE212" s="58" t="s">
        <v>480</v>
      </c>
      <c r="AF212" s="58"/>
      <c r="AG212" s="58"/>
      <c r="AH212" s="58"/>
      <c r="AI212" s="58" t="s">
        <v>0</v>
      </c>
      <c r="AJ212" s="58" t="s">
        <v>0</v>
      </c>
      <c r="AK212" s="1" t="s">
        <v>1255</v>
      </c>
    </row>
    <row r="213" spans="2:37">
      <c r="B213" s="68" t="s">
        <v>0</v>
      </c>
      <c r="C213" s="68" t="s">
        <v>0</v>
      </c>
      <c r="D213" s="68" t="s">
        <v>0</v>
      </c>
      <c r="E213" s="68" t="s">
        <v>0</v>
      </c>
      <c r="F213" s="59" t="s">
        <v>0</v>
      </c>
      <c r="G213" s="55" t="s">
        <v>1257</v>
      </c>
      <c r="H213" s="55" t="s">
        <v>1266</v>
      </c>
      <c r="I213" s="55" t="s">
        <v>1269</v>
      </c>
      <c r="J213" s="60" t="s">
        <v>461</v>
      </c>
      <c r="K213" s="78" t="s">
        <v>973</v>
      </c>
      <c r="L213" s="60" t="s">
        <v>612</v>
      </c>
      <c r="M213" s="55" t="s">
        <v>0</v>
      </c>
      <c r="N213" s="2"/>
      <c r="O213" s="58"/>
      <c r="P213" s="60" t="s">
        <v>379</v>
      </c>
      <c r="Q213" s="60" t="s">
        <v>522</v>
      </c>
      <c r="R213" s="85" t="s">
        <v>0</v>
      </c>
      <c r="S213" s="85" t="s">
        <v>0</v>
      </c>
      <c r="T213" s="61" t="s">
        <v>0</v>
      </c>
      <c r="U213" s="60" t="s">
        <v>0</v>
      </c>
      <c r="V213" s="58" t="s">
        <v>0</v>
      </c>
      <c r="W213" s="58" t="s">
        <v>0</v>
      </c>
      <c r="X213" s="58" t="s">
        <v>0</v>
      </c>
      <c r="Y213" s="58" t="s">
        <v>0</v>
      </c>
      <c r="Z213" s="58" t="s">
        <v>479</v>
      </c>
      <c r="AA213" s="58" t="s">
        <v>480</v>
      </c>
      <c r="AB213" s="58" t="s">
        <v>479</v>
      </c>
      <c r="AC213" s="58" t="s">
        <v>480</v>
      </c>
      <c r="AD213" s="58" t="s">
        <v>0</v>
      </c>
      <c r="AE213" s="58" t="s">
        <v>0</v>
      </c>
      <c r="AF213" s="58"/>
      <c r="AG213" s="58"/>
      <c r="AH213" s="58"/>
      <c r="AI213" s="58" t="s">
        <v>0</v>
      </c>
      <c r="AJ213" s="58" t="s">
        <v>0</v>
      </c>
      <c r="AK213" s="1" t="s">
        <v>1255</v>
      </c>
    </row>
    <row r="214" spans="2:37">
      <c r="B214" s="68" t="s">
        <v>1273</v>
      </c>
      <c r="C214" s="68">
        <v>46029</v>
      </c>
      <c r="D214" s="68">
        <v>46037</v>
      </c>
      <c r="E214" s="68">
        <v>46042</v>
      </c>
      <c r="F214" s="59">
        <v>13</v>
      </c>
      <c r="G214" s="55" t="s">
        <v>1257</v>
      </c>
      <c r="H214" s="55" t="s">
        <v>1266</v>
      </c>
      <c r="I214" s="55" t="s">
        <v>1267</v>
      </c>
      <c r="J214" s="60" t="s">
        <v>461</v>
      </c>
      <c r="K214" s="78" t="s">
        <v>974</v>
      </c>
      <c r="L214" s="60" t="s">
        <v>613</v>
      </c>
      <c r="M214" s="55" t="s">
        <v>624</v>
      </c>
      <c r="N214" s="49" t="s">
        <v>488</v>
      </c>
      <c r="O214" s="49" t="s">
        <v>489</v>
      </c>
      <c r="P214" s="60" t="s">
        <v>5</v>
      </c>
      <c r="Q214" s="60" t="s">
        <v>1226</v>
      </c>
      <c r="R214" s="85" t="s">
        <v>0</v>
      </c>
      <c r="S214" s="85" t="s">
        <v>0</v>
      </c>
      <c r="T214" s="61" t="s">
        <v>0</v>
      </c>
      <c r="U214" s="60" t="s">
        <v>0</v>
      </c>
      <c r="V214" s="58" t="s">
        <v>0</v>
      </c>
      <c r="W214" s="58" t="s">
        <v>0</v>
      </c>
      <c r="X214" s="58" t="s">
        <v>0</v>
      </c>
      <c r="Y214" s="58" t="s">
        <v>0</v>
      </c>
      <c r="Z214" s="54" t="s">
        <v>470</v>
      </c>
      <c r="AA214" s="54" t="s">
        <v>467</v>
      </c>
      <c r="AB214" s="54" t="s">
        <v>483</v>
      </c>
      <c r="AC214" s="58" t="s">
        <v>470</v>
      </c>
      <c r="AD214" s="58" t="s">
        <v>467</v>
      </c>
      <c r="AE214" s="58" t="s">
        <v>483</v>
      </c>
      <c r="AF214" s="58"/>
      <c r="AG214" s="58"/>
      <c r="AH214" s="58"/>
      <c r="AI214" s="58" t="s">
        <v>0</v>
      </c>
      <c r="AJ214" s="58"/>
      <c r="AK214" s="1" t="s">
        <v>1255</v>
      </c>
    </row>
    <row r="215" spans="2:37">
      <c r="B215" s="68" t="s">
        <v>1260</v>
      </c>
      <c r="C215" s="68">
        <v>46000</v>
      </c>
      <c r="D215" s="68">
        <v>46002</v>
      </c>
      <c r="E215" s="68">
        <v>46007</v>
      </c>
      <c r="F215" s="59">
        <v>7</v>
      </c>
      <c r="G215" s="55" t="s">
        <v>1262</v>
      </c>
      <c r="H215" s="55" t="s">
        <v>1266</v>
      </c>
      <c r="I215" s="55" t="s">
        <v>1267</v>
      </c>
      <c r="J215" s="60" t="s">
        <v>461</v>
      </c>
      <c r="K215" s="78" t="s">
        <v>975</v>
      </c>
      <c r="L215" s="60" t="s">
        <v>549</v>
      </c>
      <c r="M215" s="55" t="s">
        <v>624</v>
      </c>
      <c r="N215" s="49" t="s">
        <v>488</v>
      </c>
      <c r="O215" s="49" t="s">
        <v>489</v>
      </c>
      <c r="P215" s="60" t="s">
        <v>5</v>
      </c>
      <c r="Q215" s="60" t="s">
        <v>1054</v>
      </c>
      <c r="R215" s="85">
        <v>46014</v>
      </c>
      <c r="S215" s="85">
        <v>46009</v>
      </c>
      <c r="T215" s="61">
        <v>10</v>
      </c>
      <c r="U215" s="60">
        <v>-5</v>
      </c>
      <c r="V215" s="58" t="s">
        <v>1254</v>
      </c>
      <c r="W215" s="58" t="s">
        <v>0</v>
      </c>
      <c r="X215" s="58" t="s">
        <v>0</v>
      </c>
      <c r="Y215" s="58" t="s">
        <v>0</v>
      </c>
      <c r="Z215" s="54" t="s">
        <v>474</v>
      </c>
      <c r="AA215" s="54" t="s">
        <v>471</v>
      </c>
      <c r="AB215" s="54" t="s">
        <v>467</v>
      </c>
      <c r="AC215" s="54" t="s">
        <v>464</v>
      </c>
      <c r="AD215" s="54" t="s">
        <v>506</v>
      </c>
      <c r="AE215" s="58" t="s">
        <v>474</v>
      </c>
      <c r="AF215" s="58"/>
      <c r="AG215" s="58"/>
      <c r="AH215" s="58"/>
      <c r="AI215" s="58">
        <v>2</v>
      </c>
      <c r="AJ215" s="58">
        <v>7</v>
      </c>
      <c r="AK215" s="1" t="s">
        <v>1255</v>
      </c>
    </row>
    <row r="216" spans="2:37">
      <c r="B216" s="68" t="s">
        <v>1052</v>
      </c>
      <c r="C216" s="68">
        <v>46003</v>
      </c>
      <c r="D216" s="68">
        <v>46009</v>
      </c>
      <c r="E216" s="68">
        <v>46013</v>
      </c>
      <c r="F216" s="59">
        <v>10</v>
      </c>
      <c r="G216" s="55" t="s">
        <v>1257</v>
      </c>
      <c r="H216" s="55" t="s">
        <v>1266</v>
      </c>
      <c r="I216" s="55" t="s">
        <v>1267</v>
      </c>
      <c r="J216" s="60" t="s">
        <v>461</v>
      </c>
      <c r="K216" s="78" t="s">
        <v>976</v>
      </c>
      <c r="L216" s="60" t="s">
        <v>534</v>
      </c>
      <c r="M216" s="55" t="s">
        <v>624</v>
      </c>
      <c r="N216" s="49" t="s">
        <v>488</v>
      </c>
      <c r="O216" s="49" t="s">
        <v>489</v>
      </c>
      <c r="P216" s="60" t="s">
        <v>5</v>
      </c>
      <c r="Q216" s="60" t="s">
        <v>1052</v>
      </c>
      <c r="R216" s="85">
        <v>46010</v>
      </c>
      <c r="S216" s="85">
        <v>46017</v>
      </c>
      <c r="T216" s="61">
        <v>15</v>
      </c>
      <c r="U216" s="60">
        <v>7</v>
      </c>
      <c r="V216" s="58" t="s">
        <v>1254</v>
      </c>
      <c r="W216" s="58" t="s">
        <v>0</v>
      </c>
      <c r="X216" s="58" t="s">
        <v>0</v>
      </c>
      <c r="Y216" s="58" t="s">
        <v>0</v>
      </c>
      <c r="Z216" s="54" t="s">
        <v>471</v>
      </c>
      <c r="AA216" s="54" t="s">
        <v>467</v>
      </c>
      <c r="AB216" s="54" t="s">
        <v>483</v>
      </c>
      <c r="AC216" s="58" t="s">
        <v>471</v>
      </c>
      <c r="AD216" s="58" t="s">
        <v>467</v>
      </c>
      <c r="AE216" s="58" t="s">
        <v>483</v>
      </c>
      <c r="AF216" s="58"/>
      <c r="AG216" s="58"/>
      <c r="AH216" s="58"/>
      <c r="AI216" s="58">
        <v>4</v>
      </c>
      <c r="AJ216" s="58">
        <v>10</v>
      </c>
      <c r="AK216" s="1" t="s">
        <v>1255</v>
      </c>
    </row>
    <row r="217" spans="2:37">
      <c r="B217" s="68" t="s">
        <v>0</v>
      </c>
      <c r="C217" s="68" t="s">
        <v>0</v>
      </c>
      <c r="D217" s="68" t="s">
        <v>0</v>
      </c>
      <c r="E217" s="68" t="s">
        <v>0</v>
      </c>
      <c r="F217" s="59" t="s">
        <v>0</v>
      </c>
      <c r="G217" s="55" t="s">
        <v>1257</v>
      </c>
      <c r="H217" s="55" t="s">
        <v>1266</v>
      </c>
      <c r="I217" s="55" t="s">
        <v>1269</v>
      </c>
      <c r="J217" s="60" t="s">
        <v>461</v>
      </c>
      <c r="K217" s="78" t="s">
        <v>977</v>
      </c>
      <c r="L217" s="60" t="s">
        <v>978</v>
      </c>
      <c r="M217" s="55" t="s">
        <v>0</v>
      </c>
      <c r="N217" s="2"/>
      <c r="O217" s="58"/>
      <c r="P217" s="60" t="s">
        <v>5</v>
      </c>
      <c r="Q217" s="60" t="s">
        <v>522</v>
      </c>
      <c r="R217" s="85" t="s">
        <v>0</v>
      </c>
      <c r="S217" s="85" t="s">
        <v>0</v>
      </c>
      <c r="T217" s="61" t="s">
        <v>0</v>
      </c>
      <c r="U217" s="60" t="s">
        <v>0</v>
      </c>
      <c r="V217" s="58" t="s">
        <v>0</v>
      </c>
      <c r="W217" s="58" t="s">
        <v>0</v>
      </c>
      <c r="X217" s="58" t="s">
        <v>0</v>
      </c>
      <c r="Y217" s="58" t="s">
        <v>0</v>
      </c>
      <c r="Z217" s="58" t="s">
        <v>470</v>
      </c>
      <c r="AA217" s="58" t="s">
        <v>483</v>
      </c>
      <c r="AB217" s="58" t="s">
        <v>464</v>
      </c>
      <c r="AC217" s="58" t="s">
        <v>470</v>
      </c>
      <c r="AD217" s="58" t="s">
        <v>483</v>
      </c>
      <c r="AE217" s="58" t="s">
        <v>464</v>
      </c>
      <c r="AF217" s="58"/>
      <c r="AG217" s="58"/>
      <c r="AH217" s="58"/>
      <c r="AI217" s="58" t="s">
        <v>0</v>
      </c>
      <c r="AJ217" s="58" t="s">
        <v>0</v>
      </c>
      <c r="AK217" s="1" t="s">
        <v>1255</v>
      </c>
    </row>
    <row r="218" spans="2:37">
      <c r="B218" s="68" t="s">
        <v>1260</v>
      </c>
      <c r="C218" s="68">
        <v>46000</v>
      </c>
      <c r="D218" s="68">
        <v>46002</v>
      </c>
      <c r="E218" s="68">
        <v>46002</v>
      </c>
      <c r="F218" s="59">
        <v>2</v>
      </c>
      <c r="G218" s="55" t="s">
        <v>1257</v>
      </c>
      <c r="H218" s="55" t="s">
        <v>1266</v>
      </c>
      <c r="I218" s="55" t="s">
        <v>1269</v>
      </c>
      <c r="J218" s="60" t="s">
        <v>461</v>
      </c>
      <c r="K218" s="78" t="s">
        <v>979</v>
      </c>
      <c r="L218" s="60" t="s">
        <v>621</v>
      </c>
      <c r="M218" s="55" t="s">
        <v>624</v>
      </c>
      <c r="N218" s="49" t="s">
        <v>488</v>
      </c>
      <c r="O218" s="49" t="s">
        <v>489</v>
      </c>
      <c r="P218" s="60" t="s">
        <v>3</v>
      </c>
      <c r="Q218" s="60" t="s">
        <v>1054</v>
      </c>
      <c r="R218" s="85" t="s">
        <v>0</v>
      </c>
      <c r="S218" s="85">
        <v>46009</v>
      </c>
      <c r="T218" s="61">
        <v>10</v>
      </c>
      <c r="U218" s="60" t="s">
        <v>0</v>
      </c>
      <c r="V218" s="58" t="s">
        <v>1254</v>
      </c>
      <c r="W218" s="58" t="s">
        <v>0</v>
      </c>
      <c r="X218" s="58" t="s">
        <v>0</v>
      </c>
      <c r="Y218" s="58" t="s">
        <v>0</v>
      </c>
      <c r="Z218" s="54" t="s">
        <v>471</v>
      </c>
      <c r="AA218" s="54" t="s">
        <v>464</v>
      </c>
      <c r="AB218" s="58" t="s">
        <v>471</v>
      </c>
      <c r="AC218" s="58" t="s">
        <v>464</v>
      </c>
      <c r="AD218" s="58" t="s">
        <v>0</v>
      </c>
      <c r="AE218" s="58" t="s">
        <v>0</v>
      </c>
      <c r="AF218" s="58"/>
      <c r="AG218" s="58"/>
      <c r="AH218" s="58"/>
      <c r="AI218" s="58">
        <v>7</v>
      </c>
      <c r="AJ218" s="58">
        <v>2</v>
      </c>
      <c r="AK218" s="1" t="s">
        <v>1255</v>
      </c>
    </row>
    <row r="219" spans="2:37">
      <c r="B219" s="68" t="s">
        <v>1273</v>
      </c>
      <c r="C219" s="68">
        <v>46029</v>
      </c>
      <c r="D219" s="68">
        <v>46037</v>
      </c>
      <c r="E219" s="68">
        <v>46042</v>
      </c>
      <c r="F219" s="59">
        <v>13</v>
      </c>
      <c r="G219" s="55" t="s">
        <v>1257</v>
      </c>
      <c r="H219" s="55" t="s">
        <v>1266</v>
      </c>
      <c r="I219" s="55" t="s">
        <v>1269</v>
      </c>
      <c r="J219" s="60" t="s">
        <v>461</v>
      </c>
      <c r="K219" s="78" t="s">
        <v>980</v>
      </c>
      <c r="L219" s="60" t="s">
        <v>550</v>
      </c>
      <c r="M219" s="55" t="s">
        <v>624</v>
      </c>
      <c r="N219" s="49" t="s">
        <v>488</v>
      </c>
      <c r="O219" s="49" t="s">
        <v>489</v>
      </c>
      <c r="P219" s="60" t="s">
        <v>5</v>
      </c>
      <c r="Q219" s="60" t="s">
        <v>1226</v>
      </c>
      <c r="R219" s="85" t="s">
        <v>0</v>
      </c>
      <c r="S219" s="85" t="s">
        <v>0</v>
      </c>
      <c r="T219" s="61" t="s">
        <v>0</v>
      </c>
      <c r="U219" s="60" t="s">
        <v>0</v>
      </c>
      <c r="V219" s="58" t="s">
        <v>0</v>
      </c>
      <c r="W219" s="58" t="s">
        <v>0</v>
      </c>
      <c r="X219" s="58" t="s">
        <v>0</v>
      </c>
      <c r="Y219" s="58" t="s">
        <v>0</v>
      </c>
      <c r="Z219" s="54" t="s">
        <v>471</v>
      </c>
      <c r="AA219" s="54" t="s">
        <v>483</v>
      </c>
      <c r="AB219" s="54" t="s">
        <v>506</v>
      </c>
      <c r="AC219" s="58" t="s">
        <v>471</v>
      </c>
      <c r="AD219" s="58" t="s">
        <v>483</v>
      </c>
      <c r="AE219" s="58" t="s">
        <v>506</v>
      </c>
      <c r="AF219" s="58"/>
      <c r="AG219" s="58"/>
      <c r="AH219" s="58"/>
      <c r="AI219" s="58" t="s">
        <v>0</v>
      </c>
      <c r="AJ219" s="58"/>
      <c r="AK219" s="1" t="s">
        <v>1255</v>
      </c>
    </row>
    <row r="220" spans="2:37">
      <c r="B220" s="69" t="s">
        <v>0</v>
      </c>
      <c r="C220" s="69" t="s">
        <v>0</v>
      </c>
      <c r="D220" s="69" t="s">
        <v>0</v>
      </c>
      <c r="E220" s="69" t="s">
        <v>0</v>
      </c>
      <c r="F220" s="74" t="s">
        <v>0</v>
      </c>
      <c r="G220" s="64" t="s">
        <v>1252</v>
      </c>
      <c r="H220" s="64" t="s">
        <v>1266</v>
      </c>
      <c r="I220" s="64" t="s">
        <v>1269</v>
      </c>
      <c r="J220" s="65" t="s">
        <v>461</v>
      </c>
      <c r="K220" s="77" t="s">
        <v>984</v>
      </c>
      <c r="L220" s="65" t="s">
        <v>583</v>
      </c>
      <c r="M220" s="64" t="s">
        <v>0</v>
      </c>
      <c r="N220" s="57"/>
      <c r="O220" s="75"/>
      <c r="P220" s="65" t="s">
        <v>379</v>
      </c>
      <c r="Q220" s="65" t="s">
        <v>522</v>
      </c>
      <c r="R220" s="86" t="s">
        <v>0</v>
      </c>
      <c r="S220" s="86" t="s">
        <v>0</v>
      </c>
      <c r="T220" s="67" t="s">
        <v>0</v>
      </c>
      <c r="U220" s="65" t="s">
        <v>0</v>
      </c>
      <c r="V220" s="66" t="s">
        <v>0</v>
      </c>
      <c r="W220" s="66" t="s">
        <v>0</v>
      </c>
      <c r="X220" s="66" t="s">
        <v>0</v>
      </c>
      <c r="Y220" s="66" t="s">
        <v>0</v>
      </c>
      <c r="Z220" s="66" t="s">
        <v>472</v>
      </c>
      <c r="AA220" s="66" t="s">
        <v>468</v>
      </c>
      <c r="AB220" s="66" t="s">
        <v>471</v>
      </c>
      <c r="AC220" s="66" t="s">
        <v>0</v>
      </c>
      <c r="AD220" s="66" t="s">
        <v>0</v>
      </c>
      <c r="AE220" s="66" t="s">
        <v>0</v>
      </c>
      <c r="AF220" s="66"/>
      <c r="AG220" s="66"/>
      <c r="AH220" s="66"/>
      <c r="AI220" s="66" t="s">
        <v>0</v>
      </c>
      <c r="AJ220" s="66" t="s">
        <v>0</v>
      </c>
      <c r="AK220" s="1" t="s">
        <v>1255</v>
      </c>
    </row>
    <row r="221" spans="2:37">
      <c r="B221" s="68" t="s">
        <v>0</v>
      </c>
      <c r="C221" s="55" t="s">
        <v>0</v>
      </c>
      <c r="D221" s="55" t="s">
        <v>0</v>
      </c>
      <c r="E221" s="68" t="s">
        <v>0</v>
      </c>
      <c r="F221" s="59" t="s">
        <v>0</v>
      </c>
      <c r="G221" s="55" t="s">
        <v>1252</v>
      </c>
      <c r="H221" s="55" t="s">
        <v>1266</v>
      </c>
      <c r="I221" s="55" t="s">
        <v>1269</v>
      </c>
      <c r="J221" s="60" t="s">
        <v>461</v>
      </c>
      <c r="K221" s="78" t="s">
        <v>985</v>
      </c>
      <c r="L221" s="60" t="s">
        <v>986</v>
      </c>
      <c r="M221" s="55" t="s">
        <v>0</v>
      </c>
      <c r="N221" s="56"/>
      <c r="O221" s="70"/>
      <c r="P221" s="60" t="s">
        <v>379</v>
      </c>
      <c r="Q221" s="60" t="s">
        <v>522</v>
      </c>
      <c r="R221" s="85" t="s">
        <v>0</v>
      </c>
      <c r="S221" s="85" t="s">
        <v>0</v>
      </c>
      <c r="T221" s="61" t="s">
        <v>0</v>
      </c>
      <c r="U221" s="60" t="s">
        <v>0</v>
      </c>
      <c r="V221" s="58" t="s">
        <v>0</v>
      </c>
      <c r="W221" s="58" t="s">
        <v>0</v>
      </c>
      <c r="X221" s="58" t="s">
        <v>0</v>
      </c>
      <c r="Y221" s="58" t="s">
        <v>0</v>
      </c>
      <c r="Z221" s="58" t="s">
        <v>506</v>
      </c>
      <c r="AA221" s="58" t="s">
        <v>0</v>
      </c>
      <c r="AB221" s="58" t="s">
        <v>0</v>
      </c>
      <c r="AC221" s="58" t="s">
        <v>0</v>
      </c>
      <c r="AD221" s="58" t="s">
        <v>0</v>
      </c>
      <c r="AE221" s="58" t="s">
        <v>0</v>
      </c>
      <c r="AF221" s="58"/>
      <c r="AG221" s="58"/>
      <c r="AH221" s="58"/>
      <c r="AI221" s="58" t="s">
        <v>0</v>
      </c>
      <c r="AJ221" s="58" t="s">
        <v>0</v>
      </c>
      <c r="AK221" s="1" t="s">
        <v>1255</v>
      </c>
    </row>
    <row r="222" spans="2:37">
      <c r="B222" s="68" t="s">
        <v>1052</v>
      </c>
      <c r="C222" s="68">
        <v>46003</v>
      </c>
      <c r="D222" s="68">
        <v>46009</v>
      </c>
      <c r="E222" s="68">
        <v>46013</v>
      </c>
      <c r="F222" s="59">
        <v>10</v>
      </c>
      <c r="G222" s="55" t="s">
        <v>1262</v>
      </c>
      <c r="H222" s="55" t="s">
        <v>1266</v>
      </c>
      <c r="I222" s="55" t="s">
        <v>1267</v>
      </c>
      <c r="J222" s="60" t="s">
        <v>461</v>
      </c>
      <c r="K222" s="78" t="s">
        <v>987</v>
      </c>
      <c r="L222" s="60" t="s">
        <v>959</v>
      </c>
      <c r="M222" s="55" t="s">
        <v>624</v>
      </c>
      <c r="N222" s="49" t="s">
        <v>488</v>
      </c>
      <c r="O222" s="49" t="s">
        <v>489</v>
      </c>
      <c r="P222" s="60" t="s">
        <v>5</v>
      </c>
      <c r="Q222" s="60" t="s">
        <v>1052</v>
      </c>
      <c r="R222" s="85" t="s">
        <v>0</v>
      </c>
      <c r="S222" s="85">
        <v>46017</v>
      </c>
      <c r="T222" s="61">
        <v>15</v>
      </c>
      <c r="U222" s="60" t="s">
        <v>0</v>
      </c>
      <c r="V222" s="58" t="s">
        <v>1254</v>
      </c>
      <c r="W222" s="58" t="s">
        <v>0</v>
      </c>
      <c r="X222" s="58" t="s">
        <v>0</v>
      </c>
      <c r="Y222" s="58" t="s">
        <v>0</v>
      </c>
      <c r="Z222" s="54" t="s">
        <v>471</v>
      </c>
      <c r="AA222" s="54" t="s">
        <v>464</v>
      </c>
      <c r="AB222" s="58" t="s">
        <v>471</v>
      </c>
      <c r="AC222" s="58" t="s">
        <v>464</v>
      </c>
      <c r="AD222" s="58" t="s">
        <v>0</v>
      </c>
      <c r="AE222" s="58" t="s">
        <v>0</v>
      </c>
      <c r="AF222" s="58"/>
      <c r="AG222" s="58"/>
      <c r="AH222" s="58"/>
      <c r="AI222" s="58">
        <v>4</v>
      </c>
      <c r="AJ222" s="58">
        <v>10</v>
      </c>
      <c r="AK222" s="1" t="s">
        <v>1255</v>
      </c>
    </row>
    <row r="223" spans="2:37">
      <c r="B223" s="82" t="s">
        <v>1260</v>
      </c>
      <c r="C223" s="82">
        <v>46000</v>
      </c>
      <c r="D223" s="82">
        <v>46002</v>
      </c>
      <c r="E223" s="82">
        <v>46006</v>
      </c>
      <c r="F223" s="83">
        <v>6</v>
      </c>
      <c r="G223" s="71" t="s">
        <v>1257</v>
      </c>
      <c r="H223" s="71" t="s">
        <v>1253</v>
      </c>
      <c r="I223" s="71" t="s">
        <v>460</v>
      </c>
      <c r="J223" s="84" t="s">
        <v>461</v>
      </c>
      <c r="K223" s="76" t="s">
        <v>989</v>
      </c>
      <c r="L223" s="84" t="s">
        <v>990</v>
      </c>
      <c r="M223" s="71" t="s">
        <v>624</v>
      </c>
      <c r="N223" s="49" t="s">
        <v>488</v>
      </c>
      <c r="O223" s="49" t="s">
        <v>489</v>
      </c>
      <c r="P223" s="60" t="s">
        <v>8</v>
      </c>
      <c r="Q223" s="60" t="s">
        <v>1051</v>
      </c>
      <c r="R223" s="85">
        <v>45996</v>
      </c>
      <c r="S223" s="85">
        <v>46006</v>
      </c>
      <c r="T223" s="61">
        <v>10</v>
      </c>
      <c r="U223" s="60">
        <v>10</v>
      </c>
      <c r="V223" s="58" t="s">
        <v>1254</v>
      </c>
      <c r="W223" s="58" t="s">
        <v>0</v>
      </c>
      <c r="X223" s="58" t="s">
        <v>0</v>
      </c>
      <c r="Y223" s="58" t="s">
        <v>0</v>
      </c>
      <c r="Z223" s="54" t="s">
        <v>483</v>
      </c>
      <c r="AA223" s="54" t="s">
        <v>473</v>
      </c>
      <c r="AB223" s="54" t="s">
        <v>519</v>
      </c>
      <c r="AC223" s="54" t="s">
        <v>677</v>
      </c>
      <c r="AD223" s="58" t="s">
        <v>0</v>
      </c>
      <c r="AE223" s="58" t="s">
        <v>0</v>
      </c>
      <c r="AF223" s="58"/>
      <c r="AG223" s="58"/>
      <c r="AH223" s="58"/>
      <c r="AI223" s="58">
        <v>0</v>
      </c>
      <c r="AJ223" s="58">
        <v>6</v>
      </c>
      <c r="AK223" s="1" t="s">
        <v>1255</v>
      </c>
    </row>
    <row r="224" spans="2:37">
      <c r="B224" s="82" t="s">
        <v>0</v>
      </c>
      <c r="C224" s="71" t="s">
        <v>0</v>
      </c>
      <c r="D224" s="71" t="s">
        <v>0</v>
      </c>
      <c r="E224" s="82" t="s">
        <v>0</v>
      </c>
      <c r="F224" s="83" t="s">
        <v>0</v>
      </c>
      <c r="G224" s="71" t="s">
        <v>1257</v>
      </c>
      <c r="H224" s="71" t="s">
        <v>1253</v>
      </c>
      <c r="I224" s="71" t="s">
        <v>1267</v>
      </c>
      <c r="J224" s="84" t="s">
        <v>461</v>
      </c>
      <c r="K224" s="76" t="s">
        <v>991</v>
      </c>
      <c r="L224" s="84" t="s">
        <v>992</v>
      </c>
      <c r="M224" s="71" t="s">
        <v>0</v>
      </c>
      <c r="N224" s="2"/>
      <c r="O224" s="58"/>
      <c r="P224" s="60" t="s">
        <v>379</v>
      </c>
      <c r="Q224" s="60" t="s">
        <v>522</v>
      </c>
      <c r="R224" s="85" t="s">
        <v>0</v>
      </c>
      <c r="S224" s="85" t="s">
        <v>0</v>
      </c>
      <c r="T224" s="61" t="s">
        <v>0</v>
      </c>
      <c r="U224" s="60" t="s">
        <v>0</v>
      </c>
      <c r="V224" s="58" t="s">
        <v>0</v>
      </c>
      <c r="W224" s="58" t="s">
        <v>0</v>
      </c>
      <c r="X224" s="58" t="s">
        <v>0</v>
      </c>
      <c r="Y224" s="58" t="s">
        <v>0</v>
      </c>
      <c r="Z224" s="58" t="s">
        <v>506</v>
      </c>
      <c r="AA224" s="58" t="s">
        <v>0</v>
      </c>
      <c r="AB224" s="58" t="s">
        <v>0</v>
      </c>
      <c r="AC224" s="58" t="s">
        <v>0</v>
      </c>
      <c r="AD224" s="58" t="s">
        <v>0</v>
      </c>
      <c r="AE224" s="58" t="s">
        <v>0</v>
      </c>
      <c r="AF224" s="58"/>
      <c r="AG224" s="58"/>
      <c r="AH224" s="58"/>
      <c r="AI224" s="58" t="s">
        <v>0</v>
      </c>
      <c r="AJ224" s="58" t="s">
        <v>0</v>
      </c>
      <c r="AK224" s="1" t="s">
        <v>1255</v>
      </c>
    </row>
    <row r="225" spans="2:37">
      <c r="B225" s="82" t="s">
        <v>0</v>
      </c>
      <c r="C225" s="71" t="s">
        <v>0</v>
      </c>
      <c r="D225" s="71" t="s">
        <v>0</v>
      </c>
      <c r="E225" s="82" t="s">
        <v>0</v>
      </c>
      <c r="F225" s="83" t="s">
        <v>0</v>
      </c>
      <c r="G225" s="71" t="s">
        <v>1257</v>
      </c>
      <c r="H225" s="71" t="s">
        <v>1253</v>
      </c>
      <c r="I225" s="71" t="s">
        <v>1267</v>
      </c>
      <c r="J225" s="84" t="s">
        <v>461</v>
      </c>
      <c r="K225" s="76" t="s">
        <v>993</v>
      </c>
      <c r="L225" s="84" t="s">
        <v>994</v>
      </c>
      <c r="M225" s="71" t="s">
        <v>0</v>
      </c>
      <c r="N225" s="2"/>
      <c r="O225" s="58"/>
      <c r="P225" s="60" t="s">
        <v>379</v>
      </c>
      <c r="Q225" s="60" t="s">
        <v>522</v>
      </c>
      <c r="R225" s="85" t="s">
        <v>0</v>
      </c>
      <c r="S225" s="85" t="s">
        <v>0</v>
      </c>
      <c r="T225" s="61" t="s">
        <v>0</v>
      </c>
      <c r="U225" s="60" t="s">
        <v>0</v>
      </c>
      <c r="V225" s="58" t="s">
        <v>0</v>
      </c>
      <c r="W225" s="58" t="s">
        <v>0</v>
      </c>
      <c r="X225" s="58" t="s">
        <v>0</v>
      </c>
      <c r="Y225" s="58" t="s">
        <v>0</v>
      </c>
      <c r="Z225" s="58" t="s">
        <v>506</v>
      </c>
      <c r="AA225" s="58" t="s">
        <v>0</v>
      </c>
      <c r="AB225" s="58" t="s">
        <v>0</v>
      </c>
      <c r="AC225" s="58" t="s">
        <v>0</v>
      </c>
      <c r="AD225" s="58" t="s">
        <v>0</v>
      </c>
      <c r="AE225" s="58" t="s">
        <v>0</v>
      </c>
      <c r="AF225" s="58"/>
      <c r="AG225" s="58"/>
      <c r="AH225" s="58"/>
      <c r="AI225" s="58" t="s">
        <v>0</v>
      </c>
      <c r="AJ225" s="58" t="s">
        <v>0</v>
      </c>
      <c r="AK225" s="1" t="s">
        <v>1255</v>
      </c>
    </row>
    <row r="226" spans="2:37">
      <c r="B226" s="82" t="s">
        <v>0</v>
      </c>
      <c r="C226" s="71" t="s">
        <v>0</v>
      </c>
      <c r="D226" s="71" t="s">
        <v>0</v>
      </c>
      <c r="E226" s="82" t="s">
        <v>0</v>
      </c>
      <c r="F226" s="83" t="s">
        <v>0</v>
      </c>
      <c r="G226" s="71" t="s">
        <v>1257</v>
      </c>
      <c r="H226" s="71" t="s">
        <v>1266</v>
      </c>
      <c r="I226" s="71" t="s">
        <v>1271</v>
      </c>
      <c r="J226" s="84" t="s">
        <v>461</v>
      </c>
      <c r="K226" s="76" t="s">
        <v>995</v>
      </c>
      <c r="L226" s="84" t="s">
        <v>996</v>
      </c>
      <c r="M226" s="71" t="s">
        <v>0</v>
      </c>
      <c r="N226" s="2"/>
      <c r="O226" s="58"/>
      <c r="P226" s="60" t="s">
        <v>379</v>
      </c>
      <c r="Q226" s="60" t="s">
        <v>522</v>
      </c>
      <c r="R226" s="85" t="s">
        <v>0</v>
      </c>
      <c r="S226" s="85" t="s">
        <v>0</v>
      </c>
      <c r="T226" s="61" t="s">
        <v>0</v>
      </c>
      <c r="U226" s="60" t="s">
        <v>0</v>
      </c>
      <c r="V226" s="58" t="s">
        <v>0</v>
      </c>
      <c r="W226" s="58" t="s">
        <v>0</v>
      </c>
      <c r="X226" s="58" t="s">
        <v>0</v>
      </c>
      <c r="Y226" s="58" t="s">
        <v>0</v>
      </c>
      <c r="Z226" s="58" t="s">
        <v>471</v>
      </c>
      <c r="AA226" s="58" t="s">
        <v>471</v>
      </c>
      <c r="AB226" s="58" t="s">
        <v>0</v>
      </c>
      <c r="AC226" s="58" t="s">
        <v>0</v>
      </c>
      <c r="AD226" s="58" t="s">
        <v>0</v>
      </c>
      <c r="AE226" s="58" t="s">
        <v>0</v>
      </c>
      <c r="AF226" s="58"/>
      <c r="AG226" s="58"/>
      <c r="AH226" s="58"/>
      <c r="AI226" s="58" t="s">
        <v>0</v>
      </c>
      <c r="AJ226" s="58" t="s">
        <v>0</v>
      </c>
      <c r="AK226" s="1" t="s">
        <v>1255</v>
      </c>
    </row>
    <row r="227" spans="2:37">
      <c r="B227" s="82" t="s">
        <v>0</v>
      </c>
      <c r="C227" s="71" t="s">
        <v>0</v>
      </c>
      <c r="D227" s="71" t="s">
        <v>0</v>
      </c>
      <c r="E227" s="82" t="s">
        <v>0</v>
      </c>
      <c r="F227" s="83" t="s">
        <v>0</v>
      </c>
      <c r="G227" s="71" t="s">
        <v>1262</v>
      </c>
      <c r="H227" s="71" t="s">
        <v>1266</v>
      </c>
      <c r="I227" s="71" t="s">
        <v>1269</v>
      </c>
      <c r="J227" s="84" t="s">
        <v>461</v>
      </c>
      <c r="K227" s="76" t="s">
        <v>997</v>
      </c>
      <c r="L227" s="84" t="s">
        <v>541</v>
      </c>
      <c r="M227" s="71" t="s">
        <v>0</v>
      </c>
      <c r="N227" s="2"/>
      <c r="O227" s="58"/>
      <c r="P227" s="60" t="s">
        <v>379</v>
      </c>
      <c r="Q227" s="60" t="s">
        <v>522</v>
      </c>
      <c r="R227" s="85" t="s">
        <v>0</v>
      </c>
      <c r="S227" s="85" t="s">
        <v>0</v>
      </c>
      <c r="T227" s="61" t="s">
        <v>0</v>
      </c>
      <c r="U227" s="60" t="s">
        <v>0</v>
      </c>
      <c r="V227" s="58" t="s">
        <v>0</v>
      </c>
      <c r="W227" s="58" t="s">
        <v>0</v>
      </c>
      <c r="X227" s="58" t="s">
        <v>0</v>
      </c>
      <c r="Y227" s="58" t="s">
        <v>0</v>
      </c>
      <c r="Z227" s="58" t="s">
        <v>482</v>
      </c>
      <c r="AA227" s="58" t="s">
        <v>482</v>
      </c>
      <c r="AB227" s="58" t="s">
        <v>0</v>
      </c>
      <c r="AC227" s="58" t="s">
        <v>0</v>
      </c>
      <c r="AD227" s="58" t="s">
        <v>0</v>
      </c>
      <c r="AE227" s="58" t="s">
        <v>0</v>
      </c>
      <c r="AF227" s="58"/>
      <c r="AG227" s="58"/>
      <c r="AH227" s="58"/>
      <c r="AI227" s="58" t="s">
        <v>0</v>
      </c>
      <c r="AJ227" s="58" t="s">
        <v>0</v>
      </c>
      <c r="AK227" s="1" t="s">
        <v>1255</v>
      </c>
    </row>
    <row r="228" spans="2:37">
      <c r="B228" s="82" t="s">
        <v>0</v>
      </c>
      <c r="C228" s="71" t="s">
        <v>0</v>
      </c>
      <c r="D228" s="71" t="s">
        <v>0</v>
      </c>
      <c r="E228" s="82" t="s">
        <v>0</v>
      </c>
      <c r="F228" s="83" t="s">
        <v>0</v>
      </c>
      <c r="G228" s="71" t="s">
        <v>1257</v>
      </c>
      <c r="H228" s="71" t="s">
        <v>1266</v>
      </c>
      <c r="I228" s="71" t="s">
        <v>1269</v>
      </c>
      <c r="J228" s="84" t="s">
        <v>461</v>
      </c>
      <c r="K228" s="76" t="s">
        <v>998</v>
      </c>
      <c r="L228" s="84" t="s">
        <v>597</v>
      </c>
      <c r="M228" s="71" t="s">
        <v>0</v>
      </c>
      <c r="N228" s="2"/>
      <c r="O228" s="58"/>
      <c r="P228" s="60" t="s">
        <v>379</v>
      </c>
      <c r="Q228" s="60" t="s">
        <v>522</v>
      </c>
      <c r="R228" s="85" t="s">
        <v>0</v>
      </c>
      <c r="S228" s="85" t="s">
        <v>0</v>
      </c>
      <c r="T228" s="61" t="s">
        <v>0</v>
      </c>
      <c r="U228" s="60" t="s">
        <v>0</v>
      </c>
      <c r="V228" s="58" t="s">
        <v>0</v>
      </c>
      <c r="W228" s="58" t="s">
        <v>0</v>
      </c>
      <c r="X228" s="58" t="s">
        <v>0</v>
      </c>
      <c r="Y228" s="58" t="s">
        <v>0</v>
      </c>
      <c r="Z228" s="58" t="s">
        <v>474</v>
      </c>
      <c r="AA228" s="58" t="s">
        <v>474</v>
      </c>
      <c r="AB228" s="58" t="s">
        <v>0</v>
      </c>
      <c r="AC228" s="58" t="s">
        <v>0</v>
      </c>
      <c r="AD228" s="58" t="s">
        <v>0</v>
      </c>
      <c r="AE228" s="58" t="s">
        <v>0</v>
      </c>
      <c r="AF228" s="58"/>
      <c r="AG228" s="58"/>
      <c r="AH228" s="58"/>
      <c r="AI228" s="58" t="s">
        <v>0</v>
      </c>
      <c r="AJ228" s="58" t="s">
        <v>0</v>
      </c>
      <c r="AK228" s="1" t="s">
        <v>1255</v>
      </c>
    </row>
    <row r="229" spans="2:37">
      <c r="B229" s="82" t="s">
        <v>0</v>
      </c>
      <c r="C229" s="71" t="s">
        <v>0</v>
      </c>
      <c r="D229" s="71" t="s">
        <v>0</v>
      </c>
      <c r="E229" s="82" t="s">
        <v>0</v>
      </c>
      <c r="F229" s="83" t="s">
        <v>0</v>
      </c>
      <c r="G229" s="71" t="s">
        <v>1262</v>
      </c>
      <c r="H229" s="71" t="s">
        <v>1266</v>
      </c>
      <c r="I229" s="71" t="s">
        <v>1269</v>
      </c>
      <c r="J229" s="84" t="s">
        <v>461</v>
      </c>
      <c r="K229" s="76" t="s">
        <v>999</v>
      </c>
      <c r="L229" s="84" t="s">
        <v>631</v>
      </c>
      <c r="M229" s="71" t="s">
        <v>0</v>
      </c>
      <c r="N229" s="2"/>
      <c r="O229" s="58"/>
      <c r="P229" s="60" t="s">
        <v>379</v>
      </c>
      <c r="Q229" s="60" t="s">
        <v>522</v>
      </c>
      <c r="R229" s="85" t="s">
        <v>0</v>
      </c>
      <c r="S229" s="85" t="s">
        <v>0</v>
      </c>
      <c r="T229" s="61" t="s">
        <v>0</v>
      </c>
      <c r="U229" s="60" t="s">
        <v>0</v>
      </c>
      <c r="V229" s="58" t="s">
        <v>0</v>
      </c>
      <c r="W229" s="58" t="s">
        <v>0</v>
      </c>
      <c r="X229" s="58" t="s">
        <v>0</v>
      </c>
      <c r="Y229" s="58" t="s">
        <v>0</v>
      </c>
      <c r="Z229" s="58" t="s">
        <v>471</v>
      </c>
      <c r="AA229" s="58" t="s">
        <v>471</v>
      </c>
      <c r="AB229" s="58" t="s">
        <v>0</v>
      </c>
      <c r="AC229" s="58" t="s">
        <v>0</v>
      </c>
      <c r="AD229" s="58" t="s">
        <v>0</v>
      </c>
      <c r="AE229" s="58" t="s">
        <v>0</v>
      </c>
      <c r="AF229" s="58"/>
      <c r="AG229" s="58"/>
      <c r="AH229" s="58"/>
      <c r="AI229" s="58" t="s">
        <v>0</v>
      </c>
      <c r="AJ229" s="58" t="s">
        <v>0</v>
      </c>
      <c r="AK229" s="1" t="s">
        <v>1255</v>
      </c>
    </row>
    <row r="230" spans="2:37">
      <c r="B230" s="82" t="s">
        <v>0</v>
      </c>
      <c r="C230" s="71" t="s">
        <v>0</v>
      </c>
      <c r="D230" s="71" t="s">
        <v>0</v>
      </c>
      <c r="E230" s="82" t="s">
        <v>0</v>
      </c>
      <c r="F230" s="83" t="s">
        <v>0</v>
      </c>
      <c r="G230" s="71" t="s">
        <v>1257</v>
      </c>
      <c r="H230" s="71" t="s">
        <v>1266</v>
      </c>
      <c r="I230" s="71" t="s">
        <v>1277</v>
      </c>
      <c r="J230" s="84" t="s">
        <v>461</v>
      </c>
      <c r="K230" s="76" t="s">
        <v>1000</v>
      </c>
      <c r="L230" s="84" t="s">
        <v>1001</v>
      </c>
      <c r="M230" s="71" t="s">
        <v>0</v>
      </c>
      <c r="N230" s="2"/>
      <c r="O230" s="58"/>
      <c r="P230" s="60" t="s">
        <v>379</v>
      </c>
      <c r="Q230" s="60" t="s">
        <v>522</v>
      </c>
      <c r="R230" s="85" t="s">
        <v>0</v>
      </c>
      <c r="S230" s="85" t="s">
        <v>0</v>
      </c>
      <c r="T230" s="61" t="s">
        <v>0</v>
      </c>
      <c r="U230" s="60" t="s">
        <v>0</v>
      </c>
      <c r="V230" s="58" t="s">
        <v>0</v>
      </c>
      <c r="W230" s="58" t="s">
        <v>0</v>
      </c>
      <c r="X230" s="58" t="s">
        <v>0</v>
      </c>
      <c r="Y230" s="58" t="s">
        <v>0</v>
      </c>
      <c r="Z230" s="58" t="s">
        <v>474</v>
      </c>
      <c r="AA230" s="58" t="s">
        <v>474</v>
      </c>
      <c r="AB230" s="58" t="s">
        <v>0</v>
      </c>
      <c r="AC230" s="58" t="s">
        <v>0</v>
      </c>
      <c r="AD230" s="58" t="s">
        <v>0</v>
      </c>
      <c r="AE230" s="58" t="s">
        <v>0</v>
      </c>
      <c r="AF230" s="58"/>
      <c r="AG230" s="58"/>
      <c r="AH230" s="58"/>
      <c r="AI230" s="58" t="s">
        <v>0</v>
      </c>
      <c r="AJ230" s="58" t="s">
        <v>0</v>
      </c>
      <c r="AK230" s="1" t="s">
        <v>1255</v>
      </c>
    </row>
    <row r="231" spans="2:37">
      <c r="B231" s="82" t="s">
        <v>0</v>
      </c>
      <c r="C231" s="71" t="s">
        <v>0</v>
      </c>
      <c r="D231" s="71" t="s">
        <v>0</v>
      </c>
      <c r="E231" s="82" t="s">
        <v>0</v>
      </c>
      <c r="F231" s="83" t="s">
        <v>0</v>
      </c>
      <c r="G231" s="71" t="s">
        <v>1257</v>
      </c>
      <c r="H231" s="71" t="s">
        <v>1266</v>
      </c>
      <c r="I231" s="71" t="s">
        <v>1271</v>
      </c>
      <c r="J231" s="84" t="s">
        <v>461</v>
      </c>
      <c r="K231" s="76" t="s">
        <v>1002</v>
      </c>
      <c r="L231" s="84" t="s">
        <v>611</v>
      </c>
      <c r="M231" s="71" t="s">
        <v>0</v>
      </c>
      <c r="N231" s="2"/>
      <c r="O231" s="58"/>
      <c r="P231" s="60" t="s">
        <v>379</v>
      </c>
      <c r="Q231" s="60" t="s">
        <v>522</v>
      </c>
      <c r="R231" s="85" t="s">
        <v>0</v>
      </c>
      <c r="S231" s="85" t="s">
        <v>0</v>
      </c>
      <c r="T231" s="61" t="s">
        <v>0</v>
      </c>
      <c r="U231" s="60" t="s">
        <v>0</v>
      </c>
      <c r="V231" s="58" t="s">
        <v>0</v>
      </c>
      <c r="W231" s="58" t="s">
        <v>0</v>
      </c>
      <c r="X231" s="58" t="s">
        <v>0</v>
      </c>
      <c r="Y231" s="58" t="s">
        <v>0</v>
      </c>
      <c r="Z231" s="58" t="s">
        <v>464</v>
      </c>
      <c r="AA231" s="58" t="s">
        <v>464</v>
      </c>
      <c r="AB231" s="58" t="s">
        <v>0</v>
      </c>
      <c r="AC231" s="58" t="s">
        <v>0</v>
      </c>
      <c r="AD231" s="58" t="s">
        <v>0</v>
      </c>
      <c r="AE231" s="58" t="s">
        <v>0</v>
      </c>
      <c r="AF231" s="58"/>
      <c r="AG231" s="58"/>
      <c r="AH231" s="58"/>
      <c r="AI231" s="58" t="s">
        <v>0</v>
      </c>
      <c r="AJ231" s="58" t="s">
        <v>0</v>
      </c>
      <c r="AK231" s="1" t="s">
        <v>1255</v>
      </c>
    </row>
    <row r="232" spans="2:37">
      <c r="B232" s="82" t="s">
        <v>0</v>
      </c>
      <c r="C232" s="71" t="s">
        <v>0</v>
      </c>
      <c r="D232" s="71" t="s">
        <v>0</v>
      </c>
      <c r="E232" s="82" t="s">
        <v>0</v>
      </c>
      <c r="F232" s="83" t="s">
        <v>0</v>
      </c>
      <c r="G232" s="71" t="s">
        <v>1262</v>
      </c>
      <c r="H232" s="71" t="s">
        <v>1266</v>
      </c>
      <c r="I232" s="71" t="s">
        <v>1271</v>
      </c>
      <c r="J232" s="84" t="s">
        <v>461</v>
      </c>
      <c r="K232" s="76" t="s">
        <v>1003</v>
      </c>
      <c r="L232" s="84" t="s">
        <v>609</v>
      </c>
      <c r="M232" s="71" t="s">
        <v>0</v>
      </c>
      <c r="N232" s="2"/>
      <c r="O232" s="58"/>
      <c r="P232" s="60" t="s">
        <v>379</v>
      </c>
      <c r="Q232" s="60" t="s">
        <v>522</v>
      </c>
      <c r="R232" s="85" t="s">
        <v>0</v>
      </c>
      <c r="S232" s="85" t="s">
        <v>0</v>
      </c>
      <c r="T232" s="61" t="s">
        <v>0</v>
      </c>
      <c r="U232" s="60" t="s">
        <v>0</v>
      </c>
      <c r="V232" s="58" t="s">
        <v>0</v>
      </c>
      <c r="W232" s="58" t="s">
        <v>0</v>
      </c>
      <c r="X232" s="58" t="s">
        <v>0</v>
      </c>
      <c r="Y232" s="58" t="s">
        <v>0</v>
      </c>
      <c r="Z232" s="58" t="s">
        <v>472</v>
      </c>
      <c r="AA232" s="58" t="s">
        <v>472</v>
      </c>
      <c r="AB232" s="58" t="s">
        <v>0</v>
      </c>
      <c r="AC232" s="58" t="s">
        <v>0</v>
      </c>
      <c r="AD232" s="58" t="s">
        <v>0</v>
      </c>
      <c r="AE232" s="58" t="s">
        <v>0</v>
      </c>
      <c r="AF232" s="58"/>
      <c r="AG232" s="58"/>
      <c r="AH232" s="58"/>
      <c r="AI232" s="58" t="s">
        <v>0</v>
      </c>
      <c r="AJ232" s="58" t="s">
        <v>0</v>
      </c>
      <c r="AK232" s="1" t="s">
        <v>1255</v>
      </c>
    </row>
    <row r="233" spans="2:37">
      <c r="B233" s="82" t="s">
        <v>0</v>
      </c>
      <c r="C233" s="71" t="s">
        <v>0</v>
      </c>
      <c r="D233" s="71" t="s">
        <v>0</v>
      </c>
      <c r="E233" s="82" t="s">
        <v>0</v>
      </c>
      <c r="F233" s="83" t="s">
        <v>0</v>
      </c>
      <c r="G233" s="71" t="s">
        <v>1262</v>
      </c>
      <c r="H233" s="71" t="s">
        <v>1266</v>
      </c>
      <c r="I233" s="71" t="s">
        <v>1271</v>
      </c>
      <c r="J233" s="84" t="s">
        <v>461</v>
      </c>
      <c r="K233" s="76" t="s">
        <v>1004</v>
      </c>
      <c r="L233" s="84" t="s">
        <v>571</v>
      </c>
      <c r="M233" s="71" t="s">
        <v>0</v>
      </c>
      <c r="N233" s="2"/>
      <c r="O233" s="58"/>
      <c r="P233" s="60" t="s">
        <v>379</v>
      </c>
      <c r="Q233" s="60" t="s">
        <v>522</v>
      </c>
      <c r="R233" s="85" t="s">
        <v>0</v>
      </c>
      <c r="S233" s="85" t="s">
        <v>0</v>
      </c>
      <c r="T233" s="61" t="s">
        <v>0</v>
      </c>
      <c r="U233" s="60" t="s">
        <v>0</v>
      </c>
      <c r="V233" s="58" t="s">
        <v>0</v>
      </c>
      <c r="W233" s="58" t="s">
        <v>0</v>
      </c>
      <c r="X233" s="58" t="s">
        <v>0</v>
      </c>
      <c r="Y233" s="58" t="s">
        <v>0</v>
      </c>
      <c r="Z233" s="58" t="s">
        <v>472</v>
      </c>
      <c r="AA233" s="58" t="s">
        <v>472</v>
      </c>
      <c r="AB233" s="58" t="s">
        <v>0</v>
      </c>
      <c r="AC233" s="58" t="s">
        <v>0</v>
      </c>
      <c r="AD233" s="58" t="s">
        <v>0</v>
      </c>
      <c r="AE233" s="58" t="s">
        <v>0</v>
      </c>
      <c r="AF233" s="58"/>
      <c r="AG233" s="58"/>
      <c r="AH233" s="58"/>
      <c r="AI233" s="58" t="s">
        <v>0</v>
      </c>
      <c r="AJ233" s="58" t="s">
        <v>0</v>
      </c>
      <c r="AK233" s="1" t="s">
        <v>1255</v>
      </c>
    </row>
    <row r="234" spans="2:37">
      <c r="B234" s="82" t="s">
        <v>0</v>
      </c>
      <c r="C234" s="71" t="s">
        <v>0</v>
      </c>
      <c r="D234" s="71" t="s">
        <v>0</v>
      </c>
      <c r="E234" s="82" t="s">
        <v>0</v>
      </c>
      <c r="F234" s="83" t="s">
        <v>0</v>
      </c>
      <c r="G234" s="71" t="s">
        <v>1257</v>
      </c>
      <c r="H234" s="71" t="s">
        <v>1266</v>
      </c>
      <c r="I234" s="71" t="s">
        <v>1271</v>
      </c>
      <c r="J234" s="84" t="s">
        <v>461</v>
      </c>
      <c r="K234" s="76" t="s">
        <v>1005</v>
      </c>
      <c r="L234" s="84" t="s">
        <v>1242</v>
      </c>
      <c r="M234" s="71" t="s">
        <v>0</v>
      </c>
      <c r="N234" s="2"/>
      <c r="O234" s="58"/>
      <c r="P234" s="60" t="s">
        <v>379</v>
      </c>
      <c r="Q234" s="60" t="s">
        <v>522</v>
      </c>
      <c r="R234" s="85" t="s">
        <v>0</v>
      </c>
      <c r="S234" s="85" t="s">
        <v>0</v>
      </c>
      <c r="T234" s="61" t="s">
        <v>0</v>
      </c>
      <c r="U234" s="60" t="s">
        <v>0</v>
      </c>
      <c r="V234" s="58" t="s">
        <v>0</v>
      </c>
      <c r="W234" s="58" t="s">
        <v>0</v>
      </c>
      <c r="X234" s="58" t="s">
        <v>0</v>
      </c>
      <c r="Y234" s="58" t="s">
        <v>0</v>
      </c>
      <c r="Z234" s="58" t="s">
        <v>472</v>
      </c>
      <c r="AA234" s="58" t="s">
        <v>472</v>
      </c>
      <c r="AB234" s="58" t="s">
        <v>0</v>
      </c>
      <c r="AC234" s="58" t="s">
        <v>0</v>
      </c>
      <c r="AD234" s="58" t="s">
        <v>0</v>
      </c>
      <c r="AE234" s="58" t="s">
        <v>0</v>
      </c>
      <c r="AF234" s="58"/>
      <c r="AG234" s="58"/>
      <c r="AH234" s="58"/>
      <c r="AI234" s="58" t="s">
        <v>0</v>
      </c>
      <c r="AJ234" s="58" t="s">
        <v>0</v>
      </c>
      <c r="AK234" s="1" t="s">
        <v>1255</v>
      </c>
    </row>
    <row r="235" spans="2:37">
      <c r="B235" s="82" t="s">
        <v>0</v>
      </c>
      <c r="C235" s="71" t="s">
        <v>0</v>
      </c>
      <c r="D235" s="71" t="s">
        <v>0</v>
      </c>
      <c r="E235" s="82" t="s">
        <v>0</v>
      </c>
      <c r="F235" s="83" t="s">
        <v>0</v>
      </c>
      <c r="G235" s="71" t="s">
        <v>1262</v>
      </c>
      <c r="H235" s="71" t="s">
        <v>1266</v>
      </c>
      <c r="I235" s="71" t="s">
        <v>1271</v>
      </c>
      <c r="J235" s="84" t="s">
        <v>461</v>
      </c>
      <c r="K235" s="76" t="s">
        <v>1006</v>
      </c>
      <c r="L235" s="84" t="s">
        <v>637</v>
      </c>
      <c r="M235" s="71" t="s">
        <v>0</v>
      </c>
      <c r="N235" s="2"/>
      <c r="O235" s="58"/>
      <c r="P235" s="60" t="s">
        <v>379</v>
      </c>
      <c r="Q235" s="60" t="s">
        <v>522</v>
      </c>
      <c r="R235" s="85" t="s">
        <v>0</v>
      </c>
      <c r="S235" s="85" t="s">
        <v>0</v>
      </c>
      <c r="T235" s="61" t="s">
        <v>0</v>
      </c>
      <c r="U235" s="60" t="s">
        <v>0</v>
      </c>
      <c r="V235" s="58" t="s">
        <v>0</v>
      </c>
      <c r="W235" s="58" t="s">
        <v>0</v>
      </c>
      <c r="X235" s="58" t="s">
        <v>0</v>
      </c>
      <c r="Y235" s="58" t="s">
        <v>0</v>
      </c>
      <c r="Z235" s="58" t="s">
        <v>464</v>
      </c>
      <c r="AA235" s="58" t="s">
        <v>464</v>
      </c>
      <c r="AB235" s="58" t="s">
        <v>0</v>
      </c>
      <c r="AC235" s="58" t="s">
        <v>0</v>
      </c>
      <c r="AD235" s="58" t="s">
        <v>0</v>
      </c>
      <c r="AE235" s="58" t="s">
        <v>0</v>
      </c>
      <c r="AF235" s="58"/>
      <c r="AG235" s="58"/>
      <c r="AH235" s="58"/>
      <c r="AI235" s="58" t="s">
        <v>0</v>
      </c>
      <c r="AJ235" s="58" t="s">
        <v>0</v>
      </c>
      <c r="AK235" s="1" t="s">
        <v>1255</v>
      </c>
    </row>
    <row r="236" spans="2:37">
      <c r="B236" s="82" t="s">
        <v>0</v>
      </c>
      <c r="C236" s="71" t="s">
        <v>0</v>
      </c>
      <c r="D236" s="71" t="s">
        <v>0</v>
      </c>
      <c r="E236" s="82" t="s">
        <v>0</v>
      </c>
      <c r="F236" s="83" t="s">
        <v>0</v>
      </c>
      <c r="G236" s="71" t="s">
        <v>1257</v>
      </c>
      <c r="H236" s="71" t="s">
        <v>1266</v>
      </c>
      <c r="I236" s="71" t="s">
        <v>1269</v>
      </c>
      <c r="J236" s="84" t="s">
        <v>461</v>
      </c>
      <c r="K236" s="76" t="s">
        <v>1007</v>
      </c>
      <c r="L236" s="84" t="s">
        <v>574</v>
      </c>
      <c r="M236" s="71" t="s">
        <v>0</v>
      </c>
      <c r="N236" s="2"/>
      <c r="O236" s="58"/>
      <c r="P236" s="60" t="s">
        <v>379</v>
      </c>
      <c r="Q236" s="60" t="s">
        <v>522</v>
      </c>
      <c r="R236" s="85" t="s">
        <v>0</v>
      </c>
      <c r="S236" s="85" t="s">
        <v>0</v>
      </c>
      <c r="T236" s="61" t="s">
        <v>0</v>
      </c>
      <c r="U236" s="60" t="s">
        <v>0</v>
      </c>
      <c r="V236" s="58" t="s">
        <v>0</v>
      </c>
      <c r="W236" s="58" t="s">
        <v>0</v>
      </c>
      <c r="X236" s="58" t="s">
        <v>0</v>
      </c>
      <c r="Y236" s="58" t="s">
        <v>0</v>
      </c>
      <c r="Z236" s="58" t="s">
        <v>472</v>
      </c>
      <c r="AA236" s="58" t="s">
        <v>472</v>
      </c>
      <c r="AB236" s="58" t="s">
        <v>0</v>
      </c>
      <c r="AC236" s="58" t="s">
        <v>0</v>
      </c>
      <c r="AD236" s="58" t="s">
        <v>0</v>
      </c>
      <c r="AE236" s="58" t="s">
        <v>0</v>
      </c>
      <c r="AF236" s="58"/>
      <c r="AG236" s="58"/>
      <c r="AH236" s="58"/>
      <c r="AI236" s="58" t="s">
        <v>0</v>
      </c>
      <c r="AJ236" s="58" t="s">
        <v>0</v>
      </c>
      <c r="AK236" s="1" t="s">
        <v>1255</v>
      </c>
    </row>
    <row r="237" spans="2:37">
      <c r="B237" s="82" t="s">
        <v>0</v>
      </c>
      <c r="C237" s="71" t="s">
        <v>0</v>
      </c>
      <c r="D237" s="71" t="s">
        <v>0</v>
      </c>
      <c r="E237" s="82" t="s">
        <v>0</v>
      </c>
      <c r="F237" s="83" t="s">
        <v>0</v>
      </c>
      <c r="G237" s="71" t="s">
        <v>1257</v>
      </c>
      <c r="H237" s="71" t="s">
        <v>1266</v>
      </c>
      <c r="I237" s="71" t="s">
        <v>1269</v>
      </c>
      <c r="J237" s="84" t="s">
        <v>461</v>
      </c>
      <c r="K237" s="76" t="s">
        <v>1008</v>
      </c>
      <c r="L237" s="84" t="s">
        <v>610</v>
      </c>
      <c r="M237" s="71" t="s">
        <v>0</v>
      </c>
      <c r="N237" s="2"/>
      <c r="O237" s="58"/>
      <c r="P237" s="60" t="s">
        <v>379</v>
      </c>
      <c r="Q237" s="60" t="s">
        <v>522</v>
      </c>
      <c r="R237" s="85" t="s">
        <v>0</v>
      </c>
      <c r="S237" s="85" t="s">
        <v>0</v>
      </c>
      <c r="T237" s="61" t="s">
        <v>0</v>
      </c>
      <c r="U237" s="60" t="s">
        <v>0</v>
      </c>
      <c r="V237" s="70" t="s">
        <v>0</v>
      </c>
      <c r="W237" s="70" t="s">
        <v>0</v>
      </c>
      <c r="X237" s="58" t="s">
        <v>0</v>
      </c>
      <c r="Y237" s="58" t="s">
        <v>0</v>
      </c>
      <c r="Z237" s="58" t="s">
        <v>472</v>
      </c>
      <c r="AA237" s="58" t="s">
        <v>472</v>
      </c>
      <c r="AB237" s="58" t="s">
        <v>0</v>
      </c>
      <c r="AC237" s="58" t="s">
        <v>0</v>
      </c>
      <c r="AD237" s="58" t="s">
        <v>0</v>
      </c>
      <c r="AE237" s="58" t="s">
        <v>0</v>
      </c>
      <c r="AF237" s="58"/>
      <c r="AG237" s="58"/>
      <c r="AH237" s="58"/>
      <c r="AI237" s="58" t="s">
        <v>0</v>
      </c>
      <c r="AJ237" s="58" t="s">
        <v>0</v>
      </c>
      <c r="AK237" s="1" t="s">
        <v>1255</v>
      </c>
    </row>
    <row r="238" spans="2:37">
      <c r="B238" s="68" t="s">
        <v>0</v>
      </c>
      <c r="C238" s="55" t="s">
        <v>0</v>
      </c>
      <c r="D238" s="55" t="s">
        <v>0</v>
      </c>
      <c r="E238" s="68" t="s">
        <v>0</v>
      </c>
      <c r="F238" s="59" t="s">
        <v>0</v>
      </c>
      <c r="G238" s="55" t="s">
        <v>1262</v>
      </c>
      <c r="H238" s="55" t="s">
        <v>1253</v>
      </c>
      <c r="I238" s="55" t="s">
        <v>462</v>
      </c>
      <c r="J238" s="60" t="s">
        <v>461</v>
      </c>
      <c r="K238" s="78" t="s">
        <v>1014</v>
      </c>
      <c r="L238" s="60" t="s">
        <v>1015</v>
      </c>
      <c r="M238" s="55" t="s">
        <v>0</v>
      </c>
      <c r="N238" s="2"/>
      <c r="O238" s="58"/>
      <c r="P238" s="60" t="s">
        <v>379</v>
      </c>
      <c r="Q238" s="60" t="s">
        <v>522</v>
      </c>
      <c r="R238" s="85" t="s">
        <v>0</v>
      </c>
      <c r="S238" s="85" t="s">
        <v>0</v>
      </c>
      <c r="T238" s="61" t="s">
        <v>0</v>
      </c>
      <c r="U238" s="60" t="s">
        <v>0</v>
      </c>
      <c r="V238" s="70" t="s">
        <v>0</v>
      </c>
      <c r="W238" s="70" t="s">
        <v>0</v>
      </c>
      <c r="X238" s="58" t="s">
        <v>0</v>
      </c>
      <c r="Y238" s="58" t="s">
        <v>0</v>
      </c>
      <c r="Z238" s="58" t="s">
        <v>476</v>
      </c>
      <c r="AA238" s="58" t="s">
        <v>487</v>
      </c>
      <c r="AB238" s="58" t="s">
        <v>0</v>
      </c>
      <c r="AC238" s="58" t="s">
        <v>0</v>
      </c>
      <c r="AD238" s="58" t="s">
        <v>0</v>
      </c>
      <c r="AE238" s="58" t="s">
        <v>0</v>
      </c>
      <c r="AF238" s="58"/>
      <c r="AG238" s="58"/>
      <c r="AH238" s="58"/>
      <c r="AI238" s="58" t="s">
        <v>0</v>
      </c>
      <c r="AJ238" s="58" t="s">
        <v>0</v>
      </c>
      <c r="AK238" s="1" t="s">
        <v>1255</v>
      </c>
    </row>
    <row r="239" spans="2:37">
      <c r="B239" s="68" t="s">
        <v>1069</v>
      </c>
      <c r="C239" s="55">
        <v>46015</v>
      </c>
      <c r="D239" s="55">
        <v>46027</v>
      </c>
      <c r="E239" s="68">
        <v>46028</v>
      </c>
      <c r="F239" s="59">
        <v>13</v>
      </c>
      <c r="G239" s="55" t="s">
        <v>1262</v>
      </c>
      <c r="H239" s="55" t="s">
        <v>1253</v>
      </c>
      <c r="I239" s="55" t="s">
        <v>460</v>
      </c>
      <c r="J239" s="60" t="s">
        <v>461</v>
      </c>
      <c r="K239" s="78" t="s">
        <v>1016</v>
      </c>
      <c r="L239" s="60" t="s">
        <v>1017</v>
      </c>
      <c r="M239" s="55" t="s">
        <v>624</v>
      </c>
      <c r="N239" s="49" t="s">
        <v>488</v>
      </c>
      <c r="O239" s="49" t="s">
        <v>489</v>
      </c>
      <c r="P239" s="60" t="s">
        <v>8</v>
      </c>
      <c r="Q239" s="60" t="s">
        <v>1069</v>
      </c>
      <c r="R239" s="85">
        <v>46014</v>
      </c>
      <c r="S239" s="85">
        <v>46030</v>
      </c>
      <c r="T239" s="61">
        <v>16</v>
      </c>
      <c r="U239" s="60">
        <v>16</v>
      </c>
      <c r="V239" s="70" t="s">
        <v>1254</v>
      </c>
      <c r="W239" s="70" t="s">
        <v>0</v>
      </c>
      <c r="X239" s="58" t="s">
        <v>0</v>
      </c>
      <c r="Y239" s="58" t="s">
        <v>0</v>
      </c>
      <c r="Z239" s="54" t="s">
        <v>472</v>
      </c>
      <c r="AA239" s="54" t="s">
        <v>510</v>
      </c>
      <c r="AB239" s="54" t="s">
        <v>677</v>
      </c>
      <c r="AC239" s="58" t="s">
        <v>0</v>
      </c>
      <c r="AD239" s="58" t="s">
        <v>0</v>
      </c>
      <c r="AE239" s="58" t="s">
        <v>0</v>
      </c>
      <c r="AF239" s="58"/>
      <c r="AG239" s="58"/>
      <c r="AH239" s="58"/>
      <c r="AI239" s="58">
        <v>2</v>
      </c>
      <c r="AJ239" s="58">
        <v>13</v>
      </c>
      <c r="AK239" s="1" t="s">
        <v>1255</v>
      </c>
    </row>
    <row r="240" spans="2:37">
      <c r="B240" s="68" t="s">
        <v>1279</v>
      </c>
      <c r="C240" s="55">
        <v>46045</v>
      </c>
      <c r="D240" s="55">
        <v>0</v>
      </c>
      <c r="E240" s="68">
        <v>0</v>
      </c>
      <c r="F240" s="59">
        <v>-46045</v>
      </c>
      <c r="G240" s="55" t="s">
        <v>1257</v>
      </c>
      <c r="H240" s="55" t="s">
        <v>1253</v>
      </c>
      <c r="I240" s="55" t="s">
        <v>460</v>
      </c>
      <c r="J240" s="60" t="s">
        <v>461</v>
      </c>
      <c r="K240" s="78" t="s">
        <v>1018</v>
      </c>
      <c r="L240" s="60" t="s">
        <v>1019</v>
      </c>
      <c r="M240" s="55" t="s">
        <v>624</v>
      </c>
      <c r="N240" s="49" t="s">
        <v>488</v>
      </c>
      <c r="O240" s="49" t="s">
        <v>489</v>
      </c>
      <c r="P240" s="60" t="s">
        <v>6</v>
      </c>
      <c r="Q240" s="60" t="s">
        <v>522</v>
      </c>
      <c r="R240" s="85" t="s">
        <v>0</v>
      </c>
      <c r="S240" s="85" t="s">
        <v>0</v>
      </c>
      <c r="T240" s="61" t="s">
        <v>0</v>
      </c>
      <c r="U240" s="60" t="s">
        <v>0</v>
      </c>
      <c r="V240" s="70" t="s">
        <v>0</v>
      </c>
      <c r="W240" s="70" t="s">
        <v>0</v>
      </c>
      <c r="X240" s="58" t="s">
        <v>0</v>
      </c>
      <c r="Y240" s="58" t="s">
        <v>0</v>
      </c>
      <c r="Z240" s="54" t="s">
        <v>472</v>
      </c>
      <c r="AA240" s="54" t="s">
        <v>485</v>
      </c>
      <c r="AB240" s="58" t="s">
        <v>0</v>
      </c>
      <c r="AC240" s="58" t="s">
        <v>0</v>
      </c>
      <c r="AD240" s="58" t="s">
        <v>0</v>
      </c>
      <c r="AE240" s="58" t="s">
        <v>0</v>
      </c>
      <c r="AF240" s="58"/>
      <c r="AG240" s="58"/>
      <c r="AH240" s="58"/>
      <c r="AI240" s="58" t="s">
        <v>0</v>
      </c>
      <c r="AJ240" s="58">
        <v>-46045</v>
      </c>
      <c r="AK240" s="1" t="s">
        <v>1255</v>
      </c>
    </row>
    <row r="241" spans="2:37">
      <c r="B241" s="68" t="s">
        <v>0</v>
      </c>
      <c r="C241" s="55" t="s">
        <v>0</v>
      </c>
      <c r="D241" s="55" t="s">
        <v>0</v>
      </c>
      <c r="E241" s="68" t="s">
        <v>0</v>
      </c>
      <c r="F241" s="59" t="s">
        <v>0</v>
      </c>
      <c r="G241" s="55" t="s">
        <v>1257</v>
      </c>
      <c r="H241" s="55" t="s">
        <v>1266</v>
      </c>
      <c r="I241" s="55" t="s">
        <v>1269</v>
      </c>
      <c r="J241" s="60" t="s">
        <v>461</v>
      </c>
      <c r="K241" s="78" t="s">
        <v>1020</v>
      </c>
      <c r="L241" s="60" t="s">
        <v>629</v>
      </c>
      <c r="M241" s="55" t="s">
        <v>0</v>
      </c>
      <c r="N241" s="2"/>
      <c r="O241" s="58"/>
      <c r="P241" s="60" t="s">
        <v>379</v>
      </c>
      <c r="Q241" s="60" t="s">
        <v>522</v>
      </c>
      <c r="R241" s="85" t="s">
        <v>0</v>
      </c>
      <c r="S241" s="85" t="s">
        <v>0</v>
      </c>
      <c r="T241" s="61" t="s">
        <v>0</v>
      </c>
      <c r="U241" s="60" t="s">
        <v>0</v>
      </c>
      <c r="V241" s="70" t="s">
        <v>0</v>
      </c>
      <c r="W241" s="70" t="s">
        <v>0</v>
      </c>
      <c r="X241" s="58" t="s">
        <v>0</v>
      </c>
      <c r="Y241" s="58" t="s">
        <v>0</v>
      </c>
      <c r="Z241" s="58" t="s">
        <v>474</v>
      </c>
      <c r="AA241" s="58" t="s">
        <v>464</v>
      </c>
      <c r="AB241" s="58" t="s">
        <v>0</v>
      </c>
      <c r="AC241" s="58" t="s">
        <v>0</v>
      </c>
      <c r="AD241" s="58" t="s">
        <v>0</v>
      </c>
      <c r="AE241" s="58" t="s">
        <v>0</v>
      </c>
      <c r="AF241" s="58"/>
      <c r="AG241" s="58"/>
      <c r="AH241" s="58"/>
      <c r="AI241" s="58" t="s">
        <v>0</v>
      </c>
      <c r="AJ241" s="58" t="s">
        <v>0</v>
      </c>
      <c r="AK241" s="1" t="s">
        <v>1255</v>
      </c>
    </row>
    <row r="242" spans="2:37">
      <c r="B242" s="68" t="s">
        <v>0</v>
      </c>
      <c r="C242" s="55" t="s">
        <v>0</v>
      </c>
      <c r="D242" s="55" t="s">
        <v>0</v>
      </c>
      <c r="E242" s="68" t="s">
        <v>0</v>
      </c>
      <c r="F242" s="59" t="s">
        <v>0</v>
      </c>
      <c r="G242" s="55" t="s">
        <v>1257</v>
      </c>
      <c r="H242" s="55" t="s">
        <v>1266</v>
      </c>
      <c r="I242" s="55" t="s">
        <v>1269</v>
      </c>
      <c r="J242" s="60" t="s">
        <v>461</v>
      </c>
      <c r="K242" s="78" t="s">
        <v>1021</v>
      </c>
      <c r="L242" s="60" t="s">
        <v>636</v>
      </c>
      <c r="M242" s="55" t="s">
        <v>0</v>
      </c>
      <c r="N242" s="2"/>
      <c r="O242" s="58"/>
      <c r="P242" s="60" t="s">
        <v>379</v>
      </c>
      <c r="Q242" s="60" t="s">
        <v>522</v>
      </c>
      <c r="R242" s="85" t="s">
        <v>0</v>
      </c>
      <c r="S242" s="85" t="s">
        <v>0</v>
      </c>
      <c r="T242" s="61" t="s">
        <v>0</v>
      </c>
      <c r="U242" s="60" t="s">
        <v>0</v>
      </c>
      <c r="V242" s="70" t="s">
        <v>0</v>
      </c>
      <c r="W242" s="70" t="s">
        <v>0</v>
      </c>
      <c r="X242" s="58" t="s">
        <v>0</v>
      </c>
      <c r="Y242" s="58" t="s">
        <v>0</v>
      </c>
      <c r="Z242" s="58" t="s">
        <v>479</v>
      </c>
      <c r="AA242" s="58" t="s">
        <v>0</v>
      </c>
      <c r="AB242" s="58" t="s">
        <v>0</v>
      </c>
      <c r="AC242" s="58" t="s">
        <v>0</v>
      </c>
      <c r="AD242" s="58" t="s">
        <v>0</v>
      </c>
      <c r="AE242" s="58" t="s">
        <v>0</v>
      </c>
      <c r="AF242" s="58"/>
      <c r="AG242" s="58"/>
      <c r="AH242" s="58"/>
      <c r="AI242" s="58" t="s">
        <v>0</v>
      </c>
      <c r="AJ242" s="58" t="s">
        <v>0</v>
      </c>
      <c r="AK242" s="1" t="s">
        <v>1255</v>
      </c>
    </row>
    <row r="243" spans="2:37">
      <c r="B243" s="68" t="s">
        <v>0</v>
      </c>
      <c r="C243" s="55" t="s">
        <v>0</v>
      </c>
      <c r="D243" s="55" t="s">
        <v>0</v>
      </c>
      <c r="E243" s="68" t="s">
        <v>0</v>
      </c>
      <c r="F243" s="59" t="s">
        <v>0</v>
      </c>
      <c r="G243" s="55" t="s">
        <v>1257</v>
      </c>
      <c r="H243" s="55" t="s">
        <v>1266</v>
      </c>
      <c r="I243" s="55" t="s">
        <v>1269</v>
      </c>
      <c r="J243" s="60" t="s">
        <v>461</v>
      </c>
      <c r="K243" s="78" t="s">
        <v>1022</v>
      </c>
      <c r="L243" s="60" t="s">
        <v>1023</v>
      </c>
      <c r="M243" s="55" t="s">
        <v>0</v>
      </c>
      <c r="N243" s="2"/>
      <c r="O243" s="58"/>
      <c r="P243" s="60" t="s">
        <v>379</v>
      </c>
      <c r="Q243" s="60" t="s">
        <v>522</v>
      </c>
      <c r="R243" s="85" t="s">
        <v>0</v>
      </c>
      <c r="S243" s="85" t="s">
        <v>0</v>
      </c>
      <c r="T243" s="61" t="s">
        <v>0</v>
      </c>
      <c r="U243" s="60" t="s">
        <v>0</v>
      </c>
      <c r="V243" s="70" t="s">
        <v>0</v>
      </c>
      <c r="W243" s="70" t="s">
        <v>0</v>
      </c>
      <c r="X243" s="58" t="s">
        <v>0</v>
      </c>
      <c r="Y243" s="58" t="s">
        <v>0</v>
      </c>
      <c r="Z243" s="58" t="s">
        <v>472</v>
      </c>
      <c r="AA243" s="58" t="s">
        <v>0</v>
      </c>
      <c r="AB243" s="58" t="s">
        <v>0</v>
      </c>
      <c r="AC243" s="58" t="s">
        <v>0</v>
      </c>
      <c r="AD243" s="58" t="s">
        <v>0</v>
      </c>
      <c r="AE243" s="58" t="s">
        <v>0</v>
      </c>
      <c r="AF243" s="58"/>
      <c r="AG243" s="58"/>
      <c r="AH243" s="58"/>
      <c r="AI243" s="58" t="s">
        <v>0</v>
      </c>
      <c r="AJ243" s="58" t="s">
        <v>0</v>
      </c>
      <c r="AK243" s="1" t="s">
        <v>1255</v>
      </c>
    </row>
    <row r="244" spans="2:37">
      <c r="B244" s="68" t="s">
        <v>1268</v>
      </c>
      <c r="C244" s="68">
        <v>46038</v>
      </c>
      <c r="D244" s="68">
        <v>0</v>
      </c>
      <c r="E244" s="68">
        <v>0</v>
      </c>
      <c r="F244" s="59">
        <v>-46038</v>
      </c>
      <c r="G244" s="55" t="s">
        <v>1257</v>
      </c>
      <c r="H244" s="55" t="s">
        <v>1266</v>
      </c>
      <c r="I244" s="55" t="s">
        <v>1267</v>
      </c>
      <c r="J244" s="60" t="s">
        <v>461</v>
      </c>
      <c r="K244" s="78" t="s">
        <v>1024</v>
      </c>
      <c r="L244" s="60" t="s">
        <v>1025</v>
      </c>
      <c r="M244" s="55" t="s">
        <v>624</v>
      </c>
      <c r="N244" s="49" t="s">
        <v>488</v>
      </c>
      <c r="O244" s="49" t="s">
        <v>489</v>
      </c>
      <c r="P244" s="60" t="s">
        <v>7</v>
      </c>
      <c r="Q244" s="60" t="s">
        <v>1248</v>
      </c>
      <c r="R244" s="85" t="s">
        <v>0</v>
      </c>
      <c r="S244" s="85" t="s">
        <v>0</v>
      </c>
      <c r="T244" s="61" t="s">
        <v>0</v>
      </c>
      <c r="U244" s="60" t="s">
        <v>0</v>
      </c>
      <c r="V244" s="70" t="s">
        <v>0</v>
      </c>
      <c r="W244" s="70" t="s">
        <v>0</v>
      </c>
      <c r="X244" s="58" t="s">
        <v>0</v>
      </c>
      <c r="Y244" s="58" t="s">
        <v>0</v>
      </c>
      <c r="Z244" s="54" t="s">
        <v>463</v>
      </c>
      <c r="AA244" s="54" t="s">
        <v>464</v>
      </c>
      <c r="AB244" s="54" t="s">
        <v>520</v>
      </c>
      <c r="AC244" s="58" t="s">
        <v>0</v>
      </c>
      <c r="AD244" s="58" t="s">
        <v>0</v>
      </c>
      <c r="AE244" s="58" t="s">
        <v>0</v>
      </c>
      <c r="AF244" s="58"/>
      <c r="AG244" s="58"/>
      <c r="AH244" s="58"/>
      <c r="AI244" s="58" t="s">
        <v>0</v>
      </c>
      <c r="AJ244" s="58">
        <v>-46038</v>
      </c>
      <c r="AK244" s="1" t="s">
        <v>1255</v>
      </c>
    </row>
    <row r="245" spans="2:37">
      <c r="B245" s="68" t="s">
        <v>1280</v>
      </c>
      <c r="C245" s="55">
        <v>46034</v>
      </c>
      <c r="D245" s="55">
        <v>46037</v>
      </c>
      <c r="E245" s="68">
        <v>46038</v>
      </c>
      <c r="F245" s="59">
        <v>4</v>
      </c>
      <c r="G245" s="55" t="s">
        <v>1257</v>
      </c>
      <c r="H245" s="55" t="s">
        <v>1266</v>
      </c>
      <c r="I245" s="55" t="s">
        <v>462</v>
      </c>
      <c r="J245" s="60" t="s">
        <v>461</v>
      </c>
      <c r="K245" s="78" t="s">
        <v>1026</v>
      </c>
      <c r="L245" s="60" t="s">
        <v>1027</v>
      </c>
      <c r="M245" s="55" t="s">
        <v>624</v>
      </c>
      <c r="N245" s="49" t="s">
        <v>488</v>
      </c>
      <c r="O245" s="49" t="s">
        <v>489</v>
      </c>
      <c r="P245" s="60" t="s">
        <v>7</v>
      </c>
      <c r="Q245" s="60" t="s">
        <v>1246</v>
      </c>
      <c r="R245" s="85">
        <v>46031</v>
      </c>
      <c r="S245" s="85" t="s">
        <v>0</v>
      </c>
      <c r="T245" s="61" t="s">
        <v>0</v>
      </c>
      <c r="U245" s="60" t="s">
        <v>0</v>
      </c>
      <c r="V245" s="70" t="s">
        <v>0</v>
      </c>
      <c r="W245" s="70" t="s">
        <v>0</v>
      </c>
      <c r="X245" s="58" t="s">
        <v>0</v>
      </c>
      <c r="Y245" s="58" t="s">
        <v>0</v>
      </c>
      <c r="Z245" s="54" t="s">
        <v>471</v>
      </c>
      <c r="AA245" s="54" t="s">
        <v>467</v>
      </c>
      <c r="AB245" s="58" t="s">
        <v>0</v>
      </c>
      <c r="AC245" s="58" t="s">
        <v>0</v>
      </c>
      <c r="AD245" s="58" t="s">
        <v>0</v>
      </c>
      <c r="AE245" s="58" t="s">
        <v>0</v>
      </c>
      <c r="AF245" s="58"/>
      <c r="AG245" s="58"/>
      <c r="AH245" s="58"/>
      <c r="AI245" s="58" t="s">
        <v>0</v>
      </c>
      <c r="AJ245" s="58"/>
      <c r="AK245" s="1" t="s">
        <v>1255</v>
      </c>
    </row>
    <row r="246" spans="2:37">
      <c r="B246" s="68" t="s">
        <v>1272</v>
      </c>
      <c r="C246" s="68">
        <v>46030</v>
      </c>
      <c r="D246" s="68">
        <v>46043</v>
      </c>
      <c r="E246" s="68">
        <v>46044</v>
      </c>
      <c r="F246" s="59">
        <v>14</v>
      </c>
      <c r="G246" s="55" t="s">
        <v>1257</v>
      </c>
      <c r="H246" s="55" t="s">
        <v>1266</v>
      </c>
      <c r="I246" s="55" t="s">
        <v>1267</v>
      </c>
      <c r="J246" s="60" t="s">
        <v>461</v>
      </c>
      <c r="K246" s="78" t="s">
        <v>1028</v>
      </c>
      <c r="L246" s="60" t="s">
        <v>1029</v>
      </c>
      <c r="M246" s="55" t="s">
        <v>624</v>
      </c>
      <c r="N246" s="49" t="s">
        <v>488</v>
      </c>
      <c r="O246" s="49" t="s">
        <v>489</v>
      </c>
      <c r="P246" s="60" t="s">
        <v>5</v>
      </c>
      <c r="Q246" s="60" t="s">
        <v>1224</v>
      </c>
      <c r="R246" s="85" t="s">
        <v>0</v>
      </c>
      <c r="S246" s="85" t="s">
        <v>0</v>
      </c>
      <c r="T246" s="61" t="s">
        <v>0</v>
      </c>
      <c r="U246" s="60" t="s">
        <v>0</v>
      </c>
      <c r="V246" s="70" t="s">
        <v>0</v>
      </c>
      <c r="W246" s="70" t="s">
        <v>0</v>
      </c>
      <c r="X246" s="58" t="s">
        <v>0</v>
      </c>
      <c r="Y246" s="58" t="s">
        <v>0</v>
      </c>
      <c r="Z246" s="54" t="s">
        <v>508</v>
      </c>
      <c r="AA246" s="54" t="s">
        <v>520</v>
      </c>
      <c r="AB246" s="58" t="s">
        <v>508</v>
      </c>
      <c r="AC246" s="58" t="s">
        <v>520</v>
      </c>
      <c r="AD246" s="58" t="s">
        <v>0</v>
      </c>
      <c r="AE246" s="58" t="s">
        <v>0</v>
      </c>
      <c r="AF246" s="58"/>
      <c r="AG246" s="58"/>
      <c r="AH246" s="58"/>
      <c r="AI246" s="58" t="s">
        <v>0</v>
      </c>
      <c r="AJ246" s="58"/>
      <c r="AK246" s="1" t="s">
        <v>1255</v>
      </c>
    </row>
    <row r="247" spans="2:37">
      <c r="B247" s="68" t="s">
        <v>0</v>
      </c>
      <c r="C247" s="55" t="s">
        <v>0</v>
      </c>
      <c r="D247" s="55" t="s">
        <v>0</v>
      </c>
      <c r="E247" s="68" t="s">
        <v>0</v>
      </c>
      <c r="F247" s="59" t="s">
        <v>0</v>
      </c>
      <c r="G247" s="55" t="s">
        <v>1257</v>
      </c>
      <c r="H247" s="55" t="s">
        <v>1266</v>
      </c>
      <c r="I247" s="55" t="s">
        <v>1271</v>
      </c>
      <c r="J247" s="60" t="s">
        <v>461</v>
      </c>
      <c r="K247" s="78" t="s">
        <v>1030</v>
      </c>
      <c r="L247" s="60" t="s">
        <v>600</v>
      </c>
      <c r="M247" s="55" t="s">
        <v>0</v>
      </c>
      <c r="N247" s="2"/>
      <c r="O247" s="58"/>
      <c r="P247" s="60" t="s">
        <v>379</v>
      </c>
      <c r="Q247" s="60" t="s">
        <v>522</v>
      </c>
      <c r="R247" s="85" t="s">
        <v>0</v>
      </c>
      <c r="S247" s="85" t="s">
        <v>0</v>
      </c>
      <c r="T247" s="61" t="s">
        <v>0</v>
      </c>
      <c r="U247" s="60" t="s">
        <v>0</v>
      </c>
      <c r="V247" s="70" t="s">
        <v>0</v>
      </c>
      <c r="W247" s="70" t="s">
        <v>0</v>
      </c>
      <c r="X247" s="58" t="s">
        <v>0</v>
      </c>
      <c r="Y247" s="58" t="s">
        <v>0</v>
      </c>
      <c r="Z247" s="58" t="s">
        <v>467</v>
      </c>
      <c r="AA247" s="58" t="s">
        <v>464</v>
      </c>
      <c r="AB247" s="58" t="s">
        <v>487</v>
      </c>
      <c r="AC247" s="58" t="s">
        <v>467</v>
      </c>
      <c r="AD247" s="58" t="s">
        <v>464</v>
      </c>
      <c r="AE247" s="58" t="s">
        <v>487</v>
      </c>
      <c r="AF247" s="58"/>
      <c r="AG247" s="58"/>
      <c r="AH247" s="58"/>
      <c r="AI247" s="58" t="s">
        <v>0</v>
      </c>
      <c r="AJ247" s="58" t="s">
        <v>0</v>
      </c>
      <c r="AK247" s="1" t="s">
        <v>1255</v>
      </c>
    </row>
    <row r="248" spans="2:37">
      <c r="B248" s="68" t="s">
        <v>0</v>
      </c>
      <c r="C248" s="55" t="s">
        <v>0</v>
      </c>
      <c r="D248" s="55" t="s">
        <v>0</v>
      </c>
      <c r="E248" s="68" t="s">
        <v>0</v>
      </c>
      <c r="F248" s="59" t="s">
        <v>0</v>
      </c>
      <c r="G248" s="55" t="s">
        <v>1257</v>
      </c>
      <c r="H248" s="55" t="s">
        <v>1266</v>
      </c>
      <c r="I248" s="55" t="s">
        <v>1271</v>
      </c>
      <c r="J248" s="60" t="s">
        <v>461</v>
      </c>
      <c r="K248" s="78" t="s">
        <v>1031</v>
      </c>
      <c r="L248" s="60" t="s">
        <v>1251</v>
      </c>
      <c r="M248" s="55" t="s">
        <v>0</v>
      </c>
      <c r="N248" s="2"/>
      <c r="O248" s="58"/>
      <c r="P248" s="60" t="s">
        <v>379</v>
      </c>
      <c r="Q248" s="60" t="s">
        <v>522</v>
      </c>
      <c r="R248" s="85" t="s">
        <v>0</v>
      </c>
      <c r="S248" s="85" t="s">
        <v>0</v>
      </c>
      <c r="T248" s="61" t="s">
        <v>0</v>
      </c>
      <c r="U248" s="60" t="s">
        <v>0</v>
      </c>
      <c r="V248" s="70" t="s">
        <v>0</v>
      </c>
      <c r="W248" s="70" t="s">
        <v>0</v>
      </c>
      <c r="X248" s="58" t="s">
        <v>0</v>
      </c>
      <c r="Y248" s="58" t="s">
        <v>0</v>
      </c>
      <c r="Z248" s="58" t="s">
        <v>470</v>
      </c>
      <c r="AA248" s="58" t="s">
        <v>508</v>
      </c>
      <c r="AB248" s="58" t="s">
        <v>470</v>
      </c>
      <c r="AC248" s="58" t="s">
        <v>508</v>
      </c>
      <c r="AD248" s="58" t="s">
        <v>0</v>
      </c>
      <c r="AE248" s="58" t="s">
        <v>0</v>
      </c>
      <c r="AF248" s="58"/>
      <c r="AG248" s="58"/>
      <c r="AH248" s="58"/>
      <c r="AI248" s="58" t="s">
        <v>0</v>
      </c>
      <c r="AJ248" s="58" t="s">
        <v>0</v>
      </c>
      <c r="AK248" s="1" t="s">
        <v>1255</v>
      </c>
    </row>
    <row r="249" spans="2:37">
      <c r="B249" s="68" t="s">
        <v>0</v>
      </c>
      <c r="C249" s="55" t="s">
        <v>0</v>
      </c>
      <c r="D249" s="55" t="s">
        <v>0</v>
      </c>
      <c r="E249" s="68" t="s">
        <v>0</v>
      </c>
      <c r="F249" s="59" t="s">
        <v>0</v>
      </c>
      <c r="G249" s="55" t="s">
        <v>1257</v>
      </c>
      <c r="H249" s="55" t="s">
        <v>1266</v>
      </c>
      <c r="I249" s="55" t="s">
        <v>1271</v>
      </c>
      <c r="J249" s="60" t="s">
        <v>461</v>
      </c>
      <c r="K249" s="78" t="s">
        <v>1032</v>
      </c>
      <c r="L249" s="60" t="s">
        <v>614</v>
      </c>
      <c r="M249" s="55" t="s">
        <v>0</v>
      </c>
      <c r="N249" s="2"/>
      <c r="O249" s="58"/>
      <c r="P249" s="60" t="s">
        <v>379</v>
      </c>
      <c r="Q249" s="60" t="s">
        <v>522</v>
      </c>
      <c r="R249" s="85" t="s">
        <v>0</v>
      </c>
      <c r="S249" s="85" t="s">
        <v>0</v>
      </c>
      <c r="T249" s="61" t="s">
        <v>0</v>
      </c>
      <c r="U249" s="60" t="s">
        <v>0</v>
      </c>
      <c r="V249" s="70" t="s">
        <v>0</v>
      </c>
      <c r="W249" s="70" t="s">
        <v>0</v>
      </c>
      <c r="X249" s="58" t="s">
        <v>0</v>
      </c>
      <c r="Y249" s="58" t="s">
        <v>0</v>
      </c>
      <c r="Z249" s="58" t="s">
        <v>477</v>
      </c>
      <c r="AA249" s="58" t="s">
        <v>471</v>
      </c>
      <c r="AB249" s="58" t="s">
        <v>508</v>
      </c>
      <c r="AC249" s="58" t="s">
        <v>477</v>
      </c>
      <c r="AD249" s="58" t="s">
        <v>471</v>
      </c>
      <c r="AE249" s="58" t="s">
        <v>508</v>
      </c>
      <c r="AF249" s="58"/>
      <c r="AG249" s="58"/>
      <c r="AH249" s="58"/>
      <c r="AI249" s="58" t="s">
        <v>0</v>
      </c>
      <c r="AJ249" s="58" t="s">
        <v>0</v>
      </c>
      <c r="AK249" s="1" t="s">
        <v>1255</v>
      </c>
    </row>
    <row r="250" spans="2:37">
      <c r="B250" s="68" t="s">
        <v>0</v>
      </c>
      <c r="C250" s="55" t="s">
        <v>0</v>
      </c>
      <c r="D250" s="55" t="s">
        <v>0</v>
      </c>
      <c r="E250" s="68" t="s">
        <v>0</v>
      </c>
      <c r="F250" s="59" t="s">
        <v>0</v>
      </c>
      <c r="G250" s="55" t="s">
        <v>1257</v>
      </c>
      <c r="H250" s="55" t="s">
        <v>1266</v>
      </c>
      <c r="I250" s="55" t="s">
        <v>1269</v>
      </c>
      <c r="J250" s="60" t="s">
        <v>461</v>
      </c>
      <c r="K250" s="78" t="s">
        <v>1033</v>
      </c>
      <c r="L250" s="60" t="s">
        <v>1034</v>
      </c>
      <c r="M250" s="55" t="s">
        <v>0</v>
      </c>
      <c r="N250" s="2"/>
      <c r="O250" s="58"/>
      <c r="P250" s="60" t="s">
        <v>379</v>
      </c>
      <c r="Q250" s="60" t="s">
        <v>522</v>
      </c>
      <c r="R250" s="85" t="s">
        <v>0</v>
      </c>
      <c r="S250" s="85" t="s">
        <v>0</v>
      </c>
      <c r="T250" s="61" t="s">
        <v>0</v>
      </c>
      <c r="U250" s="60" t="s">
        <v>0</v>
      </c>
      <c r="V250" s="70" t="s">
        <v>0</v>
      </c>
      <c r="W250" s="70" t="s">
        <v>0</v>
      </c>
      <c r="X250" s="58" t="s">
        <v>0</v>
      </c>
      <c r="Y250" s="58" t="s">
        <v>0</v>
      </c>
      <c r="Z250" s="58" t="s">
        <v>507</v>
      </c>
      <c r="AA250" s="58" t="s">
        <v>464</v>
      </c>
      <c r="AB250" s="58" t="s">
        <v>507</v>
      </c>
      <c r="AC250" s="58" t="s">
        <v>464</v>
      </c>
      <c r="AD250" s="58" t="s">
        <v>0</v>
      </c>
      <c r="AE250" s="58" t="s">
        <v>0</v>
      </c>
      <c r="AF250" s="58"/>
      <c r="AG250" s="58"/>
      <c r="AH250" s="58"/>
      <c r="AI250" s="58" t="s">
        <v>0</v>
      </c>
      <c r="AJ250" s="58" t="s">
        <v>0</v>
      </c>
      <c r="AK250" s="1" t="s">
        <v>1255</v>
      </c>
    </row>
    <row r="251" spans="2:37">
      <c r="B251" s="68" t="s">
        <v>0</v>
      </c>
      <c r="C251" s="55" t="s">
        <v>0</v>
      </c>
      <c r="D251" s="55" t="s">
        <v>0</v>
      </c>
      <c r="E251" s="68" t="s">
        <v>0</v>
      </c>
      <c r="F251" s="59" t="s">
        <v>0</v>
      </c>
      <c r="G251" s="55" t="s">
        <v>1257</v>
      </c>
      <c r="H251" s="55" t="s">
        <v>1266</v>
      </c>
      <c r="I251" s="55" t="s">
        <v>1269</v>
      </c>
      <c r="J251" s="60" t="s">
        <v>461</v>
      </c>
      <c r="K251" s="78" t="s">
        <v>1035</v>
      </c>
      <c r="L251" s="60" t="s">
        <v>1036</v>
      </c>
      <c r="M251" s="55" t="s">
        <v>0</v>
      </c>
      <c r="N251" s="2"/>
      <c r="O251" s="58"/>
      <c r="P251" s="60" t="s">
        <v>379</v>
      </c>
      <c r="Q251" s="60" t="s">
        <v>522</v>
      </c>
      <c r="R251" s="85" t="s">
        <v>0</v>
      </c>
      <c r="S251" s="85" t="s">
        <v>0</v>
      </c>
      <c r="T251" s="61" t="s">
        <v>0</v>
      </c>
      <c r="U251" s="60" t="s">
        <v>0</v>
      </c>
      <c r="V251" s="70" t="s">
        <v>0</v>
      </c>
      <c r="W251" s="70" t="s">
        <v>0</v>
      </c>
      <c r="X251" s="58" t="s">
        <v>0</v>
      </c>
      <c r="Y251" s="58" t="s">
        <v>0</v>
      </c>
      <c r="Z251" s="58" t="s">
        <v>483</v>
      </c>
      <c r="AA251" s="58" t="s">
        <v>475</v>
      </c>
      <c r="AB251" s="58" t="s">
        <v>506</v>
      </c>
      <c r="AC251" s="58" t="s">
        <v>483</v>
      </c>
      <c r="AD251" s="58" t="s">
        <v>475</v>
      </c>
      <c r="AE251" s="58" t="s">
        <v>506</v>
      </c>
      <c r="AF251" s="58"/>
      <c r="AG251" s="58"/>
      <c r="AH251" s="58"/>
      <c r="AI251" s="58" t="s">
        <v>0</v>
      </c>
      <c r="AJ251" s="58" t="s">
        <v>0</v>
      </c>
      <c r="AK251" s="1" t="s">
        <v>1255</v>
      </c>
    </row>
    <row r="252" spans="2:37">
      <c r="B252" s="68" t="s">
        <v>0</v>
      </c>
      <c r="C252" s="55" t="s">
        <v>0</v>
      </c>
      <c r="D252" s="55" t="s">
        <v>0</v>
      </c>
      <c r="E252" s="68" t="s">
        <v>0</v>
      </c>
      <c r="F252" s="59" t="s">
        <v>0</v>
      </c>
      <c r="G252" s="55" t="s">
        <v>1257</v>
      </c>
      <c r="H252" s="55" t="s">
        <v>1266</v>
      </c>
      <c r="I252" s="55" t="s">
        <v>1269</v>
      </c>
      <c r="J252" s="60" t="s">
        <v>461</v>
      </c>
      <c r="K252" s="78" t="s">
        <v>1037</v>
      </c>
      <c r="L252" s="60" t="s">
        <v>1038</v>
      </c>
      <c r="M252" s="55" t="s">
        <v>0</v>
      </c>
      <c r="N252" s="2"/>
      <c r="O252" s="58"/>
      <c r="P252" s="60" t="s">
        <v>379</v>
      </c>
      <c r="Q252" s="60" t="s">
        <v>522</v>
      </c>
      <c r="R252" s="85" t="s">
        <v>0</v>
      </c>
      <c r="S252" s="85" t="s">
        <v>0</v>
      </c>
      <c r="T252" s="61" t="s">
        <v>0</v>
      </c>
      <c r="U252" s="60" t="s">
        <v>0</v>
      </c>
      <c r="V252" s="70" t="s">
        <v>0</v>
      </c>
      <c r="W252" s="70" t="s">
        <v>0</v>
      </c>
      <c r="X252" s="58" t="s">
        <v>0</v>
      </c>
      <c r="Y252" s="58" t="s">
        <v>0</v>
      </c>
      <c r="Z252" s="58" t="s">
        <v>470</v>
      </c>
      <c r="AA252" s="58" t="s">
        <v>471</v>
      </c>
      <c r="AB252" s="58" t="s">
        <v>467</v>
      </c>
      <c r="AC252" s="58" t="s">
        <v>483</v>
      </c>
      <c r="AD252" s="58" t="s">
        <v>475</v>
      </c>
      <c r="AE252" s="58" t="s">
        <v>506</v>
      </c>
      <c r="AF252" s="58"/>
      <c r="AG252" s="58"/>
      <c r="AH252" s="58"/>
      <c r="AI252" s="58" t="s">
        <v>0</v>
      </c>
      <c r="AJ252" s="58" t="s">
        <v>0</v>
      </c>
      <c r="AK252" s="1" t="s">
        <v>1255</v>
      </c>
    </row>
    <row r="253" spans="2:37">
      <c r="B253" s="68" t="s">
        <v>0</v>
      </c>
      <c r="C253" s="55" t="s">
        <v>0</v>
      </c>
      <c r="D253" s="55" t="s">
        <v>0</v>
      </c>
      <c r="E253" s="68" t="s">
        <v>0</v>
      </c>
      <c r="F253" s="59" t="s">
        <v>0</v>
      </c>
      <c r="G253" s="55" t="s">
        <v>1262</v>
      </c>
      <c r="H253" s="55" t="s">
        <v>1266</v>
      </c>
      <c r="I253" s="55" t="s">
        <v>1269</v>
      </c>
      <c r="J253" s="60" t="s">
        <v>461</v>
      </c>
      <c r="K253" s="78" t="s">
        <v>1040</v>
      </c>
      <c r="L253" s="60" t="s">
        <v>1041</v>
      </c>
      <c r="M253" s="55" t="s">
        <v>0</v>
      </c>
      <c r="N253" s="2"/>
      <c r="O253" s="58"/>
      <c r="P253" s="60" t="s">
        <v>379</v>
      </c>
      <c r="Q253" s="60" t="s">
        <v>522</v>
      </c>
      <c r="R253" s="85" t="s">
        <v>0</v>
      </c>
      <c r="S253" s="85" t="s">
        <v>0</v>
      </c>
      <c r="T253" s="61" t="s">
        <v>0</v>
      </c>
      <c r="U253" s="60" t="s">
        <v>0</v>
      </c>
      <c r="V253" s="70" t="s">
        <v>0</v>
      </c>
      <c r="W253" s="70" t="s">
        <v>0</v>
      </c>
      <c r="X253" s="58" t="s">
        <v>0</v>
      </c>
      <c r="Y253" s="58" t="s">
        <v>0</v>
      </c>
      <c r="Z253" s="58" t="s">
        <v>467</v>
      </c>
      <c r="AA253" s="58" t="s">
        <v>487</v>
      </c>
      <c r="AB253" s="58" t="s">
        <v>467</v>
      </c>
      <c r="AC253" s="58" t="s">
        <v>487</v>
      </c>
      <c r="AD253" s="58" t="s">
        <v>0</v>
      </c>
      <c r="AE253" s="58" t="s">
        <v>0</v>
      </c>
      <c r="AF253" s="58"/>
      <c r="AG253" s="58"/>
      <c r="AH253" s="58"/>
      <c r="AI253" s="58" t="s">
        <v>0</v>
      </c>
      <c r="AJ253" s="58" t="s">
        <v>0</v>
      </c>
      <c r="AK253" s="1" t="s">
        <v>1255</v>
      </c>
    </row>
    <row r="254" spans="2:37">
      <c r="B254" s="68" t="s">
        <v>0</v>
      </c>
      <c r="C254" s="55" t="s">
        <v>0</v>
      </c>
      <c r="D254" s="55" t="s">
        <v>0</v>
      </c>
      <c r="E254" s="68" t="s">
        <v>0</v>
      </c>
      <c r="F254" s="59" t="s">
        <v>0</v>
      </c>
      <c r="G254" s="55" t="s">
        <v>1262</v>
      </c>
      <c r="H254" s="55" t="s">
        <v>1266</v>
      </c>
      <c r="I254" s="55" t="s">
        <v>1269</v>
      </c>
      <c r="J254" s="60" t="s">
        <v>461</v>
      </c>
      <c r="K254" s="78" t="s">
        <v>1042</v>
      </c>
      <c r="L254" s="60" t="s">
        <v>551</v>
      </c>
      <c r="M254" s="55" t="s">
        <v>0</v>
      </c>
      <c r="N254" s="2"/>
      <c r="O254" s="58"/>
      <c r="P254" s="60" t="s">
        <v>379</v>
      </c>
      <c r="Q254" s="60" t="s">
        <v>522</v>
      </c>
      <c r="R254" s="85" t="s">
        <v>0</v>
      </c>
      <c r="S254" s="85" t="s">
        <v>0</v>
      </c>
      <c r="T254" s="61" t="s">
        <v>0</v>
      </c>
      <c r="U254" s="60" t="s">
        <v>0</v>
      </c>
      <c r="V254" s="70" t="s">
        <v>0</v>
      </c>
      <c r="W254" s="70" t="s">
        <v>0</v>
      </c>
      <c r="X254" s="58" t="s">
        <v>0</v>
      </c>
      <c r="Y254" s="58" t="s">
        <v>0</v>
      </c>
      <c r="Z254" s="58" t="s">
        <v>476</v>
      </c>
      <c r="AA254" s="58" t="s">
        <v>465</v>
      </c>
      <c r="AB254" s="58" t="s">
        <v>471</v>
      </c>
      <c r="AC254" s="58" t="s">
        <v>487</v>
      </c>
      <c r="AD254" s="58" t="s">
        <v>476</v>
      </c>
      <c r="AE254" s="58" t="s">
        <v>465</v>
      </c>
      <c r="AF254" s="58"/>
      <c r="AG254" s="58"/>
      <c r="AH254" s="58"/>
      <c r="AI254" s="58" t="s">
        <v>0</v>
      </c>
      <c r="AJ254" s="58" t="s">
        <v>0</v>
      </c>
      <c r="AK254" s="1" t="s">
        <v>1255</v>
      </c>
    </row>
    <row r="255" spans="2:37">
      <c r="B255" s="68" t="s">
        <v>0</v>
      </c>
      <c r="C255" s="55" t="s">
        <v>0</v>
      </c>
      <c r="D255" s="55" t="s">
        <v>0</v>
      </c>
      <c r="E255" s="68" t="s">
        <v>0</v>
      </c>
      <c r="F255" s="59" t="s">
        <v>0</v>
      </c>
      <c r="G255" s="55" t="s">
        <v>1262</v>
      </c>
      <c r="H255" s="55" t="s">
        <v>1266</v>
      </c>
      <c r="I255" s="55" t="s">
        <v>1269</v>
      </c>
      <c r="J255" s="60" t="s">
        <v>461</v>
      </c>
      <c r="K255" s="78" t="s">
        <v>1043</v>
      </c>
      <c r="L255" s="60" t="s">
        <v>1044</v>
      </c>
      <c r="M255" s="55" t="s">
        <v>0</v>
      </c>
      <c r="N255" s="2"/>
      <c r="O255" s="58"/>
      <c r="P255" s="60" t="s">
        <v>379</v>
      </c>
      <c r="Q255" s="60" t="s">
        <v>522</v>
      </c>
      <c r="R255" s="85" t="s">
        <v>0</v>
      </c>
      <c r="S255" s="85" t="s">
        <v>0</v>
      </c>
      <c r="T255" s="61" t="s">
        <v>0</v>
      </c>
      <c r="U255" s="60" t="s">
        <v>0</v>
      </c>
      <c r="V255" s="70" t="s">
        <v>0</v>
      </c>
      <c r="W255" s="70" t="s">
        <v>0</v>
      </c>
      <c r="X255" s="58" t="s">
        <v>0</v>
      </c>
      <c r="Y255" s="58" t="s">
        <v>0</v>
      </c>
      <c r="Z255" s="58" t="s">
        <v>470</v>
      </c>
      <c r="AA255" s="58" t="s">
        <v>471</v>
      </c>
      <c r="AB255" s="58" t="s">
        <v>467</v>
      </c>
      <c r="AC255" s="58" t="s">
        <v>470</v>
      </c>
      <c r="AD255" s="58" t="s">
        <v>471</v>
      </c>
      <c r="AE255" s="58" t="s">
        <v>467</v>
      </c>
      <c r="AF255" s="58"/>
      <c r="AG255" s="58"/>
      <c r="AH255" s="58"/>
      <c r="AI255" s="58" t="s">
        <v>0</v>
      </c>
      <c r="AJ255" s="58" t="s">
        <v>0</v>
      </c>
      <c r="AK255" s="1" t="s">
        <v>1255</v>
      </c>
    </row>
    <row r="256" spans="2:37">
      <c r="B256" s="68" t="s">
        <v>1182</v>
      </c>
      <c r="C256" s="68">
        <v>46013</v>
      </c>
      <c r="D256" s="68">
        <v>46027</v>
      </c>
      <c r="E256" s="68">
        <v>46027</v>
      </c>
      <c r="F256" s="68">
        <v>14</v>
      </c>
      <c r="G256" s="55" t="s">
        <v>1252</v>
      </c>
      <c r="H256" s="55" t="s">
        <v>1253</v>
      </c>
      <c r="I256" s="55" t="s">
        <v>460</v>
      </c>
      <c r="J256" s="60" t="s">
        <v>461</v>
      </c>
      <c r="K256" s="76" t="s">
        <v>1055</v>
      </c>
      <c r="L256" s="60" t="s">
        <v>1056</v>
      </c>
      <c r="M256" s="55" t="s">
        <v>624</v>
      </c>
      <c r="N256" s="49" t="s">
        <v>488</v>
      </c>
      <c r="O256" s="49" t="s">
        <v>489</v>
      </c>
      <c r="P256" s="60" t="s">
        <v>456</v>
      </c>
      <c r="Q256" s="60" t="s">
        <v>1182</v>
      </c>
      <c r="R256" s="85">
        <v>46010</v>
      </c>
      <c r="S256" s="85">
        <v>46028</v>
      </c>
      <c r="T256" s="61">
        <v>18</v>
      </c>
      <c r="U256" s="60">
        <v>18</v>
      </c>
      <c r="V256" s="70" t="s">
        <v>1254</v>
      </c>
      <c r="W256" s="70" t="s">
        <v>0</v>
      </c>
      <c r="X256" s="58" t="s">
        <v>0</v>
      </c>
      <c r="Y256" s="58" t="s">
        <v>0</v>
      </c>
      <c r="Z256" s="54" t="s">
        <v>472</v>
      </c>
      <c r="AA256" s="54" t="s">
        <v>506</v>
      </c>
      <c r="AB256" s="58" t="s">
        <v>0</v>
      </c>
      <c r="AC256" s="58" t="s">
        <v>0</v>
      </c>
      <c r="AD256" s="58" t="s">
        <v>0</v>
      </c>
      <c r="AE256" s="58" t="s">
        <v>0</v>
      </c>
      <c r="AF256" s="58"/>
      <c r="AG256" s="58"/>
      <c r="AH256" s="58"/>
      <c r="AI256" s="58">
        <v>1</v>
      </c>
      <c r="AJ256" s="58">
        <v>14</v>
      </c>
      <c r="AK256" s="1" t="s">
        <v>1255</v>
      </c>
    </row>
    <row r="257" spans="2:37">
      <c r="B257" s="68" t="s">
        <v>1071</v>
      </c>
      <c r="C257" s="68">
        <v>46008</v>
      </c>
      <c r="D257" s="68">
        <v>46021</v>
      </c>
      <c r="E257" s="68">
        <v>46022</v>
      </c>
      <c r="F257" s="59">
        <v>14</v>
      </c>
      <c r="G257" s="55" t="s">
        <v>1257</v>
      </c>
      <c r="H257" s="55" t="s">
        <v>1253</v>
      </c>
      <c r="I257" s="55" t="s">
        <v>460</v>
      </c>
      <c r="J257" s="60" t="s">
        <v>461</v>
      </c>
      <c r="K257" s="76" t="s">
        <v>1057</v>
      </c>
      <c r="L257" s="60" t="s">
        <v>1058</v>
      </c>
      <c r="M257" s="55" t="s">
        <v>624</v>
      </c>
      <c r="N257" s="49" t="s">
        <v>488</v>
      </c>
      <c r="O257" s="49" t="s">
        <v>489</v>
      </c>
      <c r="P257" s="60" t="s">
        <v>3</v>
      </c>
      <c r="Q257" s="60" t="s">
        <v>1071</v>
      </c>
      <c r="R257" s="85">
        <v>46007</v>
      </c>
      <c r="S257" s="85" t="s">
        <v>0</v>
      </c>
      <c r="T257" s="61" t="s">
        <v>0</v>
      </c>
      <c r="U257" s="60" t="s">
        <v>0</v>
      </c>
      <c r="V257" s="70" t="s">
        <v>0</v>
      </c>
      <c r="W257" s="70" t="s">
        <v>0</v>
      </c>
      <c r="X257" s="58" t="s">
        <v>0</v>
      </c>
      <c r="Y257" s="58" t="s">
        <v>0</v>
      </c>
      <c r="Z257" s="54" t="s">
        <v>540</v>
      </c>
      <c r="AA257" s="54" t="s">
        <v>469</v>
      </c>
      <c r="AB257" s="58" t="s">
        <v>0</v>
      </c>
      <c r="AC257" s="58" t="s">
        <v>0</v>
      </c>
      <c r="AD257" s="58" t="s">
        <v>0</v>
      </c>
      <c r="AE257" s="58" t="s">
        <v>0</v>
      </c>
      <c r="AF257" s="58"/>
      <c r="AG257" s="58"/>
      <c r="AH257" s="58"/>
      <c r="AI257" s="58" t="s">
        <v>0</v>
      </c>
      <c r="AJ257" s="58">
        <v>14</v>
      </c>
      <c r="AK257" s="1" t="s">
        <v>1255</v>
      </c>
    </row>
    <row r="258" spans="2:37">
      <c r="B258" s="68" t="s">
        <v>1068</v>
      </c>
      <c r="C258" s="68">
        <v>46017</v>
      </c>
      <c r="D258" s="68">
        <v>46030</v>
      </c>
      <c r="E258" s="68">
        <v>46035</v>
      </c>
      <c r="F258" s="59">
        <v>18</v>
      </c>
      <c r="G258" s="55" t="s">
        <v>1257</v>
      </c>
      <c r="H258" s="55" t="s">
        <v>1253</v>
      </c>
      <c r="I258" s="55" t="s">
        <v>460</v>
      </c>
      <c r="J258" s="60" t="s">
        <v>461</v>
      </c>
      <c r="K258" s="76" t="s">
        <v>1059</v>
      </c>
      <c r="L258" s="60" t="s">
        <v>1060</v>
      </c>
      <c r="M258" s="55" t="s">
        <v>624</v>
      </c>
      <c r="N258" s="49" t="s">
        <v>488</v>
      </c>
      <c r="O258" s="49" t="s">
        <v>489</v>
      </c>
      <c r="P258" s="60" t="s">
        <v>3</v>
      </c>
      <c r="Q258" s="60" t="s">
        <v>1068</v>
      </c>
      <c r="R258" s="85">
        <v>46027</v>
      </c>
      <c r="S258" s="85" t="s">
        <v>0</v>
      </c>
      <c r="T258" s="61" t="s">
        <v>0</v>
      </c>
      <c r="U258" s="60" t="s">
        <v>0</v>
      </c>
      <c r="V258" s="70" t="s">
        <v>0</v>
      </c>
      <c r="W258" s="70" t="s">
        <v>0</v>
      </c>
      <c r="X258" s="58" t="s">
        <v>0</v>
      </c>
      <c r="Y258" s="58" t="s">
        <v>0</v>
      </c>
      <c r="Z258" s="54" t="s">
        <v>474</v>
      </c>
      <c r="AA258" s="54" t="s">
        <v>485</v>
      </c>
      <c r="AB258" s="58" t="s">
        <v>0</v>
      </c>
      <c r="AC258" s="58" t="s">
        <v>0</v>
      </c>
      <c r="AD258" s="58" t="s">
        <v>0</v>
      </c>
      <c r="AE258" s="58" t="s">
        <v>0</v>
      </c>
      <c r="AF258" s="58"/>
      <c r="AG258" s="58"/>
      <c r="AH258" s="58"/>
      <c r="AI258" s="58" t="s">
        <v>0</v>
      </c>
      <c r="AJ258" s="58"/>
      <c r="AK258" s="1" t="s">
        <v>1255</v>
      </c>
    </row>
    <row r="259" spans="2:37">
      <c r="B259" s="68" t="s">
        <v>1071</v>
      </c>
      <c r="C259" s="68">
        <v>46008</v>
      </c>
      <c r="D259" s="68">
        <v>46021</v>
      </c>
      <c r="E259" s="68">
        <v>46024</v>
      </c>
      <c r="F259" s="59">
        <v>16</v>
      </c>
      <c r="G259" s="55" t="s">
        <v>1257</v>
      </c>
      <c r="H259" s="55" t="s">
        <v>1266</v>
      </c>
      <c r="I259" s="55" t="s">
        <v>462</v>
      </c>
      <c r="J259" s="60" t="s">
        <v>461</v>
      </c>
      <c r="K259" s="76" t="s">
        <v>1061</v>
      </c>
      <c r="L259" s="60" t="s">
        <v>639</v>
      </c>
      <c r="M259" s="55" t="s">
        <v>624</v>
      </c>
      <c r="N259" s="49" t="s">
        <v>488</v>
      </c>
      <c r="O259" s="49" t="s">
        <v>489</v>
      </c>
      <c r="P259" s="60" t="s">
        <v>3</v>
      </c>
      <c r="Q259" s="60" t="s">
        <v>1071</v>
      </c>
      <c r="R259" s="85">
        <v>46007</v>
      </c>
      <c r="S259" s="85">
        <v>46024</v>
      </c>
      <c r="T259" s="61">
        <v>17</v>
      </c>
      <c r="U259" s="60">
        <v>17</v>
      </c>
      <c r="V259" s="70" t="s">
        <v>1254</v>
      </c>
      <c r="W259" s="70" t="s">
        <v>0</v>
      </c>
      <c r="X259" s="58" t="s">
        <v>0</v>
      </c>
      <c r="Y259" s="58" t="s">
        <v>0</v>
      </c>
      <c r="Z259" s="54" t="s">
        <v>523</v>
      </c>
      <c r="AA259" s="54" t="s">
        <v>469</v>
      </c>
      <c r="AB259" s="54" t="s">
        <v>464</v>
      </c>
      <c r="AC259" s="54" t="s">
        <v>487</v>
      </c>
      <c r="AD259" s="58" t="s">
        <v>0</v>
      </c>
      <c r="AE259" s="58" t="s">
        <v>0</v>
      </c>
      <c r="AF259" s="58"/>
      <c r="AG259" s="58"/>
      <c r="AH259" s="58"/>
      <c r="AI259" s="58">
        <v>0</v>
      </c>
      <c r="AJ259" s="58">
        <v>16</v>
      </c>
      <c r="AK259" s="1" t="s">
        <v>1255</v>
      </c>
    </row>
    <row r="260" spans="2:37">
      <c r="B260" s="68" t="s">
        <v>1068</v>
      </c>
      <c r="C260" s="68">
        <v>46017</v>
      </c>
      <c r="D260" s="68">
        <v>46027</v>
      </c>
      <c r="E260" s="68">
        <v>46028</v>
      </c>
      <c r="F260" s="59">
        <v>11</v>
      </c>
      <c r="G260" s="55" t="s">
        <v>1257</v>
      </c>
      <c r="H260" s="55" t="s">
        <v>1266</v>
      </c>
      <c r="I260" s="55" t="s">
        <v>1267</v>
      </c>
      <c r="J260" s="60" t="s">
        <v>461</v>
      </c>
      <c r="K260" s="76" t="s">
        <v>1062</v>
      </c>
      <c r="L260" s="60" t="s">
        <v>1063</v>
      </c>
      <c r="M260" s="55" t="s">
        <v>624</v>
      </c>
      <c r="N260" s="49" t="s">
        <v>488</v>
      </c>
      <c r="O260" s="49" t="s">
        <v>489</v>
      </c>
      <c r="P260" s="60" t="s">
        <v>3</v>
      </c>
      <c r="Q260" s="60" t="s">
        <v>1068</v>
      </c>
      <c r="R260" s="85">
        <v>46027</v>
      </c>
      <c r="S260" s="85">
        <v>46030</v>
      </c>
      <c r="T260" s="61">
        <v>15</v>
      </c>
      <c r="U260" s="60">
        <v>3</v>
      </c>
      <c r="V260" s="70" t="s">
        <v>1254</v>
      </c>
      <c r="W260" s="70" t="s">
        <v>0</v>
      </c>
      <c r="X260" s="58" t="s">
        <v>0</v>
      </c>
      <c r="Y260" s="58" t="s">
        <v>0</v>
      </c>
      <c r="Z260" s="54" t="s">
        <v>464</v>
      </c>
      <c r="AA260" s="54" t="s">
        <v>508</v>
      </c>
      <c r="AB260" s="58" t="s">
        <v>0</v>
      </c>
      <c r="AC260" s="58" t="s">
        <v>0</v>
      </c>
      <c r="AD260" s="58" t="s">
        <v>0</v>
      </c>
      <c r="AE260" s="58" t="s">
        <v>0</v>
      </c>
      <c r="AF260" s="58"/>
      <c r="AG260" s="58"/>
      <c r="AH260" s="58"/>
      <c r="AI260" s="58">
        <v>2</v>
      </c>
      <c r="AJ260" s="58">
        <v>11</v>
      </c>
      <c r="AK260" s="1" t="s">
        <v>1255</v>
      </c>
    </row>
    <row r="261" spans="2:37">
      <c r="B261" s="68" t="s">
        <v>1071</v>
      </c>
      <c r="C261" s="68">
        <v>46008</v>
      </c>
      <c r="D261" s="68">
        <v>46027</v>
      </c>
      <c r="E261" s="68">
        <v>46030</v>
      </c>
      <c r="F261" s="59">
        <v>22</v>
      </c>
      <c r="G261" s="55" t="s">
        <v>1257</v>
      </c>
      <c r="H261" s="55" t="s">
        <v>1266</v>
      </c>
      <c r="I261" s="55" t="s">
        <v>462</v>
      </c>
      <c r="J261" s="60" t="s">
        <v>461</v>
      </c>
      <c r="K261" s="76" t="s">
        <v>1064</v>
      </c>
      <c r="L261" s="60" t="s">
        <v>643</v>
      </c>
      <c r="M261" s="55" t="s">
        <v>624</v>
      </c>
      <c r="N261" s="49" t="s">
        <v>488</v>
      </c>
      <c r="O261" s="49" t="s">
        <v>489</v>
      </c>
      <c r="P261" s="60" t="s">
        <v>5</v>
      </c>
      <c r="Q261" s="60" t="s">
        <v>1071</v>
      </c>
      <c r="R261" s="85">
        <v>46007</v>
      </c>
      <c r="S261" s="85">
        <v>46031</v>
      </c>
      <c r="T261" s="61">
        <v>24</v>
      </c>
      <c r="U261" s="60">
        <v>24</v>
      </c>
      <c r="V261" s="70" t="s">
        <v>1254</v>
      </c>
      <c r="W261" s="70" t="s">
        <v>0</v>
      </c>
      <c r="X261" s="58" t="s">
        <v>0</v>
      </c>
      <c r="Y261" s="58" t="s">
        <v>0</v>
      </c>
      <c r="Z261" s="54" t="s">
        <v>464</v>
      </c>
      <c r="AA261" s="54" t="s">
        <v>520</v>
      </c>
      <c r="AB261" s="58" t="s">
        <v>464</v>
      </c>
      <c r="AC261" s="58" t="s">
        <v>520</v>
      </c>
      <c r="AD261" s="58" t="s">
        <v>0</v>
      </c>
      <c r="AE261" s="58" t="s">
        <v>0</v>
      </c>
      <c r="AF261" s="58"/>
      <c r="AG261" s="58"/>
      <c r="AH261" s="58"/>
      <c r="AI261" s="58">
        <v>1</v>
      </c>
      <c r="AJ261" s="58">
        <v>22</v>
      </c>
      <c r="AK261" s="1" t="s">
        <v>1255</v>
      </c>
    </row>
    <row r="262" spans="2:37">
      <c r="B262" s="68" t="s">
        <v>0</v>
      </c>
      <c r="C262" s="55" t="s">
        <v>0</v>
      </c>
      <c r="D262" s="55" t="s">
        <v>0</v>
      </c>
      <c r="E262" s="68" t="s">
        <v>0</v>
      </c>
      <c r="F262" s="59" t="s">
        <v>0</v>
      </c>
      <c r="G262" s="55" t="s">
        <v>1252</v>
      </c>
      <c r="H262" s="55" t="s">
        <v>1281</v>
      </c>
      <c r="I262" s="55" t="s">
        <v>1282</v>
      </c>
      <c r="J262" s="60" t="s">
        <v>461</v>
      </c>
      <c r="K262" s="76" t="s">
        <v>1073</v>
      </c>
      <c r="L262" s="60" t="e">
        <v>#N/A</v>
      </c>
      <c r="M262" s="55" t="s">
        <v>0</v>
      </c>
      <c r="N262" s="2"/>
      <c r="O262" s="58"/>
      <c r="P262" s="60" t="e">
        <v>#N/A</v>
      </c>
      <c r="Q262" s="60" t="e">
        <v>#N/A</v>
      </c>
      <c r="R262" s="85" t="s">
        <v>0</v>
      </c>
      <c r="S262" s="85" t="s">
        <v>0</v>
      </c>
      <c r="T262" s="61" t="s">
        <v>0</v>
      </c>
      <c r="U262" s="60" t="s">
        <v>0</v>
      </c>
      <c r="V262" s="70" t="s">
        <v>0</v>
      </c>
      <c r="W262" s="70" t="s">
        <v>0</v>
      </c>
      <c r="X262" s="58" t="s">
        <v>0</v>
      </c>
      <c r="Y262" s="58" t="s">
        <v>0</v>
      </c>
      <c r="Z262" s="58" t="s">
        <v>0</v>
      </c>
      <c r="AA262" s="58" t="s">
        <v>0</v>
      </c>
      <c r="AB262" s="58" t="s">
        <v>0</v>
      </c>
      <c r="AC262" s="58" t="s">
        <v>0</v>
      </c>
      <c r="AD262" s="58" t="s">
        <v>0</v>
      </c>
      <c r="AE262" s="58" t="s">
        <v>0</v>
      </c>
      <c r="AF262" s="58"/>
      <c r="AG262" s="58"/>
      <c r="AH262" s="58"/>
      <c r="AI262" s="58" t="s">
        <v>0</v>
      </c>
      <c r="AJ262" s="58" t="s">
        <v>0</v>
      </c>
      <c r="AK262" s="1" t="s">
        <v>1255</v>
      </c>
    </row>
    <row r="263" spans="2:37">
      <c r="B263" s="68" t="s">
        <v>0</v>
      </c>
      <c r="C263" s="55" t="s">
        <v>0</v>
      </c>
      <c r="D263" s="55" t="s">
        <v>0</v>
      </c>
      <c r="E263" s="68" t="s">
        <v>0</v>
      </c>
      <c r="F263" s="59" t="s">
        <v>0</v>
      </c>
      <c r="G263" s="55" t="s">
        <v>1252</v>
      </c>
      <c r="H263" s="55" t="s">
        <v>1281</v>
      </c>
      <c r="I263" s="55" t="s">
        <v>1282</v>
      </c>
      <c r="J263" s="60" t="s">
        <v>461</v>
      </c>
      <c r="K263" s="76" t="s">
        <v>1074</v>
      </c>
      <c r="L263" s="60" t="e">
        <v>#N/A</v>
      </c>
      <c r="M263" s="55" t="s">
        <v>0</v>
      </c>
      <c r="N263" s="2"/>
      <c r="O263" s="58"/>
      <c r="P263" s="60" t="e">
        <v>#N/A</v>
      </c>
      <c r="Q263" s="60" t="e">
        <v>#N/A</v>
      </c>
      <c r="R263" s="85" t="s">
        <v>0</v>
      </c>
      <c r="S263" s="85" t="s">
        <v>0</v>
      </c>
      <c r="T263" s="61" t="s">
        <v>0</v>
      </c>
      <c r="U263" s="60" t="s">
        <v>0</v>
      </c>
      <c r="V263" s="70" t="s">
        <v>0</v>
      </c>
      <c r="W263" s="70" t="s">
        <v>0</v>
      </c>
      <c r="X263" s="58" t="s">
        <v>0</v>
      </c>
      <c r="Y263" s="58" t="s">
        <v>0</v>
      </c>
      <c r="Z263" s="58" t="s">
        <v>0</v>
      </c>
      <c r="AA263" s="58" t="s">
        <v>0</v>
      </c>
      <c r="AB263" s="58" t="s">
        <v>0</v>
      </c>
      <c r="AC263" s="58" t="s">
        <v>0</v>
      </c>
      <c r="AD263" s="58" t="s">
        <v>0</v>
      </c>
      <c r="AE263" s="58" t="s">
        <v>0</v>
      </c>
      <c r="AF263" s="58"/>
      <c r="AG263" s="58"/>
      <c r="AH263" s="58"/>
      <c r="AI263" s="58" t="s">
        <v>0</v>
      </c>
      <c r="AJ263" s="58" t="s">
        <v>0</v>
      </c>
      <c r="AK263" s="1" t="s">
        <v>1255</v>
      </c>
    </row>
    <row r="264" spans="2:37">
      <c r="B264" s="68" t="s">
        <v>0</v>
      </c>
      <c r="C264" s="55" t="s">
        <v>0</v>
      </c>
      <c r="D264" s="55" t="s">
        <v>0</v>
      </c>
      <c r="E264" s="68" t="s">
        <v>0</v>
      </c>
      <c r="F264" s="59" t="s">
        <v>0</v>
      </c>
      <c r="G264" s="55" t="s">
        <v>1252</v>
      </c>
      <c r="H264" s="55" t="s">
        <v>1281</v>
      </c>
      <c r="I264" s="55" t="s">
        <v>1283</v>
      </c>
      <c r="J264" s="60" t="s">
        <v>461</v>
      </c>
      <c r="K264" s="76" t="s">
        <v>1075</v>
      </c>
      <c r="L264" s="60" t="e">
        <v>#N/A</v>
      </c>
      <c r="M264" s="55" t="s">
        <v>0</v>
      </c>
      <c r="N264" s="2"/>
      <c r="O264" s="58"/>
      <c r="P264" s="60" t="e">
        <v>#N/A</v>
      </c>
      <c r="Q264" s="60" t="e">
        <v>#N/A</v>
      </c>
      <c r="R264" s="85" t="s">
        <v>0</v>
      </c>
      <c r="S264" s="85" t="s">
        <v>0</v>
      </c>
      <c r="T264" s="61" t="s">
        <v>0</v>
      </c>
      <c r="U264" s="60" t="s">
        <v>0</v>
      </c>
      <c r="V264" s="70" t="s">
        <v>0</v>
      </c>
      <c r="W264" s="70" t="s">
        <v>0</v>
      </c>
      <c r="X264" s="58" t="s">
        <v>0</v>
      </c>
      <c r="Y264" s="58" t="s">
        <v>0</v>
      </c>
      <c r="Z264" s="58" t="s">
        <v>0</v>
      </c>
      <c r="AA264" s="58" t="s">
        <v>0</v>
      </c>
      <c r="AB264" s="58" t="s">
        <v>0</v>
      </c>
      <c r="AC264" s="58" t="s">
        <v>0</v>
      </c>
      <c r="AD264" s="58" t="s">
        <v>0</v>
      </c>
      <c r="AE264" s="58" t="s">
        <v>0</v>
      </c>
      <c r="AF264" s="58"/>
      <c r="AG264" s="58"/>
      <c r="AH264" s="58"/>
      <c r="AI264" s="58" t="s">
        <v>0</v>
      </c>
      <c r="AJ264" s="58" t="s">
        <v>0</v>
      </c>
      <c r="AK264" s="1" t="s">
        <v>1255</v>
      </c>
    </row>
    <row r="265" spans="2:37">
      <c r="B265" s="68" t="s">
        <v>0</v>
      </c>
      <c r="C265" s="55" t="s">
        <v>0</v>
      </c>
      <c r="D265" s="55" t="s">
        <v>0</v>
      </c>
      <c r="E265" s="68" t="s">
        <v>0</v>
      </c>
      <c r="F265" s="59" t="s">
        <v>0</v>
      </c>
      <c r="G265" s="55" t="s">
        <v>1252</v>
      </c>
      <c r="H265" s="55" t="s">
        <v>1281</v>
      </c>
      <c r="I265" s="55" t="s">
        <v>1283</v>
      </c>
      <c r="J265" s="60" t="s">
        <v>461</v>
      </c>
      <c r="K265" s="76" t="s">
        <v>1076</v>
      </c>
      <c r="L265" s="60" t="e">
        <v>#N/A</v>
      </c>
      <c r="M265" s="55" t="s">
        <v>0</v>
      </c>
      <c r="N265" s="2"/>
      <c r="O265" s="58"/>
      <c r="P265" s="60" t="e">
        <v>#N/A</v>
      </c>
      <c r="Q265" s="60" t="e">
        <v>#N/A</v>
      </c>
      <c r="R265" s="85" t="s">
        <v>0</v>
      </c>
      <c r="S265" s="85" t="s">
        <v>0</v>
      </c>
      <c r="T265" s="61" t="s">
        <v>0</v>
      </c>
      <c r="U265" s="60" t="s">
        <v>0</v>
      </c>
      <c r="V265" s="70" t="s">
        <v>0</v>
      </c>
      <c r="W265" s="70" t="s">
        <v>0</v>
      </c>
      <c r="X265" s="58" t="s">
        <v>0</v>
      </c>
      <c r="Y265" s="58" t="s">
        <v>0</v>
      </c>
      <c r="Z265" s="58" t="s">
        <v>0</v>
      </c>
      <c r="AA265" s="58" t="s">
        <v>0</v>
      </c>
      <c r="AB265" s="58" t="s">
        <v>0</v>
      </c>
      <c r="AC265" s="58" t="s">
        <v>0</v>
      </c>
      <c r="AD265" s="58" t="s">
        <v>0</v>
      </c>
      <c r="AE265" s="58" t="s">
        <v>0</v>
      </c>
      <c r="AF265" s="58"/>
      <c r="AG265" s="58"/>
      <c r="AH265" s="58"/>
      <c r="AI265" s="58" t="s">
        <v>0</v>
      </c>
      <c r="AJ265" s="58" t="s">
        <v>0</v>
      </c>
      <c r="AK265" s="1" t="s">
        <v>1255</v>
      </c>
    </row>
    <row r="266" spans="2:37">
      <c r="B266" s="68" t="s">
        <v>0</v>
      </c>
      <c r="C266" s="55" t="s">
        <v>0</v>
      </c>
      <c r="D266" s="55" t="s">
        <v>0</v>
      </c>
      <c r="E266" s="68" t="s">
        <v>0</v>
      </c>
      <c r="F266" s="59" t="s">
        <v>0</v>
      </c>
      <c r="G266" s="55" t="s">
        <v>1252</v>
      </c>
      <c r="H266" s="55" t="s">
        <v>1281</v>
      </c>
      <c r="I266" s="55" t="s">
        <v>1283</v>
      </c>
      <c r="J266" s="60" t="s">
        <v>461</v>
      </c>
      <c r="K266" s="76" t="s">
        <v>1077</v>
      </c>
      <c r="L266" s="60" t="e">
        <v>#N/A</v>
      </c>
      <c r="M266" s="55" t="s">
        <v>0</v>
      </c>
      <c r="N266" s="2"/>
      <c r="O266" s="58"/>
      <c r="P266" s="60" t="e">
        <v>#N/A</v>
      </c>
      <c r="Q266" s="60" t="e">
        <v>#N/A</v>
      </c>
      <c r="R266" s="85" t="s">
        <v>0</v>
      </c>
      <c r="S266" s="85" t="s">
        <v>0</v>
      </c>
      <c r="T266" s="61" t="s">
        <v>0</v>
      </c>
      <c r="U266" s="60" t="s">
        <v>0</v>
      </c>
      <c r="V266" s="70" t="s">
        <v>0</v>
      </c>
      <c r="W266" s="70" t="s">
        <v>0</v>
      </c>
      <c r="X266" s="58" t="s">
        <v>0</v>
      </c>
      <c r="Y266" s="58" t="s">
        <v>0</v>
      </c>
      <c r="Z266" s="58" t="s">
        <v>0</v>
      </c>
      <c r="AA266" s="58" t="s">
        <v>0</v>
      </c>
      <c r="AB266" s="58" t="s">
        <v>0</v>
      </c>
      <c r="AC266" s="58" t="s">
        <v>0</v>
      </c>
      <c r="AD266" s="58" t="s">
        <v>0</v>
      </c>
      <c r="AE266" s="58" t="s">
        <v>0</v>
      </c>
      <c r="AF266" s="58"/>
      <c r="AG266" s="58"/>
      <c r="AH266" s="58"/>
      <c r="AI266" s="58" t="s">
        <v>0</v>
      </c>
      <c r="AJ266" s="58" t="s">
        <v>0</v>
      </c>
      <c r="AK266" s="1" t="s">
        <v>1255</v>
      </c>
    </row>
    <row r="267" spans="2:37">
      <c r="B267" s="68" t="s">
        <v>0</v>
      </c>
      <c r="C267" s="55" t="s">
        <v>0</v>
      </c>
      <c r="D267" s="55" t="s">
        <v>0</v>
      </c>
      <c r="E267" s="68" t="s">
        <v>0</v>
      </c>
      <c r="F267" s="59" t="s">
        <v>0</v>
      </c>
      <c r="G267" s="55" t="s">
        <v>1252</v>
      </c>
      <c r="H267" s="55" t="s">
        <v>1281</v>
      </c>
      <c r="I267" s="55" t="s">
        <v>1283</v>
      </c>
      <c r="J267" s="60" t="s">
        <v>461</v>
      </c>
      <c r="K267" s="76" t="s">
        <v>1078</v>
      </c>
      <c r="L267" s="60" t="e">
        <v>#N/A</v>
      </c>
      <c r="M267" s="55" t="s">
        <v>0</v>
      </c>
      <c r="N267" s="2"/>
      <c r="O267" s="58"/>
      <c r="P267" s="60" t="e">
        <v>#N/A</v>
      </c>
      <c r="Q267" s="60" t="e">
        <v>#N/A</v>
      </c>
      <c r="R267" s="85" t="s">
        <v>0</v>
      </c>
      <c r="S267" s="85" t="s">
        <v>0</v>
      </c>
      <c r="T267" s="61" t="s">
        <v>0</v>
      </c>
      <c r="U267" s="60" t="s">
        <v>0</v>
      </c>
      <c r="V267" s="70" t="s">
        <v>0</v>
      </c>
      <c r="W267" s="70" t="s">
        <v>0</v>
      </c>
      <c r="X267" s="58" t="s">
        <v>0</v>
      </c>
      <c r="Y267" s="58" t="s">
        <v>0</v>
      </c>
      <c r="Z267" s="58" t="s">
        <v>0</v>
      </c>
      <c r="AA267" s="58" t="s">
        <v>0</v>
      </c>
      <c r="AB267" s="58" t="s">
        <v>0</v>
      </c>
      <c r="AC267" s="58" t="s">
        <v>0</v>
      </c>
      <c r="AD267" s="58" t="s">
        <v>0</v>
      </c>
      <c r="AE267" s="58" t="s">
        <v>0</v>
      </c>
      <c r="AF267" s="58"/>
      <c r="AG267" s="58"/>
      <c r="AH267" s="58"/>
      <c r="AI267" s="58" t="s">
        <v>0</v>
      </c>
      <c r="AJ267" s="58" t="s">
        <v>0</v>
      </c>
      <c r="AK267" s="1" t="s">
        <v>1255</v>
      </c>
    </row>
    <row r="268" spans="2:37">
      <c r="B268" s="68" t="s">
        <v>0</v>
      </c>
      <c r="C268" s="55" t="s">
        <v>0</v>
      </c>
      <c r="D268" s="55" t="s">
        <v>0</v>
      </c>
      <c r="E268" s="68" t="s">
        <v>0</v>
      </c>
      <c r="F268" s="59" t="s">
        <v>0</v>
      </c>
      <c r="G268" s="55" t="s">
        <v>1257</v>
      </c>
      <c r="H268" s="55" t="s">
        <v>1281</v>
      </c>
      <c r="I268" s="55" t="s">
        <v>1283</v>
      </c>
      <c r="J268" s="60" t="s">
        <v>461</v>
      </c>
      <c r="K268" s="76" t="s">
        <v>1079</v>
      </c>
      <c r="L268" s="60" t="e">
        <v>#N/A</v>
      </c>
      <c r="M268" s="55" t="s">
        <v>0</v>
      </c>
      <c r="N268" s="2"/>
      <c r="O268" s="58"/>
      <c r="P268" s="60" t="e">
        <v>#N/A</v>
      </c>
      <c r="Q268" s="60" t="e">
        <v>#N/A</v>
      </c>
      <c r="R268" s="85" t="s">
        <v>0</v>
      </c>
      <c r="S268" s="85" t="s">
        <v>0</v>
      </c>
      <c r="T268" s="61" t="s">
        <v>0</v>
      </c>
      <c r="U268" s="60" t="s">
        <v>0</v>
      </c>
      <c r="V268" s="70" t="s">
        <v>0</v>
      </c>
      <c r="W268" s="70" t="s">
        <v>0</v>
      </c>
      <c r="X268" s="58" t="s">
        <v>0</v>
      </c>
      <c r="Y268" s="58" t="s">
        <v>0</v>
      </c>
      <c r="Z268" s="58" t="s">
        <v>0</v>
      </c>
      <c r="AA268" s="58" t="s">
        <v>0</v>
      </c>
      <c r="AB268" s="58" t="s">
        <v>0</v>
      </c>
      <c r="AC268" s="58" t="s">
        <v>0</v>
      </c>
      <c r="AD268" s="58" t="s">
        <v>0</v>
      </c>
      <c r="AE268" s="58" t="s">
        <v>0</v>
      </c>
      <c r="AF268" s="58"/>
      <c r="AG268" s="58"/>
      <c r="AH268" s="58"/>
      <c r="AI268" s="58" t="s">
        <v>0</v>
      </c>
      <c r="AJ268" s="58" t="s">
        <v>0</v>
      </c>
      <c r="AK268" s="1" t="s">
        <v>1255</v>
      </c>
    </row>
    <row r="269" spans="2:37">
      <c r="B269" s="68" t="s">
        <v>0</v>
      </c>
      <c r="C269" s="55" t="s">
        <v>0</v>
      </c>
      <c r="D269" s="55" t="s">
        <v>0</v>
      </c>
      <c r="E269" s="68" t="s">
        <v>0</v>
      </c>
      <c r="F269" s="59" t="s">
        <v>0</v>
      </c>
      <c r="G269" s="55" t="s">
        <v>1257</v>
      </c>
      <c r="H269" s="55" t="s">
        <v>1281</v>
      </c>
      <c r="I269" s="55" t="s">
        <v>1283</v>
      </c>
      <c r="J269" s="60" t="s">
        <v>461</v>
      </c>
      <c r="K269" s="76" t="s">
        <v>1080</v>
      </c>
      <c r="L269" s="60" t="e">
        <v>#N/A</v>
      </c>
      <c r="M269" s="55" t="s">
        <v>0</v>
      </c>
      <c r="N269" s="2"/>
      <c r="O269" s="58"/>
      <c r="P269" s="60" t="e">
        <v>#N/A</v>
      </c>
      <c r="Q269" s="60" t="e">
        <v>#N/A</v>
      </c>
      <c r="R269" s="85" t="s">
        <v>0</v>
      </c>
      <c r="S269" s="85" t="s">
        <v>0</v>
      </c>
      <c r="T269" s="61" t="s">
        <v>0</v>
      </c>
      <c r="U269" s="60" t="s">
        <v>0</v>
      </c>
      <c r="V269" s="70" t="s">
        <v>0</v>
      </c>
      <c r="W269" s="70" t="s">
        <v>0</v>
      </c>
      <c r="X269" s="58" t="s">
        <v>0</v>
      </c>
      <c r="Y269" s="58" t="s">
        <v>0</v>
      </c>
      <c r="Z269" s="58" t="s">
        <v>0</v>
      </c>
      <c r="AA269" s="58" t="s">
        <v>0</v>
      </c>
      <c r="AB269" s="58" t="s">
        <v>0</v>
      </c>
      <c r="AC269" s="58" t="s">
        <v>0</v>
      </c>
      <c r="AD269" s="58" t="s">
        <v>0</v>
      </c>
      <c r="AE269" s="58" t="s">
        <v>0</v>
      </c>
      <c r="AF269" s="58"/>
      <c r="AG269" s="58"/>
      <c r="AH269" s="58"/>
      <c r="AI269" s="58" t="s">
        <v>0</v>
      </c>
      <c r="AJ269" s="58" t="s">
        <v>0</v>
      </c>
      <c r="AK269" s="1" t="s">
        <v>1255</v>
      </c>
    </row>
    <row r="270" spans="2:37">
      <c r="B270" s="68" t="s">
        <v>0</v>
      </c>
      <c r="C270" s="55" t="s">
        <v>0</v>
      </c>
      <c r="D270" s="55" t="s">
        <v>0</v>
      </c>
      <c r="E270" s="68" t="s">
        <v>0</v>
      </c>
      <c r="F270" s="59" t="s">
        <v>0</v>
      </c>
      <c r="G270" s="55" t="s">
        <v>1257</v>
      </c>
      <c r="H270" s="55" t="s">
        <v>1281</v>
      </c>
      <c r="I270" s="55" t="s">
        <v>1283</v>
      </c>
      <c r="J270" s="60" t="s">
        <v>461</v>
      </c>
      <c r="K270" s="76" t="s">
        <v>1081</v>
      </c>
      <c r="L270" s="60" t="e">
        <v>#N/A</v>
      </c>
      <c r="M270" s="55" t="s">
        <v>0</v>
      </c>
      <c r="N270" s="2"/>
      <c r="O270" s="58"/>
      <c r="P270" s="60" t="e">
        <v>#N/A</v>
      </c>
      <c r="Q270" s="60" t="e">
        <v>#N/A</v>
      </c>
      <c r="R270" s="85" t="s">
        <v>0</v>
      </c>
      <c r="S270" s="85" t="s">
        <v>0</v>
      </c>
      <c r="T270" s="61" t="s">
        <v>0</v>
      </c>
      <c r="U270" s="60" t="s">
        <v>0</v>
      </c>
      <c r="V270" s="70" t="s">
        <v>0</v>
      </c>
      <c r="W270" s="70" t="s">
        <v>0</v>
      </c>
      <c r="X270" s="58" t="s">
        <v>0</v>
      </c>
      <c r="Y270" s="58" t="s">
        <v>0</v>
      </c>
      <c r="Z270" s="58" t="s">
        <v>0</v>
      </c>
      <c r="AA270" s="58" t="s">
        <v>0</v>
      </c>
      <c r="AB270" s="58" t="s">
        <v>0</v>
      </c>
      <c r="AC270" s="58" t="s">
        <v>0</v>
      </c>
      <c r="AD270" s="58" t="s">
        <v>0</v>
      </c>
      <c r="AE270" s="58" t="s">
        <v>0</v>
      </c>
      <c r="AF270" s="58"/>
      <c r="AG270" s="58"/>
      <c r="AH270" s="58"/>
      <c r="AI270" s="58" t="s">
        <v>0</v>
      </c>
      <c r="AJ270" s="58" t="s">
        <v>0</v>
      </c>
      <c r="AK270" s="1" t="s">
        <v>1255</v>
      </c>
    </row>
    <row r="271" spans="2:37">
      <c r="B271" s="68" t="s">
        <v>0</v>
      </c>
      <c r="C271" s="55" t="s">
        <v>0</v>
      </c>
      <c r="D271" s="55" t="s">
        <v>0</v>
      </c>
      <c r="E271" s="68" t="s">
        <v>0</v>
      </c>
      <c r="F271" s="59" t="s">
        <v>0</v>
      </c>
      <c r="G271" s="55" t="s">
        <v>1257</v>
      </c>
      <c r="H271" s="55" t="s">
        <v>1281</v>
      </c>
      <c r="I271" s="55" t="s">
        <v>1282</v>
      </c>
      <c r="J271" s="60" t="s">
        <v>461</v>
      </c>
      <c r="K271" s="76" t="s">
        <v>1082</v>
      </c>
      <c r="L271" s="60" t="e">
        <v>#N/A</v>
      </c>
      <c r="M271" s="55" t="s">
        <v>0</v>
      </c>
      <c r="N271" s="2"/>
      <c r="O271" s="58"/>
      <c r="P271" s="60" t="e">
        <v>#N/A</v>
      </c>
      <c r="Q271" s="60" t="e">
        <v>#N/A</v>
      </c>
      <c r="R271" s="85" t="s">
        <v>0</v>
      </c>
      <c r="S271" s="85" t="s">
        <v>0</v>
      </c>
      <c r="T271" s="61" t="s">
        <v>0</v>
      </c>
      <c r="U271" s="60" t="s">
        <v>0</v>
      </c>
      <c r="V271" s="70" t="s">
        <v>0</v>
      </c>
      <c r="W271" s="70" t="s">
        <v>0</v>
      </c>
      <c r="X271" s="58" t="s">
        <v>0</v>
      </c>
      <c r="Y271" s="58" t="s">
        <v>0</v>
      </c>
      <c r="Z271" s="58" t="s">
        <v>0</v>
      </c>
      <c r="AA271" s="58" t="s">
        <v>0</v>
      </c>
      <c r="AB271" s="58" t="s">
        <v>0</v>
      </c>
      <c r="AC271" s="58" t="s">
        <v>0</v>
      </c>
      <c r="AD271" s="58" t="s">
        <v>0</v>
      </c>
      <c r="AE271" s="58" t="s">
        <v>0</v>
      </c>
      <c r="AF271" s="58"/>
      <c r="AG271" s="58"/>
      <c r="AH271" s="58"/>
      <c r="AI271" s="58" t="s">
        <v>0</v>
      </c>
      <c r="AJ271" s="58" t="s">
        <v>0</v>
      </c>
      <c r="AK271" s="1" t="s">
        <v>1255</v>
      </c>
    </row>
    <row r="272" spans="2:37">
      <c r="B272" s="68" t="s">
        <v>0</v>
      </c>
      <c r="C272" s="55" t="s">
        <v>0</v>
      </c>
      <c r="D272" s="55" t="s">
        <v>0</v>
      </c>
      <c r="E272" s="68" t="s">
        <v>0</v>
      </c>
      <c r="F272" s="59" t="s">
        <v>0</v>
      </c>
      <c r="G272" s="55" t="s">
        <v>1262</v>
      </c>
      <c r="H272" s="55" t="s">
        <v>1281</v>
      </c>
      <c r="I272" s="55" t="s">
        <v>1282</v>
      </c>
      <c r="J272" s="60" t="s">
        <v>461</v>
      </c>
      <c r="K272" s="76" t="s">
        <v>1083</v>
      </c>
      <c r="L272" s="60" t="e">
        <v>#N/A</v>
      </c>
      <c r="M272" s="55" t="s">
        <v>0</v>
      </c>
      <c r="N272" s="2"/>
      <c r="O272" s="58"/>
      <c r="P272" s="60" t="e">
        <v>#N/A</v>
      </c>
      <c r="Q272" s="60" t="e">
        <v>#N/A</v>
      </c>
      <c r="R272" s="85" t="s">
        <v>0</v>
      </c>
      <c r="S272" s="85" t="s">
        <v>0</v>
      </c>
      <c r="T272" s="61" t="s">
        <v>0</v>
      </c>
      <c r="U272" s="60" t="s">
        <v>0</v>
      </c>
      <c r="V272" s="70" t="s">
        <v>0</v>
      </c>
      <c r="W272" s="70" t="s">
        <v>0</v>
      </c>
      <c r="X272" s="58" t="s">
        <v>0</v>
      </c>
      <c r="Y272" s="58" t="s">
        <v>0</v>
      </c>
      <c r="Z272" s="58" t="s">
        <v>0</v>
      </c>
      <c r="AA272" s="58" t="s">
        <v>0</v>
      </c>
      <c r="AB272" s="58" t="s">
        <v>0</v>
      </c>
      <c r="AC272" s="58" t="s">
        <v>0</v>
      </c>
      <c r="AD272" s="58" t="s">
        <v>0</v>
      </c>
      <c r="AE272" s="58" t="s">
        <v>0</v>
      </c>
      <c r="AF272" s="58"/>
      <c r="AG272" s="58"/>
      <c r="AH272" s="58"/>
      <c r="AI272" s="58" t="s">
        <v>0</v>
      </c>
      <c r="AJ272" s="58" t="s">
        <v>0</v>
      </c>
      <c r="AK272" s="1" t="s">
        <v>1255</v>
      </c>
    </row>
    <row r="273" spans="2:37">
      <c r="B273" s="68" t="s">
        <v>0</v>
      </c>
      <c r="C273" s="55" t="s">
        <v>0</v>
      </c>
      <c r="D273" s="55" t="s">
        <v>0</v>
      </c>
      <c r="E273" s="68" t="s">
        <v>0</v>
      </c>
      <c r="F273" s="59" t="s">
        <v>0</v>
      </c>
      <c r="G273" s="55" t="s">
        <v>1257</v>
      </c>
      <c r="H273" s="55" t="s">
        <v>1281</v>
      </c>
      <c r="I273" s="55" t="s">
        <v>1283</v>
      </c>
      <c r="J273" s="60" t="s">
        <v>461</v>
      </c>
      <c r="K273" s="76" t="s">
        <v>1084</v>
      </c>
      <c r="L273" s="60" t="e">
        <v>#N/A</v>
      </c>
      <c r="M273" s="55" t="s">
        <v>0</v>
      </c>
      <c r="N273" s="2"/>
      <c r="O273" s="58"/>
      <c r="P273" s="60" t="e">
        <v>#N/A</v>
      </c>
      <c r="Q273" s="60" t="e">
        <v>#N/A</v>
      </c>
      <c r="R273" s="85" t="s">
        <v>0</v>
      </c>
      <c r="S273" s="85" t="s">
        <v>0</v>
      </c>
      <c r="T273" s="61" t="s">
        <v>0</v>
      </c>
      <c r="U273" s="60" t="s">
        <v>0</v>
      </c>
      <c r="V273" s="70" t="s">
        <v>0</v>
      </c>
      <c r="W273" s="70" t="s">
        <v>0</v>
      </c>
      <c r="X273" s="58" t="s">
        <v>0</v>
      </c>
      <c r="Y273" s="58" t="s">
        <v>0</v>
      </c>
      <c r="Z273" s="58" t="s">
        <v>0</v>
      </c>
      <c r="AA273" s="58" t="s">
        <v>0</v>
      </c>
      <c r="AB273" s="58" t="s">
        <v>0</v>
      </c>
      <c r="AC273" s="58" t="s">
        <v>0</v>
      </c>
      <c r="AD273" s="58" t="s">
        <v>0</v>
      </c>
      <c r="AE273" s="58" t="s">
        <v>0</v>
      </c>
      <c r="AF273" s="58"/>
      <c r="AG273" s="58"/>
      <c r="AH273" s="58"/>
      <c r="AI273" s="58" t="s">
        <v>0</v>
      </c>
      <c r="AJ273" s="58" t="s">
        <v>0</v>
      </c>
      <c r="AK273" s="1" t="s">
        <v>1255</v>
      </c>
    </row>
    <row r="274" spans="2:37">
      <c r="B274" s="68" t="s">
        <v>0</v>
      </c>
      <c r="C274" s="55" t="s">
        <v>0</v>
      </c>
      <c r="D274" s="55" t="s">
        <v>0</v>
      </c>
      <c r="E274" s="68" t="s">
        <v>0</v>
      </c>
      <c r="F274" s="59" t="s">
        <v>0</v>
      </c>
      <c r="G274" s="55" t="s">
        <v>1262</v>
      </c>
      <c r="H274" s="55" t="s">
        <v>1281</v>
      </c>
      <c r="I274" s="55" t="s">
        <v>1283</v>
      </c>
      <c r="J274" s="60" t="s">
        <v>461</v>
      </c>
      <c r="K274" s="76" t="s">
        <v>1085</v>
      </c>
      <c r="L274" s="60" t="e">
        <v>#N/A</v>
      </c>
      <c r="M274" s="55" t="s">
        <v>0</v>
      </c>
      <c r="N274" s="2"/>
      <c r="O274" s="58"/>
      <c r="P274" s="60" t="e">
        <v>#N/A</v>
      </c>
      <c r="Q274" s="60" t="e">
        <v>#N/A</v>
      </c>
      <c r="R274" s="85" t="s">
        <v>0</v>
      </c>
      <c r="S274" s="85" t="s">
        <v>0</v>
      </c>
      <c r="T274" s="61" t="s">
        <v>0</v>
      </c>
      <c r="U274" s="60" t="s">
        <v>0</v>
      </c>
      <c r="V274" s="70" t="s">
        <v>0</v>
      </c>
      <c r="W274" s="70" t="s">
        <v>0</v>
      </c>
      <c r="X274" s="58" t="s">
        <v>0</v>
      </c>
      <c r="Y274" s="58" t="s">
        <v>0</v>
      </c>
      <c r="Z274" s="58" t="s">
        <v>0</v>
      </c>
      <c r="AA274" s="58" t="s">
        <v>0</v>
      </c>
      <c r="AB274" s="58" t="s">
        <v>0</v>
      </c>
      <c r="AC274" s="58" t="s">
        <v>0</v>
      </c>
      <c r="AD274" s="58" t="s">
        <v>0</v>
      </c>
      <c r="AE274" s="58" t="s">
        <v>0</v>
      </c>
      <c r="AF274" s="58"/>
      <c r="AG274" s="58"/>
      <c r="AH274" s="58"/>
      <c r="AI274" s="58" t="s">
        <v>0</v>
      </c>
      <c r="AJ274" s="58" t="s">
        <v>0</v>
      </c>
      <c r="AK274" s="1" t="s">
        <v>1255</v>
      </c>
    </row>
    <row r="275" spans="2:37">
      <c r="B275" s="68" t="s">
        <v>0</v>
      </c>
      <c r="C275" s="55" t="s">
        <v>0</v>
      </c>
      <c r="D275" s="55" t="s">
        <v>0</v>
      </c>
      <c r="E275" s="68" t="s">
        <v>0</v>
      </c>
      <c r="F275" s="59" t="s">
        <v>0</v>
      </c>
      <c r="G275" s="55" t="s">
        <v>1257</v>
      </c>
      <c r="H275" s="55" t="s">
        <v>1281</v>
      </c>
      <c r="I275" s="55" t="s">
        <v>1283</v>
      </c>
      <c r="J275" s="60" t="s">
        <v>461</v>
      </c>
      <c r="K275" s="76" t="s">
        <v>1086</v>
      </c>
      <c r="L275" s="60" t="e">
        <v>#N/A</v>
      </c>
      <c r="M275" s="55" t="s">
        <v>0</v>
      </c>
      <c r="N275" s="2"/>
      <c r="O275" s="58"/>
      <c r="P275" s="60" t="e">
        <v>#N/A</v>
      </c>
      <c r="Q275" s="60" t="e">
        <v>#N/A</v>
      </c>
      <c r="R275" s="85" t="s">
        <v>0</v>
      </c>
      <c r="S275" s="85" t="s">
        <v>0</v>
      </c>
      <c r="T275" s="61" t="s">
        <v>0</v>
      </c>
      <c r="U275" s="60" t="s">
        <v>0</v>
      </c>
      <c r="V275" s="70" t="s">
        <v>0</v>
      </c>
      <c r="W275" s="70" t="s">
        <v>0</v>
      </c>
      <c r="X275" s="58" t="s">
        <v>0</v>
      </c>
      <c r="Y275" s="58" t="s">
        <v>0</v>
      </c>
      <c r="Z275" s="58" t="s">
        <v>0</v>
      </c>
      <c r="AA275" s="58" t="s">
        <v>0</v>
      </c>
      <c r="AB275" s="58" t="s">
        <v>0</v>
      </c>
      <c r="AC275" s="58" t="s">
        <v>0</v>
      </c>
      <c r="AD275" s="58" t="s">
        <v>0</v>
      </c>
      <c r="AE275" s="58" t="s">
        <v>0</v>
      </c>
      <c r="AF275" s="58"/>
      <c r="AG275" s="58"/>
      <c r="AH275" s="58"/>
      <c r="AI275" s="58" t="s">
        <v>0</v>
      </c>
      <c r="AJ275" s="58" t="s">
        <v>0</v>
      </c>
      <c r="AK275" s="1" t="s">
        <v>1255</v>
      </c>
    </row>
    <row r="276" spans="2:37">
      <c r="B276" s="68" t="s">
        <v>0</v>
      </c>
      <c r="C276" s="55" t="s">
        <v>0</v>
      </c>
      <c r="D276" s="55" t="s">
        <v>0</v>
      </c>
      <c r="E276" s="68" t="s">
        <v>0</v>
      </c>
      <c r="F276" s="59" t="s">
        <v>0</v>
      </c>
      <c r="G276" s="55" t="s">
        <v>1257</v>
      </c>
      <c r="H276" s="55" t="s">
        <v>1281</v>
      </c>
      <c r="I276" s="55" t="s">
        <v>1283</v>
      </c>
      <c r="J276" s="60" t="s">
        <v>461</v>
      </c>
      <c r="K276" s="76" t="s">
        <v>1087</v>
      </c>
      <c r="L276" s="60" t="e">
        <v>#N/A</v>
      </c>
      <c r="M276" s="55" t="s">
        <v>0</v>
      </c>
      <c r="N276" s="2"/>
      <c r="O276" s="58"/>
      <c r="P276" s="60" t="e">
        <v>#N/A</v>
      </c>
      <c r="Q276" s="60" t="e">
        <v>#N/A</v>
      </c>
      <c r="R276" s="85" t="s">
        <v>0</v>
      </c>
      <c r="S276" s="85" t="s">
        <v>0</v>
      </c>
      <c r="T276" s="61" t="s">
        <v>0</v>
      </c>
      <c r="U276" s="60" t="s">
        <v>0</v>
      </c>
      <c r="V276" s="70" t="s">
        <v>0</v>
      </c>
      <c r="W276" s="70" t="s">
        <v>0</v>
      </c>
      <c r="X276" s="58" t="s">
        <v>0</v>
      </c>
      <c r="Y276" s="58" t="s">
        <v>0</v>
      </c>
      <c r="Z276" s="58" t="s">
        <v>0</v>
      </c>
      <c r="AA276" s="58" t="s">
        <v>0</v>
      </c>
      <c r="AB276" s="58" t="s">
        <v>0</v>
      </c>
      <c r="AC276" s="58" t="s">
        <v>0</v>
      </c>
      <c r="AD276" s="58" t="s">
        <v>0</v>
      </c>
      <c r="AE276" s="58" t="s">
        <v>0</v>
      </c>
      <c r="AF276" s="58"/>
      <c r="AG276" s="58"/>
      <c r="AH276" s="58"/>
      <c r="AI276" s="58" t="s">
        <v>0</v>
      </c>
      <c r="AJ276" s="58" t="s">
        <v>0</v>
      </c>
      <c r="AK276" s="1" t="s">
        <v>1255</v>
      </c>
    </row>
    <row r="277" spans="2:37">
      <c r="B277" s="68" t="s">
        <v>0</v>
      </c>
      <c r="C277" s="55" t="s">
        <v>0</v>
      </c>
      <c r="D277" s="55" t="s">
        <v>0</v>
      </c>
      <c r="E277" s="68" t="s">
        <v>0</v>
      </c>
      <c r="F277" s="59" t="s">
        <v>0</v>
      </c>
      <c r="G277" s="55" t="s">
        <v>1257</v>
      </c>
      <c r="H277" s="55" t="s">
        <v>1281</v>
      </c>
      <c r="I277" s="55" t="s">
        <v>1282</v>
      </c>
      <c r="J277" s="60" t="s">
        <v>461</v>
      </c>
      <c r="K277" s="76" t="s">
        <v>1088</v>
      </c>
      <c r="L277" s="60" t="e">
        <v>#N/A</v>
      </c>
      <c r="M277" s="55" t="s">
        <v>0</v>
      </c>
      <c r="N277" s="2"/>
      <c r="O277" s="58"/>
      <c r="P277" s="60" t="e">
        <v>#N/A</v>
      </c>
      <c r="Q277" s="60" t="e">
        <v>#N/A</v>
      </c>
      <c r="R277" s="85" t="s">
        <v>0</v>
      </c>
      <c r="S277" s="85" t="s">
        <v>0</v>
      </c>
      <c r="T277" s="61" t="s">
        <v>0</v>
      </c>
      <c r="U277" s="60" t="s">
        <v>0</v>
      </c>
      <c r="V277" s="70" t="s">
        <v>0</v>
      </c>
      <c r="W277" s="70" t="s">
        <v>0</v>
      </c>
      <c r="X277" s="58" t="s">
        <v>0</v>
      </c>
      <c r="Y277" s="58" t="s">
        <v>0</v>
      </c>
      <c r="Z277" s="58" t="s">
        <v>0</v>
      </c>
      <c r="AA277" s="58" t="s">
        <v>0</v>
      </c>
      <c r="AB277" s="58" t="s">
        <v>0</v>
      </c>
      <c r="AC277" s="58" t="s">
        <v>0</v>
      </c>
      <c r="AD277" s="58" t="s">
        <v>0</v>
      </c>
      <c r="AE277" s="58" t="s">
        <v>0</v>
      </c>
      <c r="AF277" s="58"/>
      <c r="AG277" s="58"/>
      <c r="AH277" s="58"/>
      <c r="AI277" s="58" t="s">
        <v>0</v>
      </c>
      <c r="AJ277" s="58" t="s">
        <v>0</v>
      </c>
      <c r="AK277" s="1" t="s">
        <v>1255</v>
      </c>
    </row>
    <row r="278" spans="2:37">
      <c r="B278" s="68" t="s">
        <v>0</v>
      </c>
      <c r="C278" s="55" t="s">
        <v>0</v>
      </c>
      <c r="D278" s="55" t="s">
        <v>0</v>
      </c>
      <c r="E278" s="68" t="s">
        <v>0</v>
      </c>
      <c r="F278" s="59" t="s">
        <v>0</v>
      </c>
      <c r="G278" s="55" t="s">
        <v>1257</v>
      </c>
      <c r="H278" s="55" t="s">
        <v>1281</v>
      </c>
      <c r="I278" s="55" t="s">
        <v>1282</v>
      </c>
      <c r="J278" s="60" t="s">
        <v>461</v>
      </c>
      <c r="K278" s="76" t="s">
        <v>1089</v>
      </c>
      <c r="L278" s="60" t="e">
        <v>#N/A</v>
      </c>
      <c r="M278" s="55" t="s">
        <v>0</v>
      </c>
      <c r="N278" s="2"/>
      <c r="O278" s="58"/>
      <c r="P278" s="60" t="e">
        <v>#N/A</v>
      </c>
      <c r="Q278" s="60" t="e">
        <v>#N/A</v>
      </c>
      <c r="R278" s="85" t="s">
        <v>0</v>
      </c>
      <c r="S278" s="85" t="s">
        <v>0</v>
      </c>
      <c r="T278" s="61" t="s">
        <v>0</v>
      </c>
      <c r="U278" s="60" t="s">
        <v>0</v>
      </c>
      <c r="V278" s="70" t="s">
        <v>0</v>
      </c>
      <c r="W278" s="70" t="s">
        <v>0</v>
      </c>
      <c r="X278" s="58" t="s">
        <v>0</v>
      </c>
      <c r="Y278" s="58" t="s">
        <v>0</v>
      </c>
      <c r="Z278" s="58" t="s">
        <v>0</v>
      </c>
      <c r="AA278" s="58" t="s">
        <v>0</v>
      </c>
      <c r="AB278" s="58" t="s">
        <v>0</v>
      </c>
      <c r="AC278" s="58" t="s">
        <v>0</v>
      </c>
      <c r="AD278" s="58" t="s">
        <v>0</v>
      </c>
      <c r="AE278" s="58" t="s">
        <v>0</v>
      </c>
      <c r="AF278" s="58"/>
      <c r="AG278" s="58"/>
      <c r="AH278" s="58"/>
      <c r="AI278" s="58" t="s">
        <v>0</v>
      </c>
      <c r="AJ278" s="58" t="s">
        <v>0</v>
      </c>
      <c r="AK278" s="1" t="s">
        <v>1255</v>
      </c>
    </row>
    <row r="279" spans="2:37">
      <c r="B279" s="68" t="s">
        <v>0</v>
      </c>
      <c r="C279" s="55" t="s">
        <v>0</v>
      </c>
      <c r="D279" s="55" t="s">
        <v>0</v>
      </c>
      <c r="E279" s="68" t="s">
        <v>0</v>
      </c>
      <c r="F279" s="59" t="s">
        <v>0</v>
      </c>
      <c r="G279" s="55" t="s">
        <v>1257</v>
      </c>
      <c r="H279" s="55" t="s">
        <v>1281</v>
      </c>
      <c r="I279" s="55" t="s">
        <v>1283</v>
      </c>
      <c r="J279" s="60" t="s">
        <v>461</v>
      </c>
      <c r="K279" s="76" t="s">
        <v>1090</v>
      </c>
      <c r="L279" s="60" t="e">
        <v>#N/A</v>
      </c>
      <c r="M279" s="55" t="s">
        <v>0</v>
      </c>
      <c r="N279" s="2"/>
      <c r="O279" s="58"/>
      <c r="P279" s="60" t="e">
        <v>#N/A</v>
      </c>
      <c r="Q279" s="60" t="e">
        <v>#N/A</v>
      </c>
      <c r="R279" s="85" t="s">
        <v>0</v>
      </c>
      <c r="S279" s="85" t="s">
        <v>0</v>
      </c>
      <c r="T279" s="61" t="s">
        <v>0</v>
      </c>
      <c r="U279" s="60" t="s">
        <v>0</v>
      </c>
      <c r="V279" s="70" t="s">
        <v>0</v>
      </c>
      <c r="W279" s="70" t="s">
        <v>0</v>
      </c>
      <c r="X279" s="58" t="s">
        <v>0</v>
      </c>
      <c r="Y279" s="58" t="s">
        <v>0</v>
      </c>
      <c r="Z279" s="58" t="s">
        <v>0</v>
      </c>
      <c r="AA279" s="58" t="s">
        <v>0</v>
      </c>
      <c r="AB279" s="58" t="s">
        <v>0</v>
      </c>
      <c r="AC279" s="58" t="s">
        <v>0</v>
      </c>
      <c r="AD279" s="58" t="s">
        <v>0</v>
      </c>
      <c r="AE279" s="58" t="s">
        <v>0</v>
      </c>
      <c r="AF279" s="58"/>
      <c r="AG279" s="58"/>
      <c r="AH279" s="58"/>
      <c r="AI279" s="58" t="s">
        <v>0</v>
      </c>
      <c r="AJ279" s="58" t="s">
        <v>0</v>
      </c>
      <c r="AK279" s="1" t="s">
        <v>1255</v>
      </c>
    </row>
    <row r="280" spans="2:37">
      <c r="B280" s="68" t="s">
        <v>0</v>
      </c>
      <c r="C280" s="55" t="s">
        <v>0</v>
      </c>
      <c r="D280" s="55" t="s">
        <v>0</v>
      </c>
      <c r="E280" s="68" t="s">
        <v>0</v>
      </c>
      <c r="F280" s="59" t="s">
        <v>0</v>
      </c>
      <c r="G280" s="55" t="s">
        <v>1257</v>
      </c>
      <c r="H280" s="55" t="s">
        <v>1281</v>
      </c>
      <c r="I280" s="55" t="s">
        <v>1283</v>
      </c>
      <c r="J280" s="60" t="s">
        <v>461</v>
      </c>
      <c r="K280" s="76" t="s">
        <v>1091</v>
      </c>
      <c r="L280" s="60" t="e">
        <v>#N/A</v>
      </c>
      <c r="M280" s="55" t="s">
        <v>0</v>
      </c>
      <c r="N280" s="2"/>
      <c r="O280" s="58"/>
      <c r="P280" s="60" t="e">
        <v>#N/A</v>
      </c>
      <c r="Q280" s="60" t="e">
        <v>#N/A</v>
      </c>
      <c r="R280" s="85" t="s">
        <v>0</v>
      </c>
      <c r="S280" s="85" t="s">
        <v>0</v>
      </c>
      <c r="T280" s="61" t="s">
        <v>0</v>
      </c>
      <c r="U280" s="60" t="s">
        <v>0</v>
      </c>
      <c r="V280" s="70" t="s">
        <v>0</v>
      </c>
      <c r="W280" s="70" t="s">
        <v>0</v>
      </c>
      <c r="X280" s="58" t="s">
        <v>0</v>
      </c>
      <c r="Y280" s="58" t="s">
        <v>0</v>
      </c>
      <c r="Z280" s="58" t="s">
        <v>0</v>
      </c>
      <c r="AA280" s="58" t="s">
        <v>0</v>
      </c>
      <c r="AB280" s="58" t="s">
        <v>0</v>
      </c>
      <c r="AC280" s="58" t="s">
        <v>0</v>
      </c>
      <c r="AD280" s="58" t="s">
        <v>0</v>
      </c>
      <c r="AE280" s="58" t="s">
        <v>0</v>
      </c>
      <c r="AF280" s="58"/>
      <c r="AG280" s="58"/>
      <c r="AH280" s="58"/>
      <c r="AI280" s="58" t="s">
        <v>0</v>
      </c>
      <c r="AJ280" s="58" t="s">
        <v>0</v>
      </c>
      <c r="AK280" s="1" t="s">
        <v>1255</v>
      </c>
    </row>
    <row r="281" spans="2:37">
      <c r="B281" s="68" t="s">
        <v>0</v>
      </c>
      <c r="C281" s="55" t="s">
        <v>0</v>
      </c>
      <c r="D281" s="55" t="s">
        <v>0</v>
      </c>
      <c r="E281" s="68" t="s">
        <v>0</v>
      </c>
      <c r="F281" s="59" t="s">
        <v>0</v>
      </c>
      <c r="G281" s="55" t="s">
        <v>1257</v>
      </c>
      <c r="H281" s="55" t="s">
        <v>1281</v>
      </c>
      <c r="I281" s="55" t="s">
        <v>1283</v>
      </c>
      <c r="J281" s="60" t="s">
        <v>461</v>
      </c>
      <c r="K281" s="76" t="s">
        <v>1092</v>
      </c>
      <c r="L281" s="60" t="e">
        <v>#N/A</v>
      </c>
      <c r="M281" s="55" t="s">
        <v>0</v>
      </c>
      <c r="N281" s="2"/>
      <c r="O281" s="58"/>
      <c r="P281" s="60" t="e">
        <v>#N/A</v>
      </c>
      <c r="Q281" s="60" t="e">
        <v>#N/A</v>
      </c>
      <c r="R281" s="85" t="s">
        <v>0</v>
      </c>
      <c r="S281" s="85" t="s">
        <v>0</v>
      </c>
      <c r="T281" s="61" t="s">
        <v>0</v>
      </c>
      <c r="U281" s="60" t="s">
        <v>0</v>
      </c>
      <c r="V281" s="70" t="s">
        <v>0</v>
      </c>
      <c r="W281" s="70" t="s">
        <v>0</v>
      </c>
      <c r="X281" s="58" t="s">
        <v>0</v>
      </c>
      <c r="Y281" s="58" t="s">
        <v>0</v>
      </c>
      <c r="Z281" s="58" t="s">
        <v>0</v>
      </c>
      <c r="AA281" s="58" t="s">
        <v>0</v>
      </c>
      <c r="AB281" s="58" t="s">
        <v>0</v>
      </c>
      <c r="AC281" s="58" t="s">
        <v>0</v>
      </c>
      <c r="AD281" s="58" t="s">
        <v>0</v>
      </c>
      <c r="AE281" s="58" t="s">
        <v>0</v>
      </c>
      <c r="AF281" s="58"/>
      <c r="AG281" s="58"/>
      <c r="AH281" s="58"/>
      <c r="AI281" s="58" t="s">
        <v>0</v>
      </c>
      <c r="AJ281" s="58" t="s">
        <v>0</v>
      </c>
      <c r="AK281" s="1" t="s">
        <v>1255</v>
      </c>
    </row>
    <row r="282" spans="2:37">
      <c r="B282" s="68" t="s">
        <v>0</v>
      </c>
      <c r="C282" s="55" t="s">
        <v>0</v>
      </c>
      <c r="D282" s="55" t="s">
        <v>0</v>
      </c>
      <c r="E282" s="68" t="s">
        <v>0</v>
      </c>
      <c r="F282" s="59" t="s">
        <v>0</v>
      </c>
      <c r="G282" s="55" t="s">
        <v>1257</v>
      </c>
      <c r="H282" s="55" t="s">
        <v>1281</v>
      </c>
      <c r="I282" s="55" t="s">
        <v>1283</v>
      </c>
      <c r="J282" s="60" t="s">
        <v>461</v>
      </c>
      <c r="K282" s="76" t="s">
        <v>1093</v>
      </c>
      <c r="L282" s="60" t="e">
        <v>#N/A</v>
      </c>
      <c r="M282" s="55" t="s">
        <v>0</v>
      </c>
      <c r="N282" s="2"/>
      <c r="O282" s="58"/>
      <c r="P282" s="60" t="e">
        <v>#N/A</v>
      </c>
      <c r="Q282" s="60" t="e">
        <v>#N/A</v>
      </c>
      <c r="R282" s="85" t="s">
        <v>0</v>
      </c>
      <c r="S282" s="85" t="s">
        <v>0</v>
      </c>
      <c r="T282" s="61" t="s">
        <v>0</v>
      </c>
      <c r="U282" s="60" t="s">
        <v>0</v>
      </c>
      <c r="V282" s="70" t="s">
        <v>0</v>
      </c>
      <c r="W282" s="70" t="s">
        <v>0</v>
      </c>
      <c r="X282" s="58" t="s">
        <v>0</v>
      </c>
      <c r="Y282" s="58" t="s">
        <v>0</v>
      </c>
      <c r="Z282" s="58" t="s">
        <v>0</v>
      </c>
      <c r="AA282" s="58" t="s">
        <v>0</v>
      </c>
      <c r="AB282" s="58" t="s">
        <v>0</v>
      </c>
      <c r="AC282" s="58" t="s">
        <v>0</v>
      </c>
      <c r="AD282" s="58" t="s">
        <v>0</v>
      </c>
      <c r="AE282" s="58" t="s">
        <v>0</v>
      </c>
      <c r="AF282" s="58"/>
      <c r="AG282" s="58"/>
      <c r="AH282" s="58"/>
      <c r="AI282" s="58" t="s">
        <v>0</v>
      </c>
      <c r="AJ282" s="58" t="s">
        <v>0</v>
      </c>
      <c r="AK282" s="1" t="s">
        <v>1255</v>
      </c>
    </row>
    <row r="283" spans="2:37">
      <c r="B283" s="68" t="s">
        <v>0</v>
      </c>
      <c r="C283" s="55" t="s">
        <v>0</v>
      </c>
      <c r="D283" s="55" t="s">
        <v>0</v>
      </c>
      <c r="E283" s="68" t="s">
        <v>0</v>
      </c>
      <c r="F283" s="59" t="s">
        <v>0</v>
      </c>
      <c r="G283" s="55" t="s">
        <v>1257</v>
      </c>
      <c r="H283" s="55" t="s">
        <v>1281</v>
      </c>
      <c r="I283" s="55" t="s">
        <v>1283</v>
      </c>
      <c r="J283" s="60" t="s">
        <v>461</v>
      </c>
      <c r="K283" s="76" t="s">
        <v>1094</v>
      </c>
      <c r="L283" s="60" t="e">
        <v>#N/A</v>
      </c>
      <c r="M283" s="55" t="s">
        <v>0</v>
      </c>
      <c r="N283" s="2"/>
      <c r="O283" s="58"/>
      <c r="P283" s="60" t="e">
        <v>#N/A</v>
      </c>
      <c r="Q283" s="60" t="e">
        <v>#N/A</v>
      </c>
      <c r="R283" s="85" t="s">
        <v>0</v>
      </c>
      <c r="S283" s="85" t="s">
        <v>0</v>
      </c>
      <c r="T283" s="61" t="s">
        <v>0</v>
      </c>
      <c r="U283" s="60" t="s">
        <v>0</v>
      </c>
      <c r="V283" s="70" t="s">
        <v>0</v>
      </c>
      <c r="W283" s="70" t="s">
        <v>0</v>
      </c>
      <c r="X283" s="58" t="s">
        <v>0</v>
      </c>
      <c r="Y283" s="58" t="s">
        <v>0</v>
      </c>
      <c r="Z283" s="58" t="s">
        <v>0</v>
      </c>
      <c r="AA283" s="58" t="s">
        <v>0</v>
      </c>
      <c r="AB283" s="58" t="s">
        <v>0</v>
      </c>
      <c r="AC283" s="58" t="s">
        <v>0</v>
      </c>
      <c r="AD283" s="58" t="s">
        <v>0</v>
      </c>
      <c r="AE283" s="58" t="s">
        <v>0</v>
      </c>
      <c r="AF283" s="58"/>
      <c r="AG283" s="58"/>
      <c r="AH283" s="58"/>
      <c r="AI283" s="58" t="s">
        <v>0</v>
      </c>
      <c r="AJ283" s="58" t="s">
        <v>0</v>
      </c>
      <c r="AK283" s="1" t="s">
        <v>1255</v>
      </c>
    </row>
    <row r="284" spans="2:37">
      <c r="B284" s="68" t="s">
        <v>0</v>
      </c>
      <c r="C284" s="55" t="s">
        <v>0</v>
      </c>
      <c r="D284" s="55" t="s">
        <v>0</v>
      </c>
      <c r="E284" s="68" t="s">
        <v>0</v>
      </c>
      <c r="F284" s="59" t="s">
        <v>0</v>
      </c>
      <c r="G284" s="55" t="s">
        <v>1257</v>
      </c>
      <c r="H284" s="55" t="s">
        <v>1281</v>
      </c>
      <c r="I284" s="55" t="s">
        <v>1282</v>
      </c>
      <c r="J284" s="60" t="s">
        <v>461</v>
      </c>
      <c r="K284" s="76" t="s">
        <v>1095</v>
      </c>
      <c r="L284" s="60" t="e">
        <v>#N/A</v>
      </c>
      <c r="M284" s="55" t="s">
        <v>0</v>
      </c>
      <c r="N284" s="2"/>
      <c r="O284" s="58"/>
      <c r="P284" s="60" t="e">
        <v>#N/A</v>
      </c>
      <c r="Q284" s="60" t="e">
        <v>#N/A</v>
      </c>
      <c r="R284" s="85" t="s">
        <v>0</v>
      </c>
      <c r="S284" s="85" t="s">
        <v>0</v>
      </c>
      <c r="T284" s="61" t="s">
        <v>0</v>
      </c>
      <c r="U284" s="60" t="s">
        <v>0</v>
      </c>
      <c r="V284" s="70" t="s">
        <v>0</v>
      </c>
      <c r="W284" s="70" t="s">
        <v>0</v>
      </c>
      <c r="X284" s="58" t="s">
        <v>0</v>
      </c>
      <c r="Y284" s="58" t="s">
        <v>0</v>
      </c>
      <c r="Z284" s="58" t="s">
        <v>0</v>
      </c>
      <c r="AA284" s="58" t="s">
        <v>0</v>
      </c>
      <c r="AB284" s="58" t="s">
        <v>0</v>
      </c>
      <c r="AC284" s="58" t="s">
        <v>0</v>
      </c>
      <c r="AD284" s="58" t="s">
        <v>0</v>
      </c>
      <c r="AE284" s="58" t="s">
        <v>0</v>
      </c>
      <c r="AF284" s="58"/>
      <c r="AG284" s="58"/>
      <c r="AH284" s="58"/>
      <c r="AI284" s="58" t="s">
        <v>0</v>
      </c>
      <c r="AJ284" s="58" t="s">
        <v>0</v>
      </c>
      <c r="AK284" s="1" t="s">
        <v>1255</v>
      </c>
    </row>
    <row r="285" spans="2:37">
      <c r="B285" s="68" t="s">
        <v>0</v>
      </c>
      <c r="C285" s="55" t="s">
        <v>0</v>
      </c>
      <c r="D285" s="55" t="s">
        <v>0</v>
      </c>
      <c r="E285" s="68" t="s">
        <v>0</v>
      </c>
      <c r="F285" s="59" t="s">
        <v>0</v>
      </c>
      <c r="G285" s="55" t="s">
        <v>1262</v>
      </c>
      <c r="H285" s="55" t="s">
        <v>1281</v>
      </c>
      <c r="I285" s="55" t="s">
        <v>1283</v>
      </c>
      <c r="J285" s="60" t="s">
        <v>461</v>
      </c>
      <c r="K285" s="76" t="s">
        <v>1096</v>
      </c>
      <c r="L285" s="60" t="e">
        <v>#N/A</v>
      </c>
      <c r="M285" s="55" t="s">
        <v>0</v>
      </c>
      <c r="N285" s="2"/>
      <c r="O285" s="58"/>
      <c r="P285" s="60" t="e">
        <v>#N/A</v>
      </c>
      <c r="Q285" s="60" t="e">
        <v>#N/A</v>
      </c>
      <c r="R285" s="85" t="s">
        <v>0</v>
      </c>
      <c r="S285" s="85" t="s">
        <v>0</v>
      </c>
      <c r="T285" s="61" t="s">
        <v>0</v>
      </c>
      <c r="U285" s="60" t="s">
        <v>0</v>
      </c>
      <c r="V285" s="70" t="s">
        <v>0</v>
      </c>
      <c r="W285" s="70" t="s">
        <v>0</v>
      </c>
      <c r="X285" s="58" t="s">
        <v>0</v>
      </c>
      <c r="Y285" s="58" t="s">
        <v>0</v>
      </c>
      <c r="Z285" s="58" t="s">
        <v>0</v>
      </c>
      <c r="AA285" s="58" t="s">
        <v>0</v>
      </c>
      <c r="AB285" s="58" t="s">
        <v>0</v>
      </c>
      <c r="AC285" s="58" t="s">
        <v>0</v>
      </c>
      <c r="AD285" s="58" t="s">
        <v>0</v>
      </c>
      <c r="AE285" s="58" t="s">
        <v>0</v>
      </c>
      <c r="AF285" s="58"/>
      <c r="AG285" s="58"/>
      <c r="AH285" s="58"/>
      <c r="AI285" s="58" t="s">
        <v>0</v>
      </c>
      <c r="AJ285" s="58" t="s">
        <v>0</v>
      </c>
      <c r="AK285" s="1" t="s">
        <v>1255</v>
      </c>
    </row>
    <row r="286" spans="2:37">
      <c r="B286" s="68" t="s">
        <v>0</v>
      </c>
      <c r="C286" s="55" t="s">
        <v>0</v>
      </c>
      <c r="D286" s="55" t="s">
        <v>0</v>
      </c>
      <c r="E286" s="68" t="s">
        <v>0</v>
      </c>
      <c r="F286" s="59" t="s">
        <v>0</v>
      </c>
      <c r="G286" s="55" t="s">
        <v>1257</v>
      </c>
      <c r="H286" s="55" t="s">
        <v>1281</v>
      </c>
      <c r="I286" s="55" t="s">
        <v>1282</v>
      </c>
      <c r="J286" s="60" t="s">
        <v>461</v>
      </c>
      <c r="K286" s="76" t="s">
        <v>1097</v>
      </c>
      <c r="L286" s="60" t="e">
        <v>#N/A</v>
      </c>
      <c r="M286" s="55" t="s">
        <v>0</v>
      </c>
      <c r="N286" s="2"/>
      <c r="O286" s="58"/>
      <c r="P286" s="60" t="e">
        <v>#N/A</v>
      </c>
      <c r="Q286" s="60" t="e">
        <v>#N/A</v>
      </c>
      <c r="R286" s="85" t="s">
        <v>0</v>
      </c>
      <c r="S286" s="85" t="s">
        <v>0</v>
      </c>
      <c r="T286" s="61" t="s">
        <v>0</v>
      </c>
      <c r="U286" s="60" t="s">
        <v>0</v>
      </c>
      <c r="V286" s="70" t="s">
        <v>0</v>
      </c>
      <c r="W286" s="70" t="s">
        <v>0</v>
      </c>
      <c r="X286" s="58" t="s">
        <v>0</v>
      </c>
      <c r="Y286" s="58" t="s">
        <v>0</v>
      </c>
      <c r="Z286" s="58" t="s">
        <v>0</v>
      </c>
      <c r="AA286" s="58" t="s">
        <v>0</v>
      </c>
      <c r="AB286" s="58" t="s">
        <v>0</v>
      </c>
      <c r="AC286" s="58" t="s">
        <v>0</v>
      </c>
      <c r="AD286" s="58" t="s">
        <v>0</v>
      </c>
      <c r="AE286" s="58" t="s">
        <v>0</v>
      </c>
      <c r="AF286" s="58"/>
      <c r="AG286" s="58"/>
      <c r="AH286" s="58"/>
      <c r="AI286" s="58" t="s">
        <v>0</v>
      </c>
      <c r="AJ286" s="58" t="s">
        <v>0</v>
      </c>
      <c r="AK286" s="1" t="s">
        <v>1255</v>
      </c>
    </row>
    <row r="287" spans="2:37">
      <c r="B287" s="68" t="s">
        <v>0</v>
      </c>
      <c r="C287" s="55" t="s">
        <v>0</v>
      </c>
      <c r="D287" s="55" t="s">
        <v>0</v>
      </c>
      <c r="E287" s="68" t="s">
        <v>0</v>
      </c>
      <c r="F287" s="59" t="s">
        <v>0</v>
      </c>
      <c r="G287" s="55" t="s">
        <v>1262</v>
      </c>
      <c r="H287" s="55" t="s">
        <v>1281</v>
      </c>
      <c r="I287" s="55" t="s">
        <v>1283</v>
      </c>
      <c r="J287" s="60" t="s">
        <v>461</v>
      </c>
      <c r="K287" s="76" t="s">
        <v>1098</v>
      </c>
      <c r="L287" s="60" t="e">
        <v>#N/A</v>
      </c>
      <c r="M287" s="55" t="s">
        <v>0</v>
      </c>
      <c r="N287" s="2"/>
      <c r="O287" s="58"/>
      <c r="P287" s="60" t="e">
        <v>#N/A</v>
      </c>
      <c r="Q287" s="60" t="e">
        <v>#N/A</v>
      </c>
      <c r="R287" s="85" t="s">
        <v>0</v>
      </c>
      <c r="S287" s="85" t="s">
        <v>0</v>
      </c>
      <c r="T287" s="61" t="s">
        <v>0</v>
      </c>
      <c r="U287" s="60" t="s">
        <v>0</v>
      </c>
      <c r="V287" s="70" t="s">
        <v>0</v>
      </c>
      <c r="W287" s="70" t="s">
        <v>0</v>
      </c>
      <c r="X287" s="58" t="s">
        <v>0</v>
      </c>
      <c r="Y287" s="58" t="s">
        <v>0</v>
      </c>
      <c r="Z287" s="58" t="s">
        <v>0</v>
      </c>
      <c r="AA287" s="58" t="s">
        <v>0</v>
      </c>
      <c r="AB287" s="58" t="s">
        <v>0</v>
      </c>
      <c r="AC287" s="58" t="s">
        <v>0</v>
      </c>
      <c r="AD287" s="58" t="s">
        <v>0</v>
      </c>
      <c r="AE287" s="58" t="s">
        <v>0</v>
      </c>
      <c r="AF287" s="58"/>
      <c r="AG287" s="58"/>
      <c r="AH287" s="58"/>
      <c r="AI287" s="58" t="s">
        <v>0</v>
      </c>
      <c r="AJ287" s="58" t="s">
        <v>0</v>
      </c>
      <c r="AK287" s="1" t="s">
        <v>1255</v>
      </c>
    </row>
    <row r="288" spans="2:37">
      <c r="B288" s="68" t="s">
        <v>0</v>
      </c>
      <c r="C288" s="55" t="s">
        <v>0</v>
      </c>
      <c r="D288" s="55" t="s">
        <v>0</v>
      </c>
      <c r="E288" s="68" t="s">
        <v>0</v>
      </c>
      <c r="F288" s="59" t="s">
        <v>0</v>
      </c>
      <c r="G288" s="55" t="s">
        <v>1257</v>
      </c>
      <c r="H288" s="55" t="s">
        <v>1281</v>
      </c>
      <c r="I288" s="55" t="s">
        <v>1283</v>
      </c>
      <c r="J288" s="60" t="s">
        <v>461</v>
      </c>
      <c r="K288" s="76" t="s">
        <v>1099</v>
      </c>
      <c r="L288" s="60" t="e">
        <v>#N/A</v>
      </c>
      <c r="M288" s="55" t="s">
        <v>0</v>
      </c>
      <c r="N288" s="2"/>
      <c r="O288" s="58"/>
      <c r="P288" s="60" t="e">
        <v>#N/A</v>
      </c>
      <c r="Q288" s="60" t="e">
        <v>#N/A</v>
      </c>
      <c r="R288" s="85" t="s">
        <v>0</v>
      </c>
      <c r="S288" s="85" t="s">
        <v>0</v>
      </c>
      <c r="T288" s="61" t="s">
        <v>0</v>
      </c>
      <c r="U288" s="60" t="s">
        <v>0</v>
      </c>
      <c r="V288" s="70" t="s">
        <v>0</v>
      </c>
      <c r="W288" s="70" t="s">
        <v>0</v>
      </c>
      <c r="X288" s="58" t="s">
        <v>0</v>
      </c>
      <c r="Y288" s="58" t="s">
        <v>0</v>
      </c>
      <c r="Z288" s="58" t="s">
        <v>0</v>
      </c>
      <c r="AA288" s="58" t="s">
        <v>0</v>
      </c>
      <c r="AB288" s="58" t="s">
        <v>0</v>
      </c>
      <c r="AC288" s="58" t="s">
        <v>0</v>
      </c>
      <c r="AD288" s="58" t="s">
        <v>0</v>
      </c>
      <c r="AE288" s="58" t="s">
        <v>0</v>
      </c>
      <c r="AF288" s="58"/>
      <c r="AG288" s="58"/>
      <c r="AH288" s="58"/>
      <c r="AI288" s="58" t="s">
        <v>0</v>
      </c>
      <c r="AJ288" s="58" t="s">
        <v>0</v>
      </c>
      <c r="AK288" s="1" t="s">
        <v>1255</v>
      </c>
    </row>
    <row r="289" spans="2:37">
      <c r="B289" s="68" t="s">
        <v>0</v>
      </c>
      <c r="C289" s="55" t="s">
        <v>0</v>
      </c>
      <c r="D289" s="55" t="s">
        <v>0</v>
      </c>
      <c r="E289" s="68" t="s">
        <v>0</v>
      </c>
      <c r="F289" s="59" t="s">
        <v>0</v>
      </c>
      <c r="G289" s="55" t="s">
        <v>1252</v>
      </c>
      <c r="H289" s="55" t="s">
        <v>1284</v>
      </c>
      <c r="I289" s="55" t="s">
        <v>1285</v>
      </c>
      <c r="J289" s="60" t="s">
        <v>461</v>
      </c>
      <c r="K289" s="76" t="s">
        <v>1100</v>
      </c>
      <c r="L289" s="60" t="e">
        <v>#N/A</v>
      </c>
      <c r="M289" s="55" t="s">
        <v>0</v>
      </c>
      <c r="N289" s="2"/>
      <c r="O289" s="58"/>
      <c r="P289" s="60" t="e">
        <v>#N/A</v>
      </c>
      <c r="Q289" s="60" t="e">
        <v>#N/A</v>
      </c>
      <c r="R289" s="85" t="s">
        <v>0</v>
      </c>
      <c r="S289" s="85" t="s">
        <v>0</v>
      </c>
      <c r="T289" s="61" t="s">
        <v>0</v>
      </c>
      <c r="U289" s="60" t="s">
        <v>0</v>
      </c>
      <c r="V289" s="70" t="s">
        <v>0</v>
      </c>
      <c r="W289" s="70" t="s">
        <v>0</v>
      </c>
      <c r="X289" s="58" t="s">
        <v>0</v>
      </c>
      <c r="Y289" s="58" t="s">
        <v>0</v>
      </c>
      <c r="Z289" s="58" t="s">
        <v>0</v>
      </c>
      <c r="AA289" s="58" t="s">
        <v>0</v>
      </c>
      <c r="AB289" s="58" t="s">
        <v>0</v>
      </c>
      <c r="AC289" s="58" t="s">
        <v>0</v>
      </c>
      <c r="AD289" s="58" t="s">
        <v>0</v>
      </c>
      <c r="AE289" s="58" t="s">
        <v>0</v>
      </c>
      <c r="AF289" s="58"/>
      <c r="AG289" s="58"/>
      <c r="AH289" s="58"/>
      <c r="AI289" s="58" t="s">
        <v>0</v>
      </c>
      <c r="AJ289" s="58" t="s">
        <v>0</v>
      </c>
      <c r="AK289" s="1" t="s">
        <v>1255</v>
      </c>
    </row>
    <row r="290" spans="2:37">
      <c r="B290" s="68" t="s">
        <v>0</v>
      </c>
      <c r="C290" s="55" t="s">
        <v>0</v>
      </c>
      <c r="D290" s="55" t="s">
        <v>0</v>
      </c>
      <c r="E290" s="68" t="s">
        <v>0</v>
      </c>
      <c r="F290" s="59" t="s">
        <v>0</v>
      </c>
      <c r="G290" s="55" t="s">
        <v>1252</v>
      </c>
      <c r="H290" s="55" t="s">
        <v>1284</v>
      </c>
      <c r="I290" s="55" t="s">
        <v>1285</v>
      </c>
      <c r="J290" s="60" t="s">
        <v>461</v>
      </c>
      <c r="K290" s="76" t="s">
        <v>1101</v>
      </c>
      <c r="L290" s="60" t="e">
        <v>#N/A</v>
      </c>
      <c r="M290" s="55" t="s">
        <v>0</v>
      </c>
      <c r="N290" s="2"/>
      <c r="O290" s="58"/>
      <c r="P290" s="60" t="e">
        <v>#N/A</v>
      </c>
      <c r="Q290" s="60" t="e">
        <v>#N/A</v>
      </c>
      <c r="R290" s="85" t="s">
        <v>0</v>
      </c>
      <c r="S290" s="85" t="s">
        <v>0</v>
      </c>
      <c r="T290" s="61" t="s">
        <v>0</v>
      </c>
      <c r="U290" s="60" t="s">
        <v>0</v>
      </c>
      <c r="V290" s="70" t="s">
        <v>0</v>
      </c>
      <c r="W290" s="70" t="s">
        <v>0</v>
      </c>
      <c r="X290" s="58" t="s">
        <v>0</v>
      </c>
      <c r="Y290" s="58" t="s">
        <v>0</v>
      </c>
      <c r="Z290" s="58" t="s">
        <v>0</v>
      </c>
      <c r="AA290" s="58" t="s">
        <v>0</v>
      </c>
      <c r="AB290" s="58" t="s">
        <v>0</v>
      </c>
      <c r="AC290" s="58" t="s">
        <v>0</v>
      </c>
      <c r="AD290" s="58" t="s">
        <v>0</v>
      </c>
      <c r="AE290" s="58" t="s">
        <v>0</v>
      </c>
      <c r="AF290" s="58"/>
      <c r="AG290" s="58"/>
      <c r="AH290" s="58"/>
      <c r="AI290" s="58" t="s">
        <v>0</v>
      </c>
      <c r="AJ290" s="58" t="s">
        <v>0</v>
      </c>
      <c r="AK290" s="1" t="s">
        <v>1255</v>
      </c>
    </row>
    <row r="291" spans="2:37">
      <c r="B291" s="68" t="s">
        <v>0</v>
      </c>
      <c r="C291" s="55" t="s">
        <v>0</v>
      </c>
      <c r="D291" s="55" t="s">
        <v>0</v>
      </c>
      <c r="E291" s="68" t="s">
        <v>0</v>
      </c>
      <c r="F291" s="59" t="s">
        <v>0</v>
      </c>
      <c r="G291" s="55" t="s">
        <v>1252</v>
      </c>
      <c r="H291" s="55" t="s">
        <v>1284</v>
      </c>
      <c r="I291" s="55" t="s">
        <v>1285</v>
      </c>
      <c r="J291" s="60" t="s">
        <v>461</v>
      </c>
      <c r="K291" s="76" t="s">
        <v>1102</v>
      </c>
      <c r="L291" s="60" t="e">
        <v>#N/A</v>
      </c>
      <c r="M291" s="55" t="s">
        <v>0</v>
      </c>
      <c r="N291" s="2"/>
      <c r="O291" s="58"/>
      <c r="P291" s="60" t="e">
        <v>#N/A</v>
      </c>
      <c r="Q291" s="60" t="e">
        <v>#N/A</v>
      </c>
      <c r="R291" s="85" t="s">
        <v>0</v>
      </c>
      <c r="S291" s="85" t="s">
        <v>0</v>
      </c>
      <c r="T291" s="61" t="s">
        <v>0</v>
      </c>
      <c r="U291" s="60" t="s">
        <v>0</v>
      </c>
      <c r="V291" s="70" t="s">
        <v>0</v>
      </c>
      <c r="W291" s="70" t="s">
        <v>0</v>
      </c>
      <c r="X291" s="58" t="s">
        <v>0</v>
      </c>
      <c r="Y291" s="58" t="s">
        <v>0</v>
      </c>
      <c r="Z291" s="58" t="s">
        <v>0</v>
      </c>
      <c r="AA291" s="58" t="s">
        <v>0</v>
      </c>
      <c r="AB291" s="58" t="s">
        <v>0</v>
      </c>
      <c r="AC291" s="58" t="s">
        <v>0</v>
      </c>
      <c r="AD291" s="58" t="s">
        <v>0</v>
      </c>
      <c r="AE291" s="58" t="s">
        <v>0</v>
      </c>
      <c r="AF291" s="58"/>
      <c r="AG291" s="58"/>
      <c r="AH291" s="58"/>
      <c r="AI291" s="58" t="s">
        <v>0</v>
      </c>
      <c r="AJ291" s="58" t="s">
        <v>0</v>
      </c>
      <c r="AK291" s="1" t="s">
        <v>1255</v>
      </c>
    </row>
    <row r="292" spans="2:37">
      <c r="B292" s="68" t="s">
        <v>0</v>
      </c>
      <c r="C292" s="55" t="s">
        <v>0</v>
      </c>
      <c r="D292" s="55" t="s">
        <v>0</v>
      </c>
      <c r="E292" s="68" t="s">
        <v>0</v>
      </c>
      <c r="F292" s="59" t="s">
        <v>0</v>
      </c>
      <c r="G292" s="55" t="s">
        <v>1252</v>
      </c>
      <c r="H292" s="55" t="s">
        <v>1284</v>
      </c>
      <c r="I292" s="55" t="s">
        <v>1285</v>
      </c>
      <c r="J292" s="60" t="s">
        <v>461</v>
      </c>
      <c r="K292" s="76" t="s">
        <v>1103</v>
      </c>
      <c r="L292" s="60" t="e">
        <v>#N/A</v>
      </c>
      <c r="M292" s="55" t="s">
        <v>0</v>
      </c>
      <c r="N292" s="2"/>
      <c r="O292" s="58"/>
      <c r="P292" s="60" t="e">
        <v>#N/A</v>
      </c>
      <c r="Q292" s="60" t="e">
        <v>#N/A</v>
      </c>
      <c r="R292" s="85" t="s">
        <v>0</v>
      </c>
      <c r="S292" s="85" t="s">
        <v>0</v>
      </c>
      <c r="T292" s="61" t="s">
        <v>0</v>
      </c>
      <c r="U292" s="60" t="s">
        <v>0</v>
      </c>
      <c r="V292" s="70" t="s">
        <v>0</v>
      </c>
      <c r="W292" s="70" t="s">
        <v>0</v>
      </c>
      <c r="X292" s="58" t="s">
        <v>0</v>
      </c>
      <c r="Y292" s="58" t="s">
        <v>0</v>
      </c>
      <c r="Z292" s="58" t="s">
        <v>0</v>
      </c>
      <c r="AA292" s="58" t="s">
        <v>0</v>
      </c>
      <c r="AB292" s="58" t="s">
        <v>0</v>
      </c>
      <c r="AC292" s="58" t="s">
        <v>0</v>
      </c>
      <c r="AD292" s="58" t="s">
        <v>0</v>
      </c>
      <c r="AE292" s="58" t="s">
        <v>0</v>
      </c>
      <c r="AF292" s="58"/>
      <c r="AG292" s="58"/>
      <c r="AH292" s="58"/>
      <c r="AI292" s="58" t="s">
        <v>0</v>
      </c>
      <c r="AJ292" s="58" t="s">
        <v>0</v>
      </c>
      <c r="AK292" s="1" t="s">
        <v>1255</v>
      </c>
    </row>
    <row r="293" spans="2:37">
      <c r="B293" s="69" t="s">
        <v>0</v>
      </c>
      <c r="C293" s="64" t="s">
        <v>0</v>
      </c>
      <c r="D293" s="64" t="s">
        <v>0</v>
      </c>
      <c r="E293" s="69" t="s">
        <v>0</v>
      </c>
      <c r="F293" s="74" t="s">
        <v>0</v>
      </c>
      <c r="G293" s="64" t="s">
        <v>1252</v>
      </c>
      <c r="H293" s="64" t="s">
        <v>1284</v>
      </c>
      <c r="I293" s="64" t="s">
        <v>1285</v>
      </c>
      <c r="J293" s="65" t="s">
        <v>461</v>
      </c>
      <c r="K293" s="77" t="s">
        <v>1104</v>
      </c>
      <c r="L293" s="65" t="e">
        <v>#N/A</v>
      </c>
      <c r="M293" s="64" t="s">
        <v>0</v>
      </c>
      <c r="N293" s="80"/>
      <c r="O293" s="66"/>
      <c r="P293" s="65" t="e">
        <v>#N/A</v>
      </c>
      <c r="Q293" s="65" t="e">
        <v>#N/A</v>
      </c>
      <c r="R293" s="86" t="s">
        <v>0</v>
      </c>
      <c r="S293" s="86" t="s">
        <v>0</v>
      </c>
      <c r="T293" s="67" t="s">
        <v>0</v>
      </c>
      <c r="U293" s="65" t="s">
        <v>0</v>
      </c>
      <c r="V293" s="75" t="s">
        <v>0</v>
      </c>
      <c r="W293" s="75" t="s">
        <v>0</v>
      </c>
      <c r="X293" s="66" t="s">
        <v>0</v>
      </c>
      <c r="Y293" s="66" t="s">
        <v>0</v>
      </c>
      <c r="Z293" s="66" t="s">
        <v>0</v>
      </c>
      <c r="AA293" s="66" t="s">
        <v>0</v>
      </c>
      <c r="AB293" s="66" t="s">
        <v>0</v>
      </c>
      <c r="AC293" s="66" t="s">
        <v>0</v>
      </c>
      <c r="AD293" s="66" t="s">
        <v>0</v>
      </c>
      <c r="AE293" s="66" t="s">
        <v>0</v>
      </c>
      <c r="AF293" s="66"/>
      <c r="AG293" s="66"/>
      <c r="AH293" s="66"/>
      <c r="AI293" s="66" t="s">
        <v>0</v>
      </c>
      <c r="AJ293" s="66" t="s">
        <v>0</v>
      </c>
      <c r="AK293" s="1" t="s">
        <v>1255</v>
      </c>
    </row>
    <row r="294" spans="2:37">
      <c r="B294" s="68" t="s">
        <v>0</v>
      </c>
      <c r="C294" s="55" t="s">
        <v>0</v>
      </c>
      <c r="D294" s="55" t="s">
        <v>0</v>
      </c>
      <c r="E294" s="68" t="s">
        <v>0</v>
      </c>
      <c r="F294" s="59" t="s">
        <v>0</v>
      </c>
      <c r="G294" s="55" t="s">
        <v>1252</v>
      </c>
      <c r="H294" s="55" t="s">
        <v>1284</v>
      </c>
      <c r="I294" s="55" t="s">
        <v>1285</v>
      </c>
      <c r="J294" s="60" t="s">
        <v>461</v>
      </c>
      <c r="K294" s="78" t="s">
        <v>1105</v>
      </c>
      <c r="L294" s="60" t="e">
        <v>#N/A</v>
      </c>
      <c r="M294" s="55" t="s">
        <v>0</v>
      </c>
      <c r="N294" s="2"/>
      <c r="O294" s="58"/>
      <c r="P294" s="60" t="e">
        <v>#N/A</v>
      </c>
      <c r="Q294" s="60" t="e">
        <v>#N/A</v>
      </c>
      <c r="R294" s="85" t="s">
        <v>0</v>
      </c>
      <c r="S294" s="85" t="s">
        <v>0</v>
      </c>
      <c r="T294" s="61" t="s">
        <v>0</v>
      </c>
      <c r="U294" s="60" t="s">
        <v>0</v>
      </c>
      <c r="V294" s="70" t="s">
        <v>0</v>
      </c>
      <c r="W294" s="70" t="s">
        <v>0</v>
      </c>
      <c r="X294" s="58" t="s">
        <v>0</v>
      </c>
      <c r="Y294" s="58" t="s">
        <v>0</v>
      </c>
      <c r="Z294" s="58" t="s">
        <v>0</v>
      </c>
      <c r="AA294" s="58" t="s">
        <v>0</v>
      </c>
      <c r="AB294" s="58" t="s">
        <v>0</v>
      </c>
      <c r="AC294" s="58" t="s">
        <v>0</v>
      </c>
      <c r="AD294" s="58" t="s">
        <v>0</v>
      </c>
      <c r="AE294" s="58" t="s">
        <v>0</v>
      </c>
      <c r="AF294" s="58"/>
      <c r="AG294" s="58"/>
      <c r="AH294" s="58"/>
      <c r="AI294" s="58" t="s">
        <v>0</v>
      </c>
      <c r="AJ294" s="58" t="s">
        <v>0</v>
      </c>
      <c r="AK294" s="1" t="s">
        <v>1255</v>
      </c>
    </row>
    <row r="295" spans="2:37">
      <c r="B295" s="68" t="s">
        <v>0</v>
      </c>
      <c r="C295" s="55" t="s">
        <v>0</v>
      </c>
      <c r="D295" s="55" t="s">
        <v>0</v>
      </c>
      <c r="E295" s="68" t="s">
        <v>0</v>
      </c>
      <c r="F295" s="59" t="s">
        <v>0</v>
      </c>
      <c r="G295" s="55" t="s">
        <v>1252</v>
      </c>
      <c r="H295" s="55" t="s">
        <v>1284</v>
      </c>
      <c r="I295" s="55" t="s">
        <v>1285</v>
      </c>
      <c r="J295" s="60" t="s">
        <v>461</v>
      </c>
      <c r="K295" s="78" t="s">
        <v>1106</v>
      </c>
      <c r="L295" s="60" t="e">
        <v>#N/A</v>
      </c>
      <c r="M295" s="55" t="s">
        <v>0</v>
      </c>
      <c r="N295" s="2"/>
      <c r="O295" s="58"/>
      <c r="P295" s="60" t="e">
        <v>#N/A</v>
      </c>
      <c r="Q295" s="60" t="e">
        <v>#N/A</v>
      </c>
      <c r="R295" s="85" t="s">
        <v>0</v>
      </c>
      <c r="S295" s="85" t="s">
        <v>0</v>
      </c>
      <c r="T295" s="61" t="s">
        <v>0</v>
      </c>
      <c r="U295" s="60" t="s">
        <v>0</v>
      </c>
      <c r="V295" s="58" t="s">
        <v>0</v>
      </c>
      <c r="W295" s="58" t="s">
        <v>0</v>
      </c>
      <c r="X295" s="58" t="s">
        <v>0</v>
      </c>
      <c r="Y295" s="58" t="s">
        <v>0</v>
      </c>
      <c r="Z295" s="58" t="s">
        <v>0</v>
      </c>
      <c r="AA295" s="58" t="s">
        <v>0</v>
      </c>
      <c r="AB295" s="58" t="s">
        <v>0</v>
      </c>
      <c r="AC295" s="58" t="s">
        <v>0</v>
      </c>
      <c r="AD295" s="58" t="s">
        <v>0</v>
      </c>
      <c r="AE295" s="58" t="s">
        <v>0</v>
      </c>
      <c r="AF295" s="58"/>
      <c r="AG295" s="58"/>
      <c r="AH295" s="58"/>
      <c r="AI295" s="58" t="s">
        <v>0</v>
      </c>
      <c r="AJ295" s="58" t="s">
        <v>0</v>
      </c>
      <c r="AK295" s="1" t="s">
        <v>1255</v>
      </c>
    </row>
    <row r="296" spans="2:37">
      <c r="B296" s="68" t="s">
        <v>0</v>
      </c>
      <c r="C296" s="55" t="s">
        <v>0</v>
      </c>
      <c r="D296" s="55" t="s">
        <v>0</v>
      </c>
      <c r="E296" s="68" t="s">
        <v>0</v>
      </c>
      <c r="F296" s="59" t="s">
        <v>0</v>
      </c>
      <c r="G296" s="55" t="s">
        <v>1252</v>
      </c>
      <c r="H296" s="55" t="s">
        <v>1284</v>
      </c>
      <c r="I296" s="55" t="s">
        <v>1285</v>
      </c>
      <c r="J296" s="60" t="s">
        <v>461</v>
      </c>
      <c r="K296" s="78" t="s">
        <v>1107</v>
      </c>
      <c r="L296" s="60" t="e">
        <v>#N/A</v>
      </c>
      <c r="M296" s="55" t="s">
        <v>0</v>
      </c>
      <c r="N296" s="2"/>
      <c r="O296" s="58"/>
      <c r="P296" s="60" t="e">
        <v>#N/A</v>
      </c>
      <c r="Q296" s="60" t="e">
        <v>#N/A</v>
      </c>
      <c r="R296" s="85" t="s">
        <v>0</v>
      </c>
      <c r="S296" s="85" t="s">
        <v>0</v>
      </c>
      <c r="T296" s="61" t="s">
        <v>0</v>
      </c>
      <c r="U296" s="60" t="s">
        <v>0</v>
      </c>
      <c r="V296" s="58" t="s">
        <v>0</v>
      </c>
      <c r="W296" s="58" t="s">
        <v>0</v>
      </c>
      <c r="X296" s="58" t="s">
        <v>0</v>
      </c>
      <c r="Y296" s="58" t="s">
        <v>0</v>
      </c>
      <c r="Z296" s="58" t="s">
        <v>0</v>
      </c>
      <c r="AA296" s="58" t="s">
        <v>0</v>
      </c>
      <c r="AB296" s="58" t="s">
        <v>0</v>
      </c>
      <c r="AC296" s="58" t="s">
        <v>0</v>
      </c>
      <c r="AD296" s="58" t="s">
        <v>0</v>
      </c>
      <c r="AE296" s="58" t="s">
        <v>0</v>
      </c>
      <c r="AF296" s="58"/>
      <c r="AG296" s="58"/>
      <c r="AH296" s="58"/>
      <c r="AI296" s="58" t="s">
        <v>0</v>
      </c>
      <c r="AJ296" s="58" t="s">
        <v>0</v>
      </c>
      <c r="AK296" s="1" t="s">
        <v>1255</v>
      </c>
    </row>
    <row r="297" spans="2:37">
      <c r="B297" s="68" t="s">
        <v>0</v>
      </c>
      <c r="C297" s="55" t="s">
        <v>0</v>
      </c>
      <c r="D297" s="55" t="s">
        <v>0</v>
      </c>
      <c r="E297" s="68" t="s">
        <v>0</v>
      </c>
      <c r="F297" s="59" t="s">
        <v>0</v>
      </c>
      <c r="G297" s="55" t="s">
        <v>1252</v>
      </c>
      <c r="H297" s="55" t="s">
        <v>1284</v>
      </c>
      <c r="I297" s="55" t="s">
        <v>1285</v>
      </c>
      <c r="J297" s="60" t="s">
        <v>461</v>
      </c>
      <c r="K297" s="78" t="s">
        <v>1108</v>
      </c>
      <c r="L297" s="60" t="e">
        <v>#N/A</v>
      </c>
      <c r="M297" s="55" t="s">
        <v>0</v>
      </c>
      <c r="N297" s="2"/>
      <c r="O297" s="58"/>
      <c r="P297" s="60" t="e">
        <v>#N/A</v>
      </c>
      <c r="Q297" s="60" t="e">
        <v>#N/A</v>
      </c>
      <c r="R297" s="85" t="s">
        <v>0</v>
      </c>
      <c r="S297" s="85" t="s">
        <v>0</v>
      </c>
      <c r="T297" s="61" t="s">
        <v>0</v>
      </c>
      <c r="U297" s="60" t="s">
        <v>0</v>
      </c>
      <c r="V297" s="58" t="s">
        <v>0</v>
      </c>
      <c r="W297" s="58" t="s">
        <v>0</v>
      </c>
      <c r="X297" s="58" t="s">
        <v>0</v>
      </c>
      <c r="Y297" s="58" t="s">
        <v>0</v>
      </c>
      <c r="Z297" s="58" t="s">
        <v>0</v>
      </c>
      <c r="AA297" s="58" t="s">
        <v>0</v>
      </c>
      <c r="AB297" s="58" t="s">
        <v>0</v>
      </c>
      <c r="AC297" s="58" t="s">
        <v>0</v>
      </c>
      <c r="AD297" s="58" t="s">
        <v>0</v>
      </c>
      <c r="AE297" s="58" t="s">
        <v>0</v>
      </c>
      <c r="AF297" s="58"/>
      <c r="AG297" s="58"/>
      <c r="AH297" s="58"/>
      <c r="AI297" s="58" t="s">
        <v>0</v>
      </c>
      <c r="AJ297" s="58" t="s">
        <v>0</v>
      </c>
      <c r="AK297" s="1" t="s">
        <v>1255</v>
      </c>
    </row>
    <row r="298" spans="2:37">
      <c r="B298" s="68" t="s">
        <v>0</v>
      </c>
      <c r="C298" s="55" t="s">
        <v>0</v>
      </c>
      <c r="D298" s="55" t="s">
        <v>0</v>
      </c>
      <c r="E298" s="68" t="s">
        <v>0</v>
      </c>
      <c r="F298" s="59" t="s">
        <v>0</v>
      </c>
      <c r="G298" s="55" t="s">
        <v>1252</v>
      </c>
      <c r="H298" s="55" t="s">
        <v>1284</v>
      </c>
      <c r="I298" s="55" t="s">
        <v>1285</v>
      </c>
      <c r="J298" s="60" t="s">
        <v>461</v>
      </c>
      <c r="K298" s="78" t="s">
        <v>1109</v>
      </c>
      <c r="L298" s="60" t="e">
        <v>#N/A</v>
      </c>
      <c r="M298" s="55" t="s">
        <v>0</v>
      </c>
      <c r="N298" s="2"/>
      <c r="O298" s="58"/>
      <c r="P298" s="60" t="e">
        <v>#N/A</v>
      </c>
      <c r="Q298" s="60" t="e">
        <v>#N/A</v>
      </c>
      <c r="R298" s="85" t="s">
        <v>0</v>
      </c>
      <c r="S298" s="85" t="s">
        <v>0</v>
      </c>
      <c r="T298" s="61" t="s">
        <v>0</v>
      </c>
      <c r="U298" s="60" t="s">
        <v>0</v>
      </c>
      <c r="V298" s="58" t="s">
        <v>0</v>
      </c>
      <c r="W298" s="58" t="s">
        <v>0</v>
      </c>
      <c r="X298" s="58" t="s">
        <v>0</v>
      </c>
      <c r="Y298" s="58" t="s">
        <v>0</v>
      </c>
      <c r="Z298" s="58" t="s">
        <v>0</v>
      </c>
      <c r="AA298" s="58" t="s">
        <v>0</v>
      </c>
      <c r="AB298" s="58" t="s">
        <v>0</v>
      </c>
      <c r="AC298" s="58" t="s">
        <v>0</v>
      </c>
      <c r="AD298" s="58" t="s">
        <v>0</v>
      </c>
      <c r="AE298" s="58" t="s">
        <v>0</v>
      </c>
      <c r="AF298" s="58"/>
      <c r="AG298" s="58"/>
      <c r="AH298" s="58"/>
      <c r="AI298" s="58" t="s">
        <v>0</v>
      </c>
      <c r="AJ298" s="58" t="s">
        <v>0</v>
      </c>
      <c r="AK298" s="1" t="s">
        <v>1255</v>
      </c>
    </row>
    <row r="299" spans="2:37">
      <c r="B299" s="68" t="s">
        <v>0</v>
      </c>
      <c r="C299" s="55" t="s">
        <v>0</v>
      </c>
      <c r="D299" s="55" t="s">
        <v>0</v>
      </c>
      <c r="E299" s="68" t="s">
        <v>0</v>
      </c>
      <c r="F299" s="59" t="s">
        <v>0</v>
      </c>
      <c r="G299" s="55" t="s">
        <v>1252</v>
      </c>
      <c r="H299" s="55" t="s">
        <v>1284</v>
      </c>
      <c r="I299" s="55" t="s">
        <v>1285</v>
      </c>
      <c r="J299" s="60" t="s">
        <v>461</v>
      </c>
      <c r="K299" s="78" t="s">
        <v>1110</v>
      </c>
      <c r="L299" s="60" t="e">
        <v>#N/A</v>
      </c>
      <c r="M299" s="55" t="s">
        <v>0</v>
      </c>
      <c r="N299" s="2"/>
      <c r="O299" s="58"/>
      <c r="P299" s="60" t="e">
        <v>#N/A</v>
      </c>
      <c r="Q299" s="60" t="e">
        <v>#N/A</v>
      </c>
      <c r="R299" s="85" t="s">
        <v>0</v>
      </c>
      <c r="S299" s="85" t="s">
        <v>0</v>
      </c>
      <c r="T299" s="61" t="s">
        <v>0</v>
      </c>
      <c r="U299" s="60" t="s">
        <v>0</v>
      </c>
      <c r="V299" s="58" t="s">
        <v>0</v>
      </c>
      <c r="W299" s="58" t="s">
        <v>0</v>
      </c>
      <c r="X299" s="58" t="s">
        <v>0</v>
      </c>
      <c r="Y299" s="58" t="s">
        <v>0</v>
      </c>
      <c r="Z299" s="58" t="s">
        <v>0</v>
      </c>
      <c r="AA299" s="58" t="s">
        <v>0</v>
      </c>
      <c r="AB299" s="58" t="s">
        <v>0</v>
      </c>
      <c r="AC299" s="58" t="s">
        <v>0</v>
      </c>
      <c r="AD299" s="58" t="s">
        <v>0</v>
      </c>
      <c r="AE299" s="58" t="s">
        <v>0</v>
      </c>
      <c r="AF299" s="58"/>
      <c r="AG299" s="58"/>
      <c r="AH299" s="58"/>
      <c r="AI299" s="58" t="s">
        <v>0</v>
      </c>
      <c r="AJ299" s="58" t="s">
        <v>0</v>
      </c>
      <c r="AK299" s="1" t="s">
        <v>1255</v>
      </c>
    </row>
    <row r="300" spans="2:37">
      <c r="B300" s="68" t="s">
        <v>0</v>
      </c>
      <c r="C300" s="55" t="s">
        <v>0</v>
      </c>
      <c r="D300" s="55" t="s">
        <v>0</v>
      </c>
      <c r="E300" s="68" t="s">
        <v>0</v>
      </c>
      <c r="F300" s="59" t="s">
        <v>0</v>
      </c>
      <c r="G300" s="55" t="s">
        <v>1252</v>
      </c>
      <c r="H300" s="55" t="s">
        <v>1284</v>
      </c>
      <c r="I300" s="55" t="s">
        <v>1285</v>
      </c>
      <c r="J300" s="60" t="s">
        <v>461</v>
      </c>
      <c r="K300" s="78" t="s">
        <v>1111</v>
      </c>
      <c r="L300" s="60" t="e">
        <v>#N/A</v>
      </c>
      <c r="M300" s="55" t="s">
        <v>0</v>
      </c>
      <c r="N300" s="2"/>
      <c r="O300" s="58"/>
      <c r="P300" s="60" t="e">
        <v>#N/A</v>
      </c>
      <c r="Q300" s="60" t="e">
        <v>#N/A</v>
      </c>
      <c r="R300" s="85" t="s">
        <v>0</v>
      </c>
      <c r="S300" s="85" t="s">
        <v>0</v>
      </c>
      <c r="T300" s="61" t="s">
        <v>0</v>
      </c>
      <c r="U300" s="60" t="s">
        <v>0</v>
      </c>
      <c r="V300" s="58" t="s">
        <v>0</v>
      </c>
      <c r="W300" s="58" t="s">
        <v>0</v>
      </c>
      <c r="X300" s="58" t="s">
        <v>0</v>
      </c>
      <c r="Y300" s="58" t="s">
        <v>0</v>
      </c>
      <c r="Z300" s="58" t="s">
        <v>0</v>
      </c>
      <c r="AA300" s="58" t="s">
        <v>0</v>
      </c>
      <c r="AB300" s="58" t="s">
        <v>0</v>
      </c>
      <c r="AC300" s="58" t="s">
        <v>0</v>
      </c>
      <c r="AD300" s="58" t="s">
        <v>0</v>
      </c>
      <c r="AE300" s="58" t="s">
        <v>0</v>
      </c>
      <c r="AF300" s="58"/>
      <c r="AG300" s="58"/>
      <c r="AH300" s="58"/>
      <c r="AI300" s="58" t="s">
        <v>0</v>
      </c>
      <c r="AJ300" s="58" t="s">
        <v>0</v>
      </c>
      <c r="AK300" s="1" t="s">
        <v>1255</v>
      </c>
    </row>
    <row r="301" spans="2:37">
      <c r="B301" s="68" t="s">
        <v>0</v>
      </c>
      <c r="C301" s="55" t="s">
        <v>0</v>
      </c>
      <c r="D301" s="55" t="s">
        <v>0</v>
      </c>
      <c r="E301" s="68" t="s">
        <v>0</v>
      </c>
      <c r="F301" s="59" t="s">
        <v>0</v>
      </c>
      <c r="G301" s="55" t="s">
        <v>1252</v>
      </c>
      <c r="H301" s="55" t="s">
        <v>1284</v>
      </c>
      <c r="I301" s="55" t="s">
        <v>1286</v>
      </c>
      <c r="J301" s="60" t="s">
        <v>461</v>
      </c>
      <c r="K301" s="78" t="s">
        <v>1112</v>
      </c>
      <c r="L301" s="60" t="e">
        <v>#N/A</v>
      </c>
      <c r="M301" s="55" t="s">
        <v>0</v>
      </c>
      <c r="N301" s="2"/>
      <c r="O301" s="58"/>
      <c r="P301" s="60" t="e">
        <v>#N/A</v>
      </c>
      <c r="Q301" s="60" t="e">
        <v>#N/A</v>
      </c>
      <c r="R301" s="85" t="s">
        <v>0</v>
      </c>
      <c r="S301" s="85" t="s">
        <v>0</v>
      </c>
      <c r="T301" s="61" t="s">
        <v>0</v>
      </c>
      <c r="U301" s="60" t="s">
        <v>0</v>
      </c>
      <c r="V301" s="58" t="s">
        <v>0</v>
      </c>
      <c r="W301" s="58" t="s">
        <v>0</v>
      </c>
      <c r="X301" s="58" t="s">
        <v>0</v>
      </c>
      <c r="Y301" s="58" t="s">
        <v>0</v>
      </c>
      <c r="Z301" s="58" t="s">
        <v>0</v>
      </c>
      <c r="AA301" s="58" t="s">
        <v>0</v>
      </c>
      <c r="AB301" s="58" t="s">
        <v>0</v>
      </c>
      <c r="AC301" s="58" t="s">
        <v>0</v>
      </c>
      <c r="AD301" s="58" t="s">
        <v>0</v>
      </c>
      <c r="AE301" s="58" t="s">
        <v>0</v>
      </c>
      <c r="AF301" s="58"/>
      <c r="AG301" s="58"/>
      <c r="AH301" s="58"/>
      <c r="AI301" s="58" t="s">
        <v>0</v>
      </c>
      <c r="AJ301" s="58" t="s">
        <v>0</v>
      </c>
      <c r="AK301" s="1" t="s">
        <v>1255</v>
      </c>
    </row>
    <row r="302" spans="2:37">
      <c r="B302" s="68" t="s">
        <v>0</v>
      </c>
      <c r="C302" s="55" t="s">
        <v>0</v>
      </c>
      <c r="D302" s="55" t="s">
        <v>0</v>
      </c>
      <c r="E302" s="68" t="s">
        <v>0</v>
      </c>
      <c r="F302" s="59" t="s">
        <v>0</v>
      </c>
      <c r="G302" s="55" t="s">
        <v>1252</v>
      </c>
      <c r="H302" s="55" t="s">
        <v>1284</v>
      </c>
      <c r="I302" s="55" t="s">
        <v>1285</v>
      </c>
      <c r="J302" s="60" t="s">
        <v>461</v>
      </c>
      <c r="K302" s="78" t="s">
        <v>1113</v>
      </c>
      <c r="L302" s="60" t="e">
        <v>#N/A</v>
      </c>
      <c r="M302" s="55" t="s">
        <v>0</v>
      </c>
      <c r="N302" s="2"/>
      <c r="O302" s="58"/>
      <c r="P302" s="60" t="e">
        <v>#N/A</v>
      </c>
      <c r="Q302" s="60" t="e">
        <v>#N/A</v>
      </c>
      <c r="R302" s="85" t="s">
        <v>0</v>
      </c>
      <c r="S302" s="85" t="s">
        <v>0</v>
      </c>
      <c r="T302" s="61" t="s">
        <v>0</v>
      </c>
      <c r="U302" s="60" t="s">
        <v>0</v>
      </c>
      <c r="V302" s="58" t="s">
        <v>0</v>
      </c>
      <c r="W302" s="58" t="s">
        <v>0</v>
      </c>
      <c r="X302" s="58" t="s">
        <v>0</v>
      </c>
      <c r="Y302" s="58" t="s">
        <v>0</v>
      </c>
      <c r="Z302" s="58" t="s">
        <v>0</v>
      </c>
      <c r="AA302" s="58" t="s">
        <v>0</v>
      </c>
      <c r="AB302" s="58" t="s">
        <v>0</v>
      </c>
      <c r="AC302" s="58" t="s">
        <v>0</v>
      </c>
      <c r="AD302" s="58" t="s">
        <v>0</v>
      </c>
      <c r="AE302" s="58" t="s">
        <v>0</v>
      </c>
      <c r="AF302" s="58"/>
      <c r="AG302" s="58"/>
      <c r="AH302" s="58"/>
      <c r="AI302" s="58" t="s">
        <v>0</v>
      </c>
      <c r="AJ302" s="58" t="s">
        <v>0</v>
      </c>
      <c r="AK302" s="1" t="s">
        <v>1255</v>
      </c>
    </row>
    <row r="303" spans="2:37">
      <c r="B303" s="68" t="s">
        <v>0</v>
      </c>
      <c r="C303" s="55" t="s">
        <v>0</v>
      </c>
      <c r="D303" s="55" t="s">
        <v>0</v>
      </c>
      <c r="E303" s="68" t="s">
        <v>0</v>
      </c>
      <c r="F303" s="59" t="s">
        <v>0</v>
      </c>
      <c r="G303" s="55" t="s">
        <v>1252</v>
      </c>
      <c r="H303" s="55" t="s">
        <v>1284</v>
      </c>
      <c r="I303" s="55" t="s">
        <v>1285</v>
      </c>
      <c r="J303" s="60" t="s">
        <v>461</v>
      </c>
      <c r="K303" s="78" t="s">
        <v>1114</v>
      </c>
      <c r="L303" s="60" t="e">
        <v>#N/A</v>
      </c>
      <c r="M303" s="55" t="s">
        <v>0</v>
      </c>
      <c r="N303" s="2"/>
      <c r="O303" s="58"/>
      <c r="P303" s="60" t="e">
        <v>#N/A</v>
      </c>
      <c r="Q303" s="60" t="e">
        <v>#N/A</v>
      </c>
      <c r="R303" s="85" t="s">
        <v>0</v>
      </c>
      <c r="S303" s="85" t="s">
        <v>0</v>
      </c>
      <c r="T303" s="61" t="s">
        <v>0</v>
      </c>
      <c r="U303" s="60" t="s">
        <v>0</v>
      </c>
      <c r="V303" s="58" t="s">
        <v>0</v>
      </c>
      <c r="W303" s="58" t="s">
        <v>0</v>
      </c>
      <c r="X303" s="58" t="s">
        <v>0</v>
      </c>
      <c r="Y303" s="58" t="s">
        <v>0</v>
      </c>
      <c r="Z303" s="58" t="s">
        <v>0</v>
      </c>
      <c r="AA303" s="58" t="s">
        <v>0</v>
      </c>
      <c r="AB303" s="58" t="s">
        <v>0</v>
      </c>
      <c r="AC303" s="58" t="s">
        <v>0</v>
      </c>
      <c r="AD303" s="58" t="s">
        <v>0</v>
      </c>
      <c r="AE303" s="58" t="s">
        <v>0</v>
      </c>
      <c r="AF303" s="58"/>
      <c r="AG303" s="58"/>
      <c r="AH303" s="58"/>
      <c r="AI303" s="58" t="s">
        <v>0</v>
      </c>
      <c r="AJ303" s="58" t="s">
        <v>0</v>
      </c>
      <c r="AK303" s="1" t="s">
        <v>1255</v>
      </c>
    </row>
    <row r="304" spans="2:37">
      <c r="B304" s="68" t="s">
        <v>0</v>
      </c>
      <c r="C304" s="55" t="s">
        <v>0</v>
      </c>
      <c r="D304" s="55" t="s">
        <v>0</v>
      </c>
      <c r="E304" s="68" t="s">
        <v>0</v>
      </c>
      <c r="F304" s="59" t="s">
        <v>0</v>
      </c>
      <c r="G304" s="55" t="s">
        <v>1252</v>
      </c>
      <c r="H304" s="55" t="s">
        <v>1284</v>
      </c>
      <c r="I304" s="55" t="s">
        <v>1285</v>
      </c>
      <c r="J304" s="60" t="s">
        <v>461</v>
      </c>
      <c r="K304" s="78" t="s">
        <v>1115</v>
      </c>
      <c r="L304" s="60" t="e">
        <v>#N/A</v>
      </c>
      <c r="M304" s="55" t="s">
        <v>0</v>
      </c>
      <c r="N304" s="2"/>
      <c r="O304" s="58"/>
      <c r="P304" s="60" t="e">
        <v>#N/A</v>
      </c>
      <c r="Q304" s="60" t="e">
        <v>#N/A</v>
      </c>
      <c r="R304" s="85" t="s">
        <v>0</v>
      </c>
      <c r="S304" s="85" t="s">
        <v>0</v>
      </c>
      <c r="T304" s="61" t="s">
        <v>0</v>
      </c>
      <c r="U304" s="60" t="s">
        <v>0</v>
      </c>
      <c r="V304" s="58" t="s">
        <v>0</v>
      </c>
      <c r="W304" s="58" t="s">
        <v>0</v>
      </c>
      <c r="X304" s="58" t="s">
        <v>0</v>
      </c>
      <c r="Y304" s="58" t="s">
        <v>0</v>
      </c>
      <c r="Z304" s="58" t="s">
        <v>0</v>
      </c>
      <c r="AA304" s="58" t="s">
        <v>0</v>
      </c>
      <c r="AB304" s="58" t="s">
        <v>0</v>
      </c>
      <c r="AC304" s="58" t="s">
        <v>0</v>
      </c>
      <c r="AD304" s="58" t="s">
        <v>0</v>
      </c>
      <c r="AE304" s="58" t="s">
        <v>0</v>
      </c>
      <c r="AF304" s="58"/>
      <c r="AG304" s="58"/>
      <c r="AH304" s="58"/>
      <c r="AI304" s="58" t="s">
        <v>0</v>
      </c>
      <c r="AJ304" s="58" t="s">
        <v>0</v>
      </c>
      <c r="AK304" s="1" t="s">
        <v>1255</v>
      </c>
    </row>
    <row r="305" spans="2:37">
      <c r="B305" s="68" t="s">
        <v>0</v>
      </c>
      <c r="C305" s="55" t="s">
        <v>0</v>
      </c>
      <c r="D305" s="55" t="s">
        <v>0</v>
      </c>
      <c r="E305" s="68" t="s">
        <v>0</v>
      </c>
      <c r="F305" s="59" t="s">
        <v>0</v>
      </c>
      <c r="G305" s="55" t="s">
        <v>1252</v>
      </c>
      <c r="H305" s="55" t="s">
        <v>1284</v>
      </c>
      <c r="I305" s="55" t="s">
        <v>1285</v>
      </c>
      <c r="J305" s="60" t="s">
        <v>461</v>
      </c>
      <c r="K305" s="78" t="s">
        <v>1116</v>
      </c>
      <c r="L305" s="60" t="e">
        <v>#N/A</v>
      </c>
      <c r="M305" s="55" t="s">
        <v>0</v>
      </c>
      <c r="N305" s="2"/>
      <c r="O305" s="58"/>
      <c r="P305" s="60" t="e">
        <v>#N/A</v>
      </c>
      <c r="Q305" s="60" t="e">
        <v>#N/A</v>
      </c>
      <c r="R305" s="85" t="s">
        <v>0</v>
      </c>
      <c r="S305" s="85" t="s">
        <v>0</v>
      </c>
      <c r="T305" s="61" t="s">
        <v>0</v>
      </c>
      <c r="U305" s="60" t="s">
        <v>0</v>
      </c>
      <c r="V305" s="58" t="s">
        <v>0</v>
      </c>
      <c r="W305" s="58" t="s">
        <v>0</v>
      </c>
      <c r="X305" s="58" t="s">
        <v>0</v>
      </c>
      <c r="Y305" s="58" t="s">
        <v>0</v>
      </c>
      <c r="Z305" s="58" t="s">
        <v>0</v>
      </c>
      <c r="AA305" s="58" t="s">
        <v>0</v>
      </c>
      <c r="AB305" s="58" t="s">
        <v>0</v>
      </c>
      <c r="AC305" s="58" t="s">
        <v>0</v>
      </c>
      <c r="AD305" s="58" t="s">
        <v>0</v>
      </c>
      <c r="AE305" s="58" t="s">
        <v>0</v>
      </c>
      <c r="AF305" s="58"/>
      <c r="AG305" s="58"/>
      <c r="AH305" s="58"/>
      <c r="AI305" s="58" t="s">
        <v>0</v>
      </c>
      <c r="AJ305" s="58" t="s">
        <v>0</v>
      </c>
      <c r="AK305" s="1" t="s">
        <v>1255</v>
      </c>
    </row>
    <row r="306" spans="2:37">
      <c r="B306" s="68" t="s">
        <v>0</v>
      </c>
      <c r="C306" s="55" t="s">
        <v>0</v>
      </c>
      <c r="D306" s="55" t="s">
        <v>0</v>
      </c>
      <c r="E306" s="68" t="s">
        <v>0</v>
      </c>
      <c r="F306" s="59" t="s">
        <v>0</v>
      </c>
      <c r="G306" s="55" t="s">
        <v>1252</v>
      </c>
      <c r="H306" s="55" t="s">
        <v>1284</v>
      </c>
      <c r="I306" s="55" t="s">
        <v>1285</v>
      </c>
      <c r="J306" s="60" t="s">
        <v>461</v>
      </c>
      <c r="K306" s="78" t="s">
        <v>1117</v>
      </c>
      <c r="L306" s="60" t="e">
        <v>#N/A</v>
      </c>
      <c r="M306" s="55" t="s">
        <v>0</v>
      </c>
      <c r="N306" s="2"/>
      <c r="O306" s="58"/>
      <c r="P306" s="60" t="e">
        <v>#N/A</v>
      </c>
      <c r="Q306" s="60" t="e">
        <v>#N/A</v>
      </c>
      <c r="R306" s="85" t="s">
        <v>0</v>
      </c>
      <c r="S306" s="85" t="s">
        <v>0</v>
      </c>
      <c r="T306" s="61" t="s">
        <v>0</v>
      </c>
      <c r="U306" s="60" t="s">
        <v>0</v>
      </c>
      <c r="V306" s="58" t="s">
        <v>0</v>
      </c>
      <c r="W306" s="58" t="s">
        <v>0</v>
      </c>
      <c r="X306" s="58" t="s">
        <v>0</v>
      </c>
      <c r="Y306" s="58" t="s">
        <v>0</v>
      </c>
      <c r="Z306" s="58" t="s">
        <v>0</v>
      </c>
      <c r="AA306" s="58" t="s">
        <v>0</v>
      </c>
      <c r="AB306" s="58" t="s">
        <v>0</v>
      </c>
      <c r="AC306" s="58" t="s">
        <v>0</v>
      </c>
      <c r="AD306" s="58" t="s">
        <v>0</v>
      </c>
      <c r="AE306" s="58" t="s">
        <v>0</v>
      </c>
      <c r="AF306" s="58"/>
      <c r="AG306" s="58"/>
      <c r="AH306" s="58"/>
      <c r="AI306" s="58" t="s">
        <v>0</v>
      </c>
      <c r="AJ306" s="58" t="s">
        <v>0</v>
      </c>
      <c r="AK306" s="1" t="s">
        <v>1255</v>
      </c>
    </row>
    <row r="307" spans="2:37">
      <c r="B307" s="68" t="s">
        <v>0</v>
      </c>
      <c r="C307" s="55" t="s">
        <v>0</v>
      </c>
      <c r="D307" s="55" t="s">
        <v>0</v>
      </c>
      <c r="E307" s="68" t="s">
        <v>0</v>
      </c>
      <c r="F307" s="59" t="s">
        <v>0</v>
      </c>
      <c r="G307" s="55" t="s">
        <v>1257</v>
      </c>
      <c r="H307" s="55" t="s">
        <v>1284</v>
      </c>
      <c r="I307" s="55" t="s">
        <v>1283</v>
      </c>
      <c r="J307" s="60" t="s">
        <v>461</v>
      </c>
      <c r="K307" s="78" t="s">
        <v>1118</v>
      </c>
      <c r="L307" s="60" t="e">
        <v>#N/A</v>
      </c>
      <c r="M307" s="55" t="s">
        <v>0</v>
      </c>
      <c r="N307" s="2"/>
      <c r="O307" s="58"/>
      <c r="P307" s="60" t="e">
        <v>#N/A</v>
      </c>
      <c r="Q307" s="60" t="e">
        <v>#N/A</v>
      </c>
      <c r="R307" s="85" t="s">
        <v>0</v>
      </c>
      <c r="S307" s="85" t="s">
        <v>0</v>
      </c>
      <c r="T307" s="61" t="s">
        <v>0</v>
      </c>
      <c r="U307" s="60" t="s">
        <v>0</v>
      </c>
      <c r="V307" s="58" t="s">
        <v>0</v>
      </c>
      <c r="W307" s="58" t="s">
        <v>0</v>
      </c>
      <c r="X307" s="58" t="s">
        <v>0</v>
      </c>
      <c r="Y307" s="58" t="s">
        <v>0</v>
      </c>
      <c r="Z307" s="58" t="s">
        <v>0</v>
      </c>
      <c r="AA307" s="58" t="s">
        <v>0</v>
      </c>
      <c r="AB307" s="58" t="s">
        <v>0</v>
      </c>
      <c r="AC307" s="58" t="s">
        <v>0</v>
      </c>
      <c r="AD307" s="58" t="s">
        <v>0</v>
      </c>
      <c r="AE307" s="58" t="s">
        <v>0</v>
      </c>
      <c r="AF307" s="58"/>
      <c r="AG307" s="58"/>
      <c r="AH307" s="58"/>
      <c r="AI307" s="58" t="s">
        <v>0</v>
      </c>
      <c r="AJ307" s="58" t="s">
        <v>0</v>
      </c>
      <c r="AK307" s="1" t="s">
        <v>1255</v>
      </c>
    </row>
    <row r="308" spans="2:37">
      <c r="B308" s="68" t="s">
        <v>0</v>
      </c>
      <c r="C308" s="55" t="s">
        <v>0</v>
      </c>
      <c r="D308" s="55" t="s">
        <v>0</v>
      </c>
      <c r="E308" s="68" t="s">
        <v>0</v>
      </c>
      <c r="F308" s="59" t="s">
        <v>0</v>
      </c>
      <c r="G308" s="55" t="s">
        <v>1257</v>
      </c>
      <c r="H308" s="55" t="s">
        <v>1284</v>
      </c>
      <c r="I308" s="55" t="s">
        <v>1283</v>
      </c>
      <c r="J308" s="60" t="s">
        <v>461</v>
      </c>
      <c r="K308" s="78" t="s">
        <v>1119</v>
      </c>
      <c r="L308" s="60" t="e">
        <v>#N/A</v>
      </c>
      <c r="M308" s="55" t="s">
        <v>0</v>
      </c>
      <c r="N308" s="2"/>
      <c r="O308" s="58"/>
      <c r="P308" s="60" t="e">
        <v>#N/A</v>
      </c>
      <c r="Q308" s="60" t="e">
        <v>#N/A</v>
      </c>
      <c r="R308" s="85" t="s">
        <v>0</v>
      </c>
      <c r="S308" s="85" t="s">
        <v>0</v>
      </c>
      <c r="T308" s="61" t="s">
        <v>0</v>
      </c>
      <c r="U308" s="60" t="s">
        <v>0</v>
      </c>
      <c r="V308" s="58" t="s">
        <v>0</v>
      </c>
      <c r="W308" s="58" t="s">
        <v>0</v>
      </c>
      <c r="X308" s="58" t="s">
        <v>0</v>
      </c>
      <c r="Y308" s="58" t="s">
        <v>0</v>
      </c>
      <c r="Z308" s="58" t="s">
        <v>0</v>
      </c>
      <c r="AA308" s="58" t="s">
        <v>0</v>
      </c>
      <c r="AB308" s="58" t="s">
        <v>0</v>
      </c>
      <c r="AC308" s="58" t="s">
        <v>0</v>
      </c>
      <c r="AD308" s="58" t="s">
        <v>0</v>
      </c>
      <c r="AE308" s="58" t="s">
        <v>0</v>
      </c>
      <c r="AF308" s="58"/>
      <c r="AG308" s="58"/>
      <c r="AH308" s="58"/>
      <c r="AI308" s="58" t="s">
        <v>0</v>
      </c>
      <c r="AJ308" s="58" t="s">
        <v>0</v>
      </c>
      <c r="AK308" s="1" t="s">
        <v>1255</v>
      </c>
    </row>
    <row r="309" spans="2:37">
      <c r="B309" s="68" t="s">
        <v>0</v>
      </c>
      <c r="C309" s="55" t="s">
        <v>0</v>
      </c>
      <c r="D309" s="55" t="s">
        <v>0</v>
      </c>
      <c r="E309" s="68" t="s">
        <v>0</v>
      </c>
      <c r="F309" s="59" t="s">
        <v>0</v>
      </c>
      <c r="G309" s="55" t="s">
        <v>1257</v>
      </c>
      <c r="H309" s="55" t="s">
        <v>1284</v>
      </c>
      <c r="I309" s="55" t="s">
        <v>1283</v>
      </c>
      <c r="J309" s="60" t="s">
        <v>461</v>
      </c>
      <c r="K309" s="78" t="s">
        <v>1120</v>
      </c>
      <c r="L309" s="60" t="e">
        <v>#N/A</v>
      </c>
      <c r="M309" s="55" t="s">
        <v>0</v>
      </c>
      <c r="N309" s="2"/>
      <c r="O309" s="58"/>
      <c r="P309" s="60" t="e">
        <v>#N/A</v>
      </c>
      <c r="Q309" s="60" t="e">
        <v>#N/A</v>
      </c>
      <c r="R309" s="85" t="s">
        <v>0</v>
      </c>
      <c r="S309" s="85" t="s">
        <v>0</v>
      </c>
      <c r="T309" s="61" t="s">
        <v>0</v>
      </c>
      <c r="U309" s="60" t="s">
        <v>0</v>
      </c>
      <c r="V309" s="58" t="s">
        <v>0</v>
      </c>
      <c r="W309" s="58" t="s">
        <v>0</v>
      </c>
      <c r="X309" s="58" t="s">
        <v>0</v>
      </c>
      <c r="Y309" s="58" t="s">
        <v>0</v>
      </c>
      <c r="Z309" s="58" t="s">
        <v>0</v>
      </c>
      <c r="AA309" s="58" t="s">
        <v>0</v>
      </c>
      <c r="AB309" s="58" t="s">
        <v>0</v>
      </c>
      <c r="AC309" s="58" t="s">
        <v>0</v>
      </c>
      <c r="AD309" s="58" t="s">
        <v>0</v>
      </c>
      <c r="AE309" s="58" t="s">
        <v>0</v>
      </c>
      <c r="AF309" s="58"/>
      <c r="AG309" s="58"/>
      <c r="AH309" s="58"/>
      <c r="AI309" s="58" t="s">
        <v>0</v>
      </c>
      <c r="AJ309" s="58" t="s">
        <v>0</v>
      </c>
      <c r="AK309" s="1" t="s">
        <v>1255</v>
      </c>
    </row>
    <row r="310" spans="2:37">
      <c r="B310" s="68" t="s">
        <v>0</v>
      </c>
      <c r="C310" s="55" t="s">
        <v>0</v>
      </c>
      <c r="D310" s="55" t="s">
        <v>0</v>
      </c>
      <c r="E310" s="68" t="s">
        <v>0</v>
      </c>
      <c r="F310" s="59" t="s">
        <v>0</v>
      </c>
      <c r="G310" s="55" t="s">
        <v>1257</v>
      </c>
      <c r="H310" s="55" t="s">
        <v>1284</v>
      </c>
      <c r="I310" s="55" t="s">
        <v>1285</v>
      </c>
      <c r="J310" s="60" t="s">
        <v>461</v>
      </c>
      <c r="K310" s="78" t="s">
        <v>1121</v>
      </c>
      <c r="L310" s="60" t="e">
        <v>#N/A</v>
      </c>
      <c r="M310" s="55" t="s">
        <v>0</v>
      </c>
      <c r="N310" s="2"/>
      <c r="O310" s="58"/>
      <c r="P310" s="60" t="e">
        <v>#N/A</v>
      </c>
      <c r="Q310" s="60" t="e">
        <v>#N/A</v>
      </c>
      <c r="R310" s="85" t="s">
        <v>0</v>
      </c>
      <c r="S310" s="85" t="s">
        <v>0</v>
      </c>
      <c r="T310" s="61" t="s">
        <v>0</v>
      </c>
      <c r="U310" s="60" t="s">
        <v>0</v>
      </c>
      <c r="V310" s="58" t="s">
        <v>0</v>
      </c>
      <c r="W310" s="58" t="s">
        <v>0</v>
      </c>
      <c r="X310" s="58" t="s">
        <v>0</v>
      </c>
      <c r="Y310" s="58" t="s">
        <v>0</v>
      </c>
      <c r="Z310" s="58" t="s">
        <v>0</v>
      </c>
      <c r="AA310" s="58" t="s">
        <v>0</v>
      </c>
      <c r="AB310" s="58" t="s">
        <v>0</v>
      </c>
      <c r="AC310" s="58" t="s">
        <v>0</v>
      </c>
      <c r="AD310" s="58" t="s">
        <v>0</v>
      </c>
      <c r="AE310" s="58" t="s">
        <v>0</v>
      </c>
      <c r="AF310" s="58"/>
      <c r="AG310" s="58"/>
      <c r="AH310" s="58"/>
      <c r="AI310" s="58" t="s">
        <v>0</v>
      </c>
      <c r="AJ310" s="58" t="s">
        <v>0</v>
      </c>
      <c r="AK310" s="1" t="s">
        <v>1255</v>
      </c>
    </row>
    <row r="311" spans="2:37">
      <c r="B311" s="68" t="s">
        <v>0</v>
      </c>
      <c r="C311" s="55" t="s">
        <v>0</v>
      </c>
      <c r="D311" s="55" t="s">
        <v>0</v>
      </c>
      <c r="E311" s="68" t="s">
        <v>0</v>
      </c>
      <c r="F311" s="59" t="s">
        <v>0</v>
      </c>
      <c r="G311" s="55" t="s">
        <v>1257</v>
      </c>
      <c r="H311" s="55" t="s">
        <v>1284</v>
      </c>
      <c r="I311" s="55" t="s">
        <v>1285</v>
      </c>
      <c r="J311" s="60" t="s">
        <v>461</v>
      </c>
      <c r="K311" s="78" t="s">
        <v>1122</v>
      </c>
      <c r="L311" s="60" t="e">
        <v>#N/A</v>
      </c>
      <c r="M311" s="55" t="s">
        <v>0</v>
      </c>
      <c r="N311" s="2"/>
      <c r="O311" s="58"/>
      <c r="P311" s="60" t="e">
        <v>#N/A</v>
      </c>
      <c r="Q311" s="60" t="e">
        <v>#N/A</v>
      </c>
      <c r="R311" s="85" t="s">
        <v>0</v>
      </c>
      <c r="S311" s="85" t="s">
        <v>0</v>
      </c>
      <c r="T311" s="61" t="s">
        <v>0</v>
      </c>
      <c r="U311" s="60" t="s">
        <v>0</v>
      </c>
      <c r="V311" s="58" t="s">
        <v>0</v>
      </c>
      <c r="W311" s="58" t="s">
        <v>0</v>
      </c>
      <c r="X311" s="58" t="s">
        <v>0</v>
      </c>
      <c r="Y311" s="58" t="s">
        <v>0</v>
      </c>
      <c r="Z311" s="58" t="s">
        <v>0</v>
      </c>
      <c r="AA311" s="58" t="s">
        <v>0</v>
      </c>
      <c r="AB311" s="58" t="s">
        <v>0</v>
      </c>
      <c r="AC311" s="58" t="s">
        <v>0</v>
      </c>
      <c r="AD311" s="58" t="s">
        <v>0</v>
      </c>
      <c r="AE311" s="58" t="s">
        <v>0</v>
      </c>
      <c r="AF311" s="58"/>
      <c r="AG311" s="58"/>
      <c r="AH311" s="58"/>
      <c r="AI311" s="58" t="s">
        <v>0</v>
      </c>
      <c r="AJ311" s="58" t="s">
        <v>0</v>
      </c>
      <c r="AK311" s="1" t="s">
        <v>1255</v>
      </c>
    </row>
    <row r="312" spans="2:37">
      <c r="B312" s="68" t="s">
        <v>0</v>
      </c>
      <c r="C312" s="55" t="s">
        <v>0</v>
      </c>
      <c r="D312" s="55" t="s">
        <v>0</v>
      </c>
      <c r="E312" s="68" t="s">
        <v>0</v>
      </c>
      <c r="F312" s="59" t="s">
        <v>0</v>
      </c>
      <c r="G312" s="55" t="s">
        <v>1257</v>
      </c>
      <c r="H312" s="55" t="s">
        <v>1284</v>
      </c>
      <c r="I312" s="55" t="s">
        <v>1285</v>
      </c>
      <c r="J312" s="60" t="s">
        <v>461</v>
      </c>
      <c r="K312" s="78" t="s">
        <v>1123</v>
      </c>
      <c r="L312" s="60" t="e">
        <v>#N/A</v>
      </c>
      <c r="M312" s="55" t="s">
        <v>0</v>
      </c>
      <c r="N312" s="2"/>
      <c r="O312" s="58"/>
      <c r="P312" s="60" t="e">
        <v>#N/A</v>
      </c>
      <c r="Q312" s="60" t="e">
        <v>#N/A</v>
      </c>
      <c r="R312" s="85" t="s">
        <v>0</v>
      </c>
      <c r="S312" s="85" t="s">
        <v>0</v>
      </c>
      <c r="T312" s="61" t="s">
        <v>0</v>
      </c>
      <c r="U312" s="60" t="s">
        <v>0</v>
      </c>
      <c r="V312" s="58" t="s">
        <v>0</v>
      </c>
      <c r="W312" s="58" t="s">
        <v>0</v>
      </c>
      <c r="X312" s="58" t="s">
        <v>0</v>
      </c>
      <c r="Y312" s="58" t="s">
        <v>0</v>
      </c>
      <c r="Z312" s="58" t="s">
        <v>0</v>
      </c>
      <c r="AA312" s="58" t="s">
        <v>0</v>
      </c>
      <c r="AB312" s="58" t="s">
        <v>0</v>
      </c>
      <c r="AC312" s="58" t="s">
        <v>0</v>
      </c>
      <c r="AD312" s="58" t="s">
        <v>0</v>
      </c>
      <c r="AE312" s="58" t="s">
        <v>0</v>
      </c>
      <c r="AF312" s="58"/>
      <c r="AG312" s="58"/>
      <c r="AH312" s="58"/>
      <c r="AI312" s="58" t="s">
        <v>0</v>
      </c>
      <c r="AJ312" s="58" t="s">
        <v>0</v>
      </c>
      <c r="AK312" s="1" t="s">
        <v>1255</v>
      </c>
    </row>
    <row r="313" spans="2:37">
      <c r="B313" s="68" t="s">
        <v>0</v>
      </c>
      <c r="C313" s="55" t="s">
        <v>0</v>
      </c>
      <c r="D313" s="55" t="s">
        <v>0</v>
      </c>
      <c r="E313" s="68" t="s">
        <v>0</v>
      </c>
      <c r="F313" s="59" t="s">
        <v>0</v>
      </c>
      <c r="G313" s="55" t="s">
        <v>1257</v>
      </c>
      <c r="H313" s="55" t="s">
        <v>1284</v>
      </c>
      <c r="I313" s="55" t="s">
        <v>1285</v>
      </c>
      <c r="J313" s="60" t="s">
        <v>461</v>
      </c>
      <c r="K313" s="78" t="s">
        <v>1124</v>
      </c>
      <c r="L313" s="60" t="e">
        <v>#N/A</v>
      </c>
      <c r="M313" s="55" t="s">
        <v>0</v>
      </c>
      <c r="N313" s="2"/>
      <c r="O313" s="58"/>
      <c r="P313" s="60" t="e">
        <v>#N/A</v>
      </c>
      <c r="Q313" s="60" t="e">
        <v>#N/A</v>
      </c>
      <c r="R313" s="85" t="s">
        <v>0</v>
      </c>
      <c r="S313" s="85" t="s">
        <v>0</v>
      </c>
      <c r="T313" s="61" t="s">
        <v>0</v>
      </c>
      <c r="U313" s="60" t="s">
        <v>0</v>
      </c>
      <c r="V313" s="58" t="s">
        <v>0</v>
      </c>
      <c r="W313" s="58" t="s">
        <v>0</v>
      </c>
      <c r="X313" s="58" t="s">
        <v>0</v>
      </c>
      <c r="Y313" s="58" t="s">
        <v>0</v>
      </c>
      <c r="Z313" s="58" t="s">
        <v>0</v>
      </c>
      <c r="AA313" s="58" t="s">
        <v>0</v>
      </c>
      <c r="AB313" s="58" t="s">
        <v>0</v>
      </c>
      <c r="AC313" s="58" t="s">
        <v>0</v>
      </c>
      <c r="AD313" s="58" t="s">
        <v>0</v>
      </c>
      <c r="AE313" s="58" t="s">
        <v>0</v>
      </c>
      <c r="AF313" s="58"/>
      <c r="AG313" s="58"/>
      <c r="AH313" s="58"/>
      <c r="AI313" s="58" t="s">
        <v>0</v>
      </c>
      <c r="AJ313" s="58" t="s">
        <v>0</v>
      </c>
      <c r="AK313" s="1" t="s">
        <v>1255</v>
      </c>
    </row>
    <row r="314" spans="2:37">
      <c r="B314" s="68" t="s">
        <v>0</v>
      </c>
      <c r="C314" s="55" t="s">
        <v>0</v>
      </c>
      <c r="D314" s="55" t="s">
        <v>0</v>
      </c>
      <c r="E314" s="68" t="s">
        <v>0</v>
      </c>
      <c r="F314" s="59" t="s">
        <v>0</v>
      </c>
      <c r="G314" s="55" t="s">
        <v>1257</v>
      </c>
      <c r="H314" s="55" t="s">
        <v>1284</v>
      </c>
      <c r="I314" s="55" t="s">
        <v>1285</v>
      </c>
      <c r="J314" s="60" t="s">
        <v>461</v>
      </c>
      <c r="K314" s="78" t="s">
        <v>1125</v>
      </c>
      <c r="L314" s="60" t="e">
        <v>#N/A</v>
      </c>
      <c r="M314" s="55" t="s">
        <v>0</v>
      </c>
      <c r="N314" s="2"/>
      <c r="O314" s="58"/>
      <c r="P314" s="60" t="e">
        <v>#N/A</v>
      </c>
      <c r="Q314" s="60" t="e">
        <v>#N/A</v>
      </c>
      <c r="R314" s="85" t="s">
        <v>0</v>
      </c>
      <c r="S314" s="85" t="s">
        <v>0</v>
      </c>
      <c r="T314" s="61" t="s">
        <v>0</v>
      </c>
      <c r="U314" s="60" t="s">
        <v>0</v>
      </c>
      <c r="V314" s="58" t="s">
        <v>0</v>
      </c>
      <c r="W314" s="58" t="s">
        <v>0</v>
      </c>
      <c r="X314" s="58" t="s">
        <v>0</v>
      </c>
      <c r="Y314" s="58" t="s">
        <v>0</v>
      </c>
      <c r="Z314" s="58" t="s">
        <v>0</v>
      </c>
      <c r="AA314" s="58" t="s">
        <v>0</v>
      </c>
      <c r="AB314" s="58" t="s">
        <v>0</v>
      </c>
      <c r="AC314" s="58" t="s">
        <v>0</v>
      </c>
      <c r="AD314" s="58" t="s">
        <v>0</v>
      </c>
      <c r="AE314" s="58" t="s">
        <v>0</v>
      </c>
      <c r="AF314" s="58"/>
      <c r="AG314" s="58"/>
      <c r="AH314" s="58"/>
      <c r="AI314" s="58" t="s">
        <v>0</v>
      </c>
      <c r="AJ314" s="58" t="s">
        <v>0</v>
      </c>
      <c r="AK314" s="1" t="s">
        <v>1255</v>
      </c>
    </row>
    <row r="315" spans="2:37">
      <c r="B315" s="68" t="s">
        <v>0</v>
      </c>
      <c r="C315" s="55" t="s">
        <v>0</v>
      </c>
      <c r="D315" s="55" t="s">
        <v>0</v>
      </c>
      <c r="E315" s="68" t="s">
        <v>0</v>
      </c>
      <c r="F315" s="59" t="s">
        <v>0</v>
      </c>
      <c r="G315" s="55" t="s">
        <v>1257</v>
      </c>
      <c r="H315" s="55" t="s">
        <v>1284</v>
      </c>
      <c r="I315" s="55" t="s">
        <v>1285</v>
      </c>
      <c r="J315" s="60" t="s">
        <v>461</v>
      </c>
      <c r="K315" s="78" t="s">
        <v>1126</v>
      </c>
      <c r="L315" s="60" t="e">
        <v>#N/A</v>
      </c>
      <c r="M315" s="55" t="s">
        <v>0</v>
      </c>
      <c r="N315" s="2"/>
      <c r="O315" s="58"/>
      <c r="P315" s="60" t="e">
        <v>#N/A</v>
      </c>
      <c r="Q315" s="60" t="e">
        <v>#N/A</v>
      </c>
      <c r="R315" s="85" t="s">
        <v>0</v>
      </c>
      <c r="S315" s="85" t="s">
        <v>0</v>
      </c>
      <c r="T315" s="61" t="s">
        <v>0</v>
      </c>
      <c r="U315" s="60" t="s">
        <v>0</v>
      </c>
      <c r="V315" s="58" t="s">
        <v>0</v>
      </c>
      <c r="W315" s="58" t="s">
        <v>0</v>
      </c>
      <c r="X315" s="58" t="s">
        <v>0</v>
      </c>
      <c r="Y315" s="58" t="s">
        <v>0</v>
      </c>
      <c r="Z315" s="58" t="s">
        <v>0</v>
      </c>
      <c r="AA315" s="58" t="s">
        <v>0</v>
      </c>
      <c r="AB315" s="58" t="s">
        <v>0</v>
      </c>
      <c r="AC315" s="58" t="s">
        <v>0</v>
      </c>
      <c r="AD315" s="58" t="s">
        <v>0</v>
      </c>
      <c r="AE315" s="58" t="s">
        <v>0</v>
      </c>
      <c r="AF315" s="58"/>
      <c r="AG315" s="58"/>
      <c r="AH315" s="58"/>
      <c r="AI315" s="58" t="s">
        <v>0</v>
      </c>
      <c r="AJ315" s="58" t="s">
        <v>0</v>
      </c>
      <c r="AK315" s="1" t="s">
        <v>1255</v>
      </c>
    </row>
    <row r="316" spans="2:37">
      <c r="B316" s="68" t="s">
        <v>0</v>
      </c>
      <c r="C316" s="55" t="s">
        <v>0</v>
      </c>
      <c r="D316" s="55" t="s">
        <v>0</v>
      </c>
      <c r="E316" s="68" t="s">
        <v>0</v>
      </c>
      <c r="F316" s="59" t="s">
        <v>0</v>
      </c>
      <c r="G316" s="55" t="s">
        <v>1257</v>
      </c>
      <c r="H316" s="55" t="s">
        <v>1284</v>
      </c>
      <c r="I316" s="55" t="s">
        <v>1285</v>
      </c>
      <c r="J316" s="60" t="s">
        <v>461</v>
      </c>
      <c r="K316" s="78" t="s">
        <v>1127</v>
      </c>
      <c r="L316" s="60" t="e">
        <v>#N/A</v>
      </c>
      <c r="M316" s="55" t="s">
        <v>0</v>
      </c>
      <c r="N316" s="2"/>
      <c r="O316" s="58"/>
      <c r="P316" s="60" t="e">
        <v>#N/A</v>
      </c>
      <c r="Q316" s="60" t="e">
        <v>#N/A</v>
      </c>
      <c r="R316" s="85" t="s">
        <v>0</v>
      </c>
      <c r="S316" s="85" t="s">
        <v>0</v>
      </c>
      <c r="T316" s="61" t="s">
        <v>0</v>
      </c>
      <c r="U316" s="60" t="s">
        <v>0</v>
      </c>
      <c r="V316" s="58" t="s">
        <v>0</v>
      </c>
      <c r="W316" s="58" t="s">
        <v>0</v>
      </c>
      <c r="X316" s="58" t="s">
        <v>0</v>
      </c>
      <c r="Y316" s="58" t="s">
        <v>0</v>
      </c>
      <c r="Z316" s="58" t="s">
        <v>0</v>
      </c>
      <c r="AA316" s="58" t="s">
        <v>0</v>
      </c>
      <c r="AB316" s="58" t="s">
        <v>0</v>
      </c>
      <c r="AC316" s="58" t="s">
        <v>0</v>
      </c>
      <c r="AD316" s="58" t="s">
        <v>0</v>
      </c>
      <c r="AE316" s="58" t="s">
        <v>0</v>
      </c>
      <c r="AF316" s="58"/>
      <c r="AG316" s="58"/>
      <c r="AH316" s="58"/>
      <c r="AI316" s="58" t="s">
        <v>0</v>
      </c>
      <c r="AJ316" s="58" t="s">
        <v>0</v>
      </c>
      <c r="AK316" s="1" t="s">
        <v>1255</v>
      </c>
    </row>
    <row r="317" spans="2:37">
      <c r="B317" s="68" t="s">
        <v>0</v>
      </c>
      <c r="C317" s="55" t="s">
        <v>0</v>
      </c>
      <c r="D317" s="55" t="s">
        <v>0</v>
      </c>
      <c r="E317" s="68" t="s">
        <v>0</v>
      </c>
      <c r="F317" s="59" t="s">
        <v>0</v>
      </c>
      <c r="G317" s="55" t="s">
        <v>1262</v>
      </c>
      <c r="H317" s="55" t="s">
        <v>1284</v>
      </c>
      <c r="I317" s="55" t="s">
        <v>1283</v>
      </c>
      <c r="J317" s="60" t="s">
        <v>461</v>
      </c>
      <c r="K317" s="78" t="s">
        <v>1128</v>
      </c>
      <c r="L317" s="60" t="e">
        <v>#N/A</v>
      </c>
      <c r="M317" s="55" t="s">
        <v>0</v>
      </c>
      <c r="N317" s="2"/>
      <c r="O317" s="58"/>
      <c r="P317" s="60" t="e">
        <v>#N/A</v>
      </c>
      <c r="Q317" s="60" t="e">
        <v>#N/A</v>
      </c>
      <c r="R317" s="85" t="s">
        <v>0</v>
      </c>
      <c r="S317" s="85" t="s">
        <v>0</v>
      </c>
      <c r="T317" s="61" t="s">
        <v>0</v>
      </c>
      <c r="U317" s="60" t="s">
        <v>0</v>
      </c>
      <c r="V317" s="58" t="s">
        <v>0</v>
      </c>
      <c r="W317" s="58" t="s">
        <v>0</v>
      </c>
      <c r="X317" s="58" t="s">
        <v>0</v>
      </c>
      <c r="Y317" s="58" t="s">
        <v>0</v>
      </c>
      <c r="Z317" s="58" t="s">
        <v>0</v>
      </c>
      <c r="AA317" s="58" t="s">
        <v>0</v>
      </c>
      <c r="AB317" s="58" t="s">
        <v>0</v>
      </c>
      <c r="AC317" s="58" t="s">
        <v>0</v>
      </c>
      <c r="AD317" s="58" t="s">
        <v>0</v>
      </c>
      <c r="AE317" s="58" t="s">
        <v>0</v>
      </c>
      <c r="AF317" s="58"/>
      <c r="AG317" s="58"/>
      <c r="AH317" s="58"/>
      <c r="AI317" s="58" t="s">
        <v>0</v>
      </c>
      <c r="AJ317" s="58" t="s">
        <v>0</v>
      </c>
      <c r="AK317" s="1" t="s">
        <v>1255</v>
      </c>
    </row>
    <row r="318" spans="2:37">
      <c r="B318" s="68" t="s">
        <v>0</v>
      </c>
      <c r="C318" s="55" t="s">
        <v>0</v>
      </c>
      <c r="D318" s="55" t="s">
        <v>0</v>
      </c>
      <c r="E318" s="68" t="s">
        <v>0</v>
      </c>
      <c r="F318" s="59" t="s">
        <v>0</v>
      </c>
      <c r="G318" s="55" t="s">
        <v>1257</v>
      </c>
      <c r="H318" s="55" t="s">
        <v>1284</v>
      </c>
      <c r="I318" s="55" t="s">
        <v>1283</v>
      </c>
      <c r="J318" s="60" t="s">
        <v>461</v>
      </c>
      <c r="K318" s="78" t="s">
        <v>1129</v>
      </c>
      <c r="L318" s="60" t="e">
        <v>#N/A</v>
      </c>
      <c r="M318" s="55" t="s">
        <v>0</v>
      </c>
      <c r="N318" s="2"/>
      <c r="O318" s="58"/>
      <c r="P318" s="60" t="e">
        <v>#N/A</v>
      </c>
      <c r="Q318" s="60" t="e">
        <v>#N/A</v>
      </c>
      <c r="R318" s="85" t="s">
        <v>0</v>
      </c>
      <c r="S318" s="85" t="s">
        <v>0</v>
      </c>
      <c r="T318" s="61" t="s">
        <v>0</v>
      </c>
      <c r="U318" s="60" t="s">
        <v>0</v>
      </c>
      <c r="V318" s="58" t="s">
        <v>0</v>
      </c>
      <c r="W318" s="58" t="s">
        <v>0</v>
      </c>
      <c r="X318" s="58" t="s">
        <v>0</v>
      </c>
      <c r="Y318" s="58" t="s">
        <v>0</v>
      </c>
      <c r="Z318" s="58" t="s">
        <v>0</v>
      </c>
      <c r="AA318" s="58" t="s">
        <v>0</v>
      </c>
      <c r="AB318" s="58" t="s">
        <v>0</v>
      </c>
      <c r="AC318" s="58" t="s">
        <v>0</v>
      </c>
      <c r="AD318" s="58" t="s">
        <v>0</v>
      </c>
      <c r="AE318" s="58" t="s">
        <v>0</v>
      </c>
      <c r="AF318" s="58"/>
      <c r="AG318" s="58"/>
      <c r="AH318" s="58"/>
      <c r="AI318" s="58" t="s">
        <v>0</v>
      </c>
      <c r="AJ318" s="58" t="s">
        <v>0</v>
      </c>
      <c r="AK318" s="1" t="s">
        <v>1255</v>
      </c>
    </row>
    <row r="319" spans="2:37">
      <c r="B319" s="68" t="s">
        <v>0</v>
      </c>
      <c r="C319" s="55" t="s">
        <v>0</v>
      </c>
      <c r="D319" s="55" t="s">
        <v>0</v>
      </c>
      <c r="E319" s="68" t="s">
        <v>0</v>
      </c>
      <c r="F319" s="59" t="s">
        <v>0</v>
      </c>
      <c r="G319" s="55" t="s">
        <v>1262</v>
      </c>
      <c r="H319" s="55" t="s">
        <v>1284</v>
      </c>
      <c r="I319" s="55" t="s">
        <v>1283</v>
      </c>
      <c r="J319" s="60" t="s">
        <v>461</v>
      </c>
      <c r="K319" s="78" t="s">
        <v>1130</v>
      </c>
      <c r="L319" s="60" t="e">
        <v>#N/A</v>
      </c>
      <c r="M319" s="55" t="s">
        <v>0</v>
      </c>
      <c r="N319" s="2"/>
      <c r="O319" s="58"/>
      <c r="P319" s="60" t="e">
        <v>#N/A</v>
      </c>
      <c r="Q319" s="60" t="e">
        <v>#N/A</v>
      </c>
      <c r="R319" s="85" t="s">
        <v>0</v>
      </c>
      <c r="S319" s="85" t="s">
        <v>0</v>
      </c>
      <c r="T319" s="61" t="s">
        <v>0</v>
      </c>
      <c r="U319" s="60" t="s">
        <v>0</v>
      </c>
      <c r="V319" s="58" t="s">
        <v>0</v>
      </c>
      <c r="W319" s="58" t="s">
        <v>0</v>
      </c>
      <c r="X319" s="58" t="s">
        <v>0</v>
      </c>
      <c r="Y319" s="58" t="s">
        <v>0</v>
      </c>
      <c r="Z319" s="58" t="s">
        <v>0</v>
      </c>
      <c r="AA319" s="58" t="s">
        <v>0</v>
      </c>
      <c r="AB319" s="58" t="s">
        <v>0</v>
      </c>
      <c r="AC319" s="58" t="s">
        <v>0</v>
      </c>
      <c r="AD319" s="58" t="s">
        <v>0</v>
      </c>
      <c r="AE319" s="58" t="s">
        <v>0</v>
      </c>
      <c r="AF319" s="58"/>
      <c r="AG319" s="58"/>
      <c r="AH319" s="58"/>
      <c r="AI319" s="58" t="s">
        <v>0</v>
      </c>
      <c r="AJ319" s="58" t="s">
        <v>0</v>
      </c>
      <c r="AK319" s="1" t="s">
        <v>1255</v>
      </c>
    </row>
    <row r="320" spans="2:37">
      <c r="B320" s="68" t="s">
        <v>0</v>
      </c>
      <c r="C320" s="55" t="s">
        <v>0</v>
      </c>
      <c r="D320" s="55" t="s">
        <v>0</v>
      </c>
      <c r="E320" s="68" t="s">
        <v>0</v>
      </c>
      <c r="F320" s="59" t="s">
        <v>0</v>
      </c>
      <c r="G320" s="55" t="s">
        <v>1262</v>
      </c>
      <c r="H320" s="55" t="s">
        <v>1284</v>
      </c>
      <c r="I320" s="55" t="s">
        <v>1285</v>
      </c>
      <c r="J320" s="60" t="s">
        <v>461</v>
      </c>
      <c r="K320" s="78" t="s">
        <v>1131</v>
      </c>
      <c r="L320" s="60" t="e">
        <v>#N/A</v>
      </c>
      <c r="M320" s="55" t="s">
        <v>0</v>
      </c>
      <c r="N320" s="2"/>
      <c r="O320" s="58"/>
      <c r="P320" s="60" t="e">
        <v>#N/A</v>
      </c>
      <c r="Q320" s="60" t="e">
        <v>#N/A</v>
      </c>
      <c r="R320" s="85" t="s">
        <v>0</v>
      </c>
      <c r="S320" s="85" t="s">
        <v>0</v>
      </c>
      <c r="T320" s="61" t="s">
        <v>0</v>
      </c>
      <c r="U320" s="60" t="s">
        <v>0</v>
      </c>
      <c r="V320" s="58" t="s">
        <v>0</v>
      </c>
      <c r="W320" s="58" t="s">
        <v>0</v>
      </c>
      <c r="X320" s="58" t="s">
        <v>0</v>
      </c>
      <c r="Y320" s="58" t="s">
        <v>0</v>
      </c>
      <c r="Z320" s="58" t="s">
        <v>0</v>
      </c>
      <c r="AA320" s="58" t="s">
        <v>0</v>
      </c>
      <c r="AB320" s="58" t="s">
        <v>0</v>
      </c>
      <c r="AC320" s="58" t="s">
        <v>0</v>
      </c>
      <c r="AD320" s="58" t="s">
        <v>0</v>
      </c>
      <c r="AE320" s="58" t="s">
        <v>0</v>
      </c>
      <c r="AF320" s="58"/>
      <c r="AG320" s="58"/>
      <c r="AH320" s="58"/>
      <c r="AI320" s="58" t="s">
        <v>0</v>
      </c>
      <c r="AJ320" s="58" t="s">
        <v>0</v>
      </c>
      <c r="AK320" s="1" t="s">
        <v>1255</v>
      </c>
    </row>
    <row r="321" spans="2:37">
      <c r="B321" s="68" t="s">
        <v>0</v>
      </c>
      <c r="C321" s="55" t="s">
        <v>0</v>
      </c>
      <c r="D321" s="55" t="s">
        <v>0</v>
      </c>
      <c r="E321" s="68" t="s">
        <v>0</v>
      </c>
      <c r="F321" s="59" t="s">
        <v>0</v>
      </c>
      <c r="G321" s="55" t="s">
        <v>1257</v>
      </c>
      <c r="H321" s="55" t="s">
        <v>1284</v>
      </c>
      <c r="I321" s="55" t="s">
        <v>1285</v>
      </c>
      <c r="J321" s="60" t="s">
        <v>461</v>
      </c>
      <c r="K321" s="78" t="s">
        <v>1132</v>
      </c>
      <c r="L321" s="60" t="e">
        <v>#N/A</v>
      </c>
      <c r="M321" s="55" t="s">
        <v>0</v>
      </c>
      <c r="N321" s="2"/>
      <c r="O321" s="58"/>
      <c r="P321" s="60" t="e">
        <v>#N/A</v>
      </c>
      <c r="Q321" s="60" t="e">
        <v>#N/A</v>
      </c>
      <c r="R321" s="85" t="s">
        <v>0</v>
      </c>
      <c r="S321" s="85" t="s">
        <v>0</v>
      </c>
      <c r="T321" s="61" t="s">
        <v>0</v>
      </c>
      <c r="U321" s="60" t="s">
        <v>0</v>
      </c>
      <c r="V321" s="58" t="s">
        <v>0</v>
      </c>
      <c r="W321" s="58" t="s">
        <v>0</v>
      </c>
      <c r="X321" s="58" t="s">
        <v>0</v>
      </c>
      <c r="Y321" s="58" t="s">
        <v>0</v>
      </c>
      <c r="Z321" s="58" t="s">
        <v>0</v>
      </c>
      <c r="AA321" s="58" t="s">
        <v>0</v>
      </c>
      <c r="AB321" s="58" t="s">
        <v>0</v>
      </c>
      <c r="AC321" s="58" t="s">
        <v>0</v>
      </c>
      <c r="AD321" s="58" t="s">
        <v>0</v>
      </c>
      <c r="AE321" s="58" t="s">
        <v>0</v>
      </c>
      <c r="AF321" s="58"/>
      <c r="AG321" s="58"/>
      <c r="AH321" s="58"/>
      <c r="AI321" s="58" t="s">
        <v>0</v>
      </c>
      <c r="AJ321" s="58" t="s">
        <v>0</v>
      </c>
      <c r="AK321" s="1" t="s">
        <v>1255</v>
      </c>
    </row>
    <row r="322" spans="2:37">
      <c r="B322" s="68" t="s">
        <v>0</v>
      </c>
      <c r="C322" s="55" t="s">
        <v>0</v>
      </c>
      <c r="D322" s="55" t="s">
        <v>0</v>
      </c>
      <c r="E322" s="68" t="s">
        <v>0</v>
      </c>
      <c r="F322" s="59" t="s">
        <v>0</v>
      </c>
      <c r="G322" s="55" t="s">
        <v>1257</v>
      </c>
      <c r="H322" s="55" t="s">
        <v>1284</v>
      </c>
      <c r="I322" s="55" t="s">
        <v>1285</v>
      </c>
      <c r="J322" s="60" t="s">
        <v>461</v>
      </c>
      <c r="K322" s="78" t="s">
        <v>1133</v>
      </c>
      <c r="L322" s="60" t="e">
        <v>#N/A</v>
      </c>
      <c r="M322" s="55" t="s">
        <v>0</v>
      </c>
      <c r="N322" s="2"/>
      <c r="O322" s="58"/>
      <c r="P322" s="60" t="e">
        <v>#N/A</v>
      </c>
      <c r="Q322" s="60" t="e">
        <v>#N/A</v>
      </c>
      <c r="R322" s="85" t="s">
        <v>0</v>
      </c>
      <c r="S322" s="85" t="s">
        <v>0</v>
      </c>
      <c r="T322" s="61" t="s">
        <v>0</v>
      </c>
      <c r="U322" s="60" t="s">
        <v>0</v>
      </c>
      <c r="V322" s="58" t="s">
        <v>0</v>
      </c>
      <c r="W322" s="58" t="s">
        <v>0</v>
      </c>
      <c r="X322" s="58" t="s">
        <v>0</v>
      </c>
      <c r="Y322" s="58" t="s">
        <v>0</v>
      </c>
      <c r="Z322" s="58" t="s">
        <v>0</v>
      </c>
      <c r="AA322" s="58" t="s">
        <v>0</v>
      </c>
      <c r="AB322" s="58" t="s">
        <v>0</v>
      </c>
      <c r="AC322" s="58" t="s">
        <v>0</v>
      </c>
      <c r="AD322" s="58" t="s">
        <v>0</v>
      </c>
      <c r="AE322" s="58" t="s">
        <v>0</v>
      </c>
      <c r="AF322" s="58"/>
      <c r="AG322" s="58"/>
      <c r="AH322" s="58"/>
      <c r="AI322" s="58" t="s">
        <v>0</v>
      </c>
      <c r="AJ322" s="58" t="s">
        <v>0</v>
      </c>
      <c r="AK322" s="1" t="s">
        <v>1255</v>
      </c>
    </row>
    <row r="323" spans="2:37">
      <c r="B323" s="68" t="s">
        <v>0</v>
      </c>
      <c r="C323" s="55" t="s">
        <v>0</v>
      </c>
      <c r="D323" s="55" t="s">
        <v>0</v>
      </c>
      <c r="E323" s="68" t="s">
        <v>0</v>
      </c>
      <c r="F323" s="59" t="s">
        <v>0</v>
      </c>
      <c r="G323" s="55" t="s">
        <v>1257</v>
      </c>
      <c r="H323" s="55" t="s">
        <v>1284</v>
      </c>
      <c r="I323" s="55" t="s">
        <v>1285</v>
      </c>
      <c r="J323" s="60" t="s">
        <v>461</v>
      </c>
      <c r="K323" s="78" t="s">
        <v>1134</v>
      </c>
      <c r="L323" s="60" t="e">
        <v>#N/A</v>
      </c>
      <c r="M323" s="55" t="s">
        <v>0</v>
      </c>
      <c r="N323" s="2"/>
      <c r="O323" s="58"/>
      <c r="P323" s="60" t="e">
        <v>#N/A</v>
      </c>
      <c r="Q323" s="60" t="e">
        <v>#N/A</v>
      </c>
      <c r="R323" s="85" t="s">
        <v>0</v>
      </c>
      <c r="S323" s="85" t="s">
        <v>0</v>
      </c>
      <c r="T323" s="61" t="s">
        <v>0</v>
      </c>
      <c r="U323" s="60" t="s">
        <v>0</v>
      </c>
      <c r="V323" s="58" t="s">
        <v>0</v>
      </c>
      <c r="W323" s="58" t="s">
        <v>0</v>
      </c>
      <c r="X323" s="58" t="s">
        <v>0</v>
      </c>
      <c r="Y323" s="58" t="s">
        <v>0</v>
      </c>
      <c r="Z323" s="58" t="s">
        <v>0</v>
      </c>
      <c r="AA323" s="58" t="s">
        <v>0</v>
      </c>
      <c r="AB323" s="58" t="s">
        <v>0</v>
      </c>
      <c r="AC323" s="58" t="s">
        <v>0</v>
      </c>
      <c r="AD323" s="58" t="s">
        <v>0</v>
      </c>
      <c r="AE323" s="58" t="s">
        <v>0</v>
      </c>
      <c r="AF323" s="58"/>
      <c r="AG323" s="58"/>
      <c r="AH323" s="58"/>
      <c r="AI323" s="58" t="s">
        <v>0</v>
      </c>
      <c r="AJ323" s="58" t="s">
        <v>0</v>
      </c>
      <c r="AK323" s="1" t="s">
        <v>1255</v>
      </c>
    </row>
    <row r="324" spans="2:37">
      <c r="B324" s="68" t="s">
        <v>0</v>
      </c>
      <c r="C324" s="55" t="s">
        <v>0</v>
      </c>
      <c r="D324" s="55" t="s">
        <v>0</v>
      </c>
      <c r="E324" s="68" t="s">
        <v>0</v>
      </c>
      <c r="F324" s="59" t="s">
        <v>0</v>
      </c>
      <c r="G324" s="55" t="s">
        <v>466</v>
      </c>
      <c r="H324" s="55" t="s">
        <v>1284</v>
      </c>
      <c r="I324" s="55" t="s">
        <v>1285</v>
      </c>
      <c r="J324" s="60" t="s">
        <v>461</v>
      </c>
      <c r="K324" s="78" t="s">
        <v>1135</v>
      </c>
      <c r="L324" s="60" t="e">
        <v>#N/A</v>
      </c>
      <c r="M324" s="55" t="s">
        <v>0</v>
      </c>
      <c r="N324" s="2"/>
      <c r="O324" s="58"/>
      <c r="P324" s="60" t="e">
        <v>#N/A</v>
      </c>
      <c r="Q324" s="60" t="e">
        <v>#N/A</v>
      </c>
      <c r="R324" s="85" t="s">
        <v>0</v>
      </c>
      <c r="S324" s="85" t="s">
        <v>0</v>
      </c>
      <c r="T324" s="61" t="s">
        <v>0</v>
      </c>
      <c r="U324" s="60" t="s">
        <v>0</v>
      </c>
      <c r="V324" s="58" t="s">
        <v>0</v>
      </c>
      <c r="W324" s="58" t="s">
        <v>0</v>
      </c>
      <c r="X324" s="58" t="s">
        <v>0</v>
      </c>
      <c r="Y324" s="58" t="s">
        <v>0</v>
      </c>
      <c r="Z324" s="58" t="s">
        <v>0</v>
      </c>
      <c r="AA324" s="58" t="s">
        <v>0</v>
      </c>
      <c r="AB324" s="58" t="s">
        <v>0</v>
      </c>
      <c r="AC324" s="58" t="s">
        <v>0</v>
      </c>
      <c r="AD324" s="58" t="s">
        <v>0</v>
      </c>
      <c r="AE324" s="58" t="s">
        <v>0</v>
      </c>
      <c r="AF324" s="58"/>
      <c r="AG324" s="58"/>
      <c r="AH324" s="58"/>
      <c r="AI324" s="58" t="s">
        <v>0</v>
      </c>
      <c r="AJ324" s="58" t="s">
        <v>0</v>
      </c>
      <c r="AK324" s="1" t="s">
        <v>1255</v>
      </c>
    </row>
    <row r="325" spans="2:37">
      <c r="B325" s="68" t="s">
        <v>0</v>
      </c>
      <c r="C325" s="55" t="s">
        <v>0</v>
      </c>
      <c r="D325" s="55" t="s">
        <v>0</v>
      </c>
      <c r="E325" s="68" t="s">
        <v>0</v>
      </c>
      <c r="F325" s="59" t="s">
        <v>0</v>
      </c>
      <c r="G325" s="55" t="s">
        <v>1257</v>
      </c>
      <c r="H325" s="55" t="s">
        <v>1284</v>
      </c>
      <c r="I325" s="55" t="s">
        <v>1285</v>
      </c>
      <c r="J325" s="60" t="s">
        <v>461</v>
      </c>
      <c r="K325" s="78" t="s">
        <v>1136</v>
      </c>
      <c r="L325" s="60" t="e">
        <v>#N/A</v>
      </c>
      <c r="M325" s="55" t="s">
        <v>0</v>
      </c>
      <c r="N325" s="2"/>
      <c r="O325" s="58"/>
      <c r="P325" s="60" t="e">
        <v>#N/A</v>
      </c>
      <c r="Q325" s="60" t="e">
        <v>#N/A</v>
      </c>
      <c r="R325" s="85" t="s">
        <v>0</v>
      </c>
      <c r="S325" s="85" t="s">
        <v>0</v>
      </c>
      <c r="T325" s="61" t="s">
        <v>0</v>
      </c>
      <c r="U325" s="60" t="s">
        <v>0</v>
      </c>
      <c r="V325" s="58" t="s">
        <v>0</v>
      </c>
      <c r="W325" s="58" t="s">
        <v>0</v>
      </c>
      <c r="X325" s="58" t="s">
        <v>0</v>
      </c>
      <c r="Y325" s="58" t="s">
        <v>0</v>
      </c>
      <c r="Z325" s="58" t="s">
        <v>0</v>
      </c>
      <c r="AA325" s="58" t="s">
        <v>0</v>
      </c>
      <c r="AB325" s="58" t="s">
        <v>0</v>
      </c>
      <c r="AC325" s="58" t="s">
        <v>0</v>
      </c>
      <c r="AD325" s="58" t="s">
        <v>0</v>
      </c>
      <c r="AE325" s="58" t="s">
        <v>0</v>
      </c>
      <c r="AF325" s="58"/>
      <c r="AG325" s="58"/>
      <c r="AH325" s="58"/>
      <c r="AI325" s="58" t="s">
        <v>0</v>
      </c>
      <c r="AJ325" s="58" t="s">
        <v>0</v>
      </c>
      <c r="AK325" s="1" t="s">
        <v>1255</v>
      </c>
    </row>
    <row r="326" spans="2:37">
      <c r="B326" s="68" t="s">
        <v>0</v>
      </c>
      <c r="C326" s="55" t="s">
        <v>0</v>
      </c>
      <c r="D326" s="55" t="s">
        <v>0</v>
      </c>
      <c r="E326" s="68" t="s">
        <v>0</v>
      </c>
      <c r="F326" s="59" t="s">
        <v>0</v>
      </c>
      <c r="G326" s="55" t="s">
        <v>1257</v>
      </c>
      <c r="H326" s="55" t="s">
        <v>1284</v>
      </c>
      <c r="I326" s="55" t="s">
        <v>1285</v>
      </c>
      <c r="J326" s="60" t="s">
        <v>461</v>
      </c>
      <c r="K326" s="78" t="s">
        <v>1137</v>
      </c>
      <c r="L326" s="60" t="e">
        <v>#N/A</v>
      </c>
      <c r="M326" s="55" t="s">
        <v>0</v>
      </c>
      <c r="N326" s="2"/>
      <c r="O326" s="58"/>
      <c r="P326" s="60" t="e">
        <v>#N/A</v>
      </c>
      <c r="Q326" s="60" t="e">
        <v>#N/A</v>
      </c>
      <c r="R326" s="85" t="s">
        <v>0</v>
      </c>
      <c r="S326" s="85" t="s">
        <v>0</v>
      </c>
      <c r="T326" s="61" t="s">
        <v>0</v>
      </c>
      <c r="U326" s="60" t="s">
        <v>0</v>
      </c>
      <c r="V326" s="58" t="s">
        <v>0</v>
      </c>
      <c r="W326" s="58" t="s">
        <v>0</v>
      </c>
      <c r="X326" s="58" t="s">
        <v>0</v>
      </c>
      <c r="Y326" s="58" t="s">
        <v>0</v>
      </c>
      <c r="Z326" s="58" t="s">
        <v>0</v>
      </c>
      <c r="AA326" s="58" t="s">
        <v>0</v>
      </c>
      <c r="AB326" s="58" t="s">
        <v>0</v>
      </c>
      <c r="AC326" s="58" t="s">
        <v>0</v>
      </c>
      <c r="AD326" s="58" t="s">
        <v>0</v>
      </c>
      <c r="AE326" s="58" t="s">
        <v>0</v>
      </c>
      <c r="AF326" s="58"/>
      <c r="AG326" s="58"/>
      <c r="AH326" s="58"/>
      <c r="AI326" s="58" t="s">
        <v>0</v>
      </c>
      <c r="AJ326" s="58" t="s">
        <v>0</v>
      </c>
      <c r="AK326" s="1" t="s">
        <v>1255</v>
      </c>
    </row>
    <row r="327" spans="2:37">
      <c r="B327" s="68" t="s">
        <v>0</v>
      </c>
      <c r="C327" s="55" t="s">
        <v>0</v>
      </c>
      <c r="D327" s="55" t="s">
        <v>0</v>
      </c>
      <c r="E327" s="68" t="s">
        <v>0</v>
      </c>
      <c r="F327" s="59" t="s">
        <v>0</v>
      </c>
      <c r="G327" s="55" t="s">
        <v>1262</v>
      </c>
      <c r="H327" s="55" t="s">
        <v>1284</v>
      </c>
      <c r="I327" s="55" t="s">
        <v>1285</v>
      </c>
      <c r="J327" s="60" t="s">
        <v>461</v>
      </c>
      <c r="K327" s="78" t="s">
        <v>1138</v>
      </c>
      <c r="L327" s="60" t="e">
        <v>#N/A</v>
      </c>
      <c r="M327" s="55" t="s">
        <v>0</v>
      </c>
      <c r="N327" s="2"/>
      <c r="O327" s="58"/>
      <c r="P327" s="60" t="e">
        <v>#N/A</v>
      </c>
      <c r="Q327" s="60" t="e">
        <v>#N/A</v>
      </c>
      <c r="R327" s="85" t="s">
        <v>0</v>
      </c>
      <c r="S327" s="85" t="s">
        <v>0</v>
      </c>
      <c r="T327" s="61" t="s">
        <v>0</v>
      </c>
      <c r="U327" s="60" t="s">
        <v>0</v>
      </c>
      <c r="V327" s="58" t="s">
        <v>0</v>
      </c>
      <c r="W327" s="58" t="s">
        <v>0</v>
      </c>
      <c r="X327" s="58" t="s">
        <v>0</v>
      </c>
      <c r="Y327" s="58" t="s">
        <v>0</v>
      </c>
      <c r="Z327" s="58" t="s">
        <v>0</v>
      </c>
      <c r="AA327" s="58" t="s">
        <v>0</v>
      </c>
      <c r="AB327" s="58" t="s">
        <v>0</v>
      </c>
      <c r="AC327" s="58" t="s">
        <v>0</v>
      </c>
      <c r="AD327" s="58" t="s">
        <v>0</v>
      </c>
      <c r="AE327" s="58" t="s">
        <v>0</v>
      </c>
      <c r="AF327" s="58"/>
      <c r="AG327" s="58"/>
      <c r="AH327" s="58"/>
      <c r="AI327" s="58" t="s">
        <v>0</v>
      </c>
      <c r="AJ327" s="58" t="s">
        <v>0</v>
      </c>
      <c r="AK327" s="1" t="s">
        <v>1255</v>
      </c>
    </row>
    <row r="328" spans="2:37">
      <c r="B328" s="68" t="s">
        <v>0</v>
      </c>
      <c r="C328" s="55" t="s">
        <v>0</v>
      </c>
      <c r="D328" s="55" t="s">
        <v>0</v>
      </c>
      <c r="E328" s="68" t="s">
        <v>0</v>
      </c>
      <c r="F328" s="59" t="s">
        <v>0</v>
      </c>
      <c r="G328" s="55" t="s">
        <v>1262</v>
      </c>
      <c r="H328" s="55" t="s">
        <v>1284</v>
      </c>
      <c r="I328" s="55" t="s">
        <v>1285</v>
      </c>
      <c r="J328" s="60" t="s">
        <v>461</v>
      </c>
      <c r="K328" s="78" t="s">
        <v>1139</v>
      </c>
      <c r="L328" s="60" t="e">
        <v>#N/A</v>
      </c>
      <c r="M328" s="55" t="s">
        <v>0</v>
      </c>
      <c r="N328" s="2"/>
      <c r="O328" s="58"/>
      <c r="P328" s="60" t="e">
        <v>#N/A</v>
      </c>
      <c r="Q328" s="60" t="e">
        <v>#N/A</v>
      </c>
      <c r="R328" s="85" t="s">
        <v>0</v>
      </c>
      <c r="S328" s="85" t="s">
        <v>0</v>
      </c>
      <c r="T328" s="61" t="s">
        <v>0</v>
      </c>
      <c r="U328" s="60" t="s">
        <v>0</v>
      </c>
      <c r="V328" s="58" t="s">
        <v>0</v>
      </c>
      <c r="W328" s="58" t="s">
        <v>0</v>
      </c>
      <c r="X328" s="58" t="s">
        <v>0</v>
      </c>
      <c r="Y328" s="58" t="s">
        <v>0</v>
      </c>
      <c r="Z328" s="58" t="s">
        <v>0</v>
      </c>
      <c r="AA328" s="58" t="s">
        <v>0</v>
      </c>
      <c r="AB328" s="58" t="s">
        <v>0</v>
      </c>
      <c r="AC328" s="58" t="s">
        <v>0</v>
      </c>
      <c r="AD328" s="58" t="s">
        <v>0</v>
      </c>
      <c r="AE328" s="58" t="s">
        <v>0</v>
      </c>
      <c r="AF328" s="58"/>
      <c r="AG328" s="58"/>
      <c r="AH328" s="58"/>
      <c r="AI328" s="58" t="s">
        <v>0</v>
      </c>
      <c r="AJ328" s="58" t="s">
        <v>0</v>
      </c>
      <c r="AK328" s="1" t="s">
        <v>1255</v>
      </c>
    </row>
    <row r="329" spans="2:37">
      <c r="B329" s="68" t="s">
        <v>0</v>
      </c>
      <c r="C329" s="55" t="s">
        <v>0</v>
      </c>
      <c r="D329" s="55" t="s">
        <v>0</v>
      </c>
      <c r="E329" s="68" t="s">
        <v>0</v>
      </c>
      <c r="F329" s="59" t="s">
        <v>0</v>
      </c>
      <c r="G329" s="55" t="s">
        <v>1262</v>
      </c>
      <c r="H329" s="55" t="s">
        <v>1284</v>
      </c>
      <c r="I329" s="55" t="s">
        <v>1285</v>
      </c>
      <c r="J329" s="60" t="s">
        <v>461</v>
      </c>
      <c r="K329" s="78" t="s">
        <v>1140</v>
      </c>
      <c r="L329" s="60" t="e">
        <v>#N/A</v>
      </c>
      <c r="M329" s="55" t="s">
        <v>0</v>
      </c>
      <c r="N329" s="2"/>
      <c r="O329" s="58"/>
      <c r="P329" s="60" t="e">
        <v>#N/A</v>
      </c>
      <c r="Q329" s="60" t="e">
        <v>#N/A</v>
      </c>
      <c r="R329" s="85" t="s">
        <v>0</v>
      </c>
      <c r="S329" s="85" t="s">
        <v>0</v>
      </c>
      <c r="T329" s="61" t="s">
        <v>0</v>
      </c>
      <c r="U329" s="60" t="s">
        <v>0</v>
      </c>
      <c r="V329" s="58" t="s">
        <v>0</v>
      </c>
      <c r="W329" s="58" t="s">
        <v>0</v>
      </c>
      <c r="X329" s="58" t="s">
        <v>0</v>
      </c>
      <c r="Y329" s="58" t="s">
        <v>0</v>
      </c>
      <c r="Z329" s="58" t="s">
        <v>0</v>
      </c>
      <c r="AA329" s="58" t="s">
        <v>0</v>
      </c>
      <c r="AB329" s="58" t="s">
        <v>0</v>
      </c>
      <c r="AC329" s="58" t="s">
        <v>0</v>
      </c>
      <c r="AD329" s="58" t="s">
        <v>0</v>
      </c>
      <c r="AE329" s="58" t="s">
        <v>0</v>
      </c>
      <c r="AF329" s="58"/>
      <c r="AG329" s="58"/>
      <c r="AH329" s="58"/>
      <c r="AI329" s="58" t="s">
        <v>0</v>
      </c>
      <c r="AJ329" s="58" t="s">
        <v>0</v>
      </c>
      <c r="AK329" s="1" t="s">
        <v>1255</v>
      </c>
    </row>
    <row r="330" spans="2:37">
      <c r="B330" s="68" t="s">
        <v>0</v>
      </c>
      <c r="C330" s="55" t="s">
        <v>0</v>
      </c>
      <c r="D330" s="55" t="s">
        <v>0</v>
      </c>
      <c r="E330" s="68" t="s">
        <v>0</v>
      </c>
      <c r="F330" s="59" t="s">
        <v>0</v>
      </c>
      <c r="G330" s="55" t="s">
        <v>1257</v>
      </c>
      <c r="H330" s="55" t="s">
        <v>1284</v>
      </c>
      <c r="I330" s="55" t="s">
        <v>1283</v>
      </c>
      <c r="J330" s="60" t="s">
        <v>461</v>
      </c>
      <c r="K330" s="78" t="s">
        <v>1141</v>
      </c>
      <c r="L330" s="60" t="e">
        <v>#N/A</v>
      </c>
      <c r="M330" s="55" t="s">
        <v>0</v>
      </c>
      <c r="N330" s="2"/>
      <c r="O330" s="58"/>
      <c r="P330" s="60" t="e">
        <v>#N/A</v>
      </c>
      <c r="Q330" s="60" t="e">
        <v>#N/A</v>
      </c>
      <c r="R330" s="85" t="s">
        <v>0</v>
      </c>
      <c r="S330" s="85" t="s">
        <v>0</v>
      </c>
      <c r="T330" s="61" t="s">
        <v>0</v>
      </c>
      <c r="U330" s="60" t="s">
        <v>0</v>
      </c>
      <c r="V330" s="58" t="s">
        <v>0</v>
      </c>
      <c r="W330" s="58" t="s">
        <v>0</v>
      </c>
      <c r="X330" s="58" t="s">
        <v>0</v>
      </c>
      <c r="Y330" s="58" t="s">
        <v>0</v>
      </c>
      <c r="Z330" s="58" t="s">
        <v>0</v>
      </c>
      <c r="AA330" s="58" t="s">
        <v>0</v>
      </c>
      <c r="AB330" s="58" t="s">
        <v>0</v>
      </c>
      <c r="AC330" s="58" t="s">
        <v>0</v>
      </c>
      <c r="AD330" s="58" t="s">
        <v>0</v>
      </c>
      <c r="AE330" s="58" t="s">
        <v>0</v>
      </c>
      <c r="AF330" s="58"/>
      <c r="AG330" s="58"/>
      <c r="AH330" s="58"/>
      <c r="AI330" s="58" t="s">
        <v>0</v>
      </c>
      <c r="AJ330" s="58" t="s">
        <v>0</v>
      </c>
      <c r="AK330" s="1" t="s">
        <v>1255</v>
      </c>
    </row>
    <row r="331" spans="2:37">
      <c r="B331" s="68" t="s">
        <v>0</v>
      </c>
      <c r="C331" s="55" t="s">
        <v>0</v>
      </c>
      <c r="D331" s="55" t="s">
        <v>0</v>
      </c>
      <c r="E331" s="68" t="s">
        <v>0</v>
      </c>
      <c r="F331" s="59" t="s">
        <v>0</v>
      </c>
      <c r="G331" s="55" t="s">
        <v>1257</v>
      </c>
      <c r="H331" s="55" t="s">
        <v>1284</v>
      </c>
      <c r="I331" s="55" t="s">
        <v>1283</v>
      </c>
      <c r="J331" s="60" t="s">
        <v>461</v>
      </c>
      <c r="K331" s="78" t="s">
        <v>1142</v>
      </c>
      <c r="L331" s="60" t="e">
        <v>#N/A</v>
      </c>
      <c r="M331" s="55" t="s">
        <v>0</v>
      </c>
      <c r="N331" s="2"/>
      <c r="O331" s="58"/>
      <c r="P331" s="60" t="e">
        <v>#N/A</v>
      </c>
      <c r="Q331" s="60" t="e">
        <v>#N/A</v>
      </c>
      <c r="R331" s="85" t="s">
        <v>0</v>
      </c>
      <c r="S331" s="85" t="s">
        <v>0</v>
      </c>
      <c r="T331" s="61" t="s">
        <v>0</v>
      </c>
      <c r="U331" s="60" t="s">
        <v>0</v>
      </c>
      <c r="V331" s="58" t="s">
        <v>0</v>
      </c>
      <c r="W331" s="58" t="s">
        <v>0</v>
      </c>
      <c r="X331" s="58" t="s">
        <v>0</v>
      </c>
      <c r="Y331" s="58" t="s">
        <v>0</v>
      </c>
      <c r="Z331" s="58" t="s">
        <v>0</v>
      </c>
      <c r="AA331" s="58" t="s">
        <v>0</v>
      </c>
      <c r="AB331" s="58" t="s">
        <v>0</v>
      </c>
      <c r="AC331" s="58" t="s">
        <v>0</v>
      </c>
      <c r="AD331" s="58" t="s">
        <v>0</v>
      </c>
      <c r="AE331" s="58" t="s">
        <v>0</v>
      </c>
      <c r="AF331" s="58"/>
      <c r="AG331" s="58"/>
      <c r="AH331" s="58"/>
      <c r="AI331" s="58" t="s">
        <v>0</v>
      </c>
      <c r="AJ331" s="58" t="s">
        <v>0</v>
      </c>
      <c r="AK331" s="1" t="s">
        <v>1255</v>
      </c>
    </row>
    <row r="332" spans="2:37">
      <c r="B332" s="68" t="s">
        <v>0</v>
      </c>
      <c r="C332" s="55" t="s">
        <v>0</v>
      </c>
      <c r="D332" s="55" t="s">
        <v>0</v>
      </c>
      <c r="E332" s="68" t="s">
        <v>0</v>
      </c>
      <c r="F332" s="59" t="s">
        <v>0</v>
      </c>
      <c r="G332" s="55" t="s">
        <v>1257</v>
      </c>
      <c r="H332" s="55" t="s">
        <v>1284</v>
      </c>
      <c r="I332" s="55" t="s">
        <v>1283</v>
      </c>
      <c r="J332" s="60" t="s">
        <v>461</v>
      </c>
      <c r="K332" s="78" t="s">
        <v>1143</v>
      </c>
      <c r="L332" s="60" t="e">
        <v>#N/A</v>
      </c>
      <c r="M332" s="55" t="s">
        <v>0</v>
      </c>
      <c r="N332" s="2"/>
      <c r="O332" s="58"/>
      <c r="P332" s="60" t="e">
        <v>#N/A</v>
      </c>
      <c r="Q332" s="60" t="e">
        <v>#N/A</v>
      </c>
      <c r="R332" s="85" t="s">
        <v>0</v>
      </c>
      <c r="S332" s="85" t="s">
        <v>0</v>
      </c>
      <c r="T332" s="61" t="s">
        <v>0</v>
      </c>
      <c r="U332" s="60" t="s">
        <v>0</v>
      </c>
      <c r="V332" s="58" t="s">
        <v>0</v>
      </c>
      <c r="W332" s="58" t="s">
        <v>0</v>
      </c>
      <c r="X332" s="58" t="s">
        <v>0</v>
      </c>
      <c r="Y332" s="58" t="s">
        <v>0</v>
      </c>
      <c r="Z332" s="58" t="s">
        <v>0</v>
      </c>
      <c r="AA332" s="58" t="s">
        <v>0</v>
      </c>
      <c r="AB332" s="58" t="s">
        <v>0</v>
      </c>
      <c r="AC332" s="58" t="s">
        <v>0</v>
      </c>
      <c r="AD332" s="58" t="s">
        <v>0</v>
      </c>
      <c r="AE332" s="58" t="s">
        <v>0</v>
      </c>
      <c r="AF332" s="58"/>
      <c r="AG332" s="58"/>
      <c r="AH332" s="58"/>
      <c r="AI332" s="58" t="s">
        <v>0</v>
      </c>
      <c r="AJ332" s="58" t="s">
        <v>0</v>
      </c>
      <c r="AK332" s="1" t="s">
        <v>1255</v>
      </c>
    </row>
    <row r="333" spans="2:37">
      <c r="B333" s="68" t="s">
        <v>0</v>
      </c>
      <c r="C333" s="55" t="s">
        <v>0</v>
      </c>
      <c r="D333" s="55" t="s">
        <v>0</v>
      </c>
      <c r="E333" s="68" t="s">
        <v>0</v>
      </c>
      <c r="F333" s="59" t="s">
        <v>0</v>
      </c>
      <c r="G333" s="55" t="s">
        <v>1257</v>
      </c>
      <c r="H333" s="55" t="s">
        <v>1284</v>
      </c>
      <c r="I333" s="55" t="s">
        <v>1283</v>
      </c>
      <c r="J333" s="60" t="s">
        <v>461</v>
      </c>
      <c r="K333" s="78" t="s">
        <v>1144</v>
      </c>
      <c r="L333" s="60" t="e">
        <v>#N/A</v>
      </c>
      <c r="M333" s="55" t="s">
        <v>0</v>
      </c>
      <c r="N333" s="2"/>
      <c r="O333" s="58"/>
      <c r="P333" s="60" t="e">
        <v>#N/A</v>
      </c>
      <c r="Q333" s="60" t="e">
        <v>#N/A</v>
      </c>
      <c r="R333" s="85" t="s">
        <v>0</v>
      </c>
      <c r="S333" s="85" t="s">
        <v>0</v>
      </c>
      <c r="T333" s="61" t="s">
        <v>0</v>
      </c>
      <c r="U333" s="60" t="s">
        <v>0</v>
      </c>
      <c r="V333" s="58" t="s">
        <v>0</v>
      </c>
      <c r="W333" s="58" t="s">
        <v>0</v>
      </c>
      <c r="X333" s="58" t="s">
        <v>0</v>
      </c>
      <c r="Y333" s="58" t="s">
        <v>0</v>
      </c>
      <c r="Z333" s="58" t="s">
        <v>0</v>
      </c>
      <c r="AA333" s="58" t="s">
        <v>0</v>
      </c>
      <c r="AB333" s="58" t="s">
        <v>0</v>
      </c>
      <c r="AC333" s="58" t="s">
        <v>0</v>
      </c>
      <c r="AD333" s="58" t="s">
        <v>0</v>
      </c>
      <c r="AE333" s="58" t="s">
        <v>0</v>
      </c>
      <c r="AF333" s="58"/>
      <c r="AG333" s="58"/>
      <c r="AH333" s="58"/>
      <c r="AI333" s="58" t="s">
        <v>0</v>
      </c>
      <c r="AJ333" s="58" t="s">
        <v>0</v>
      </c>
      <c r="AK333" s="1" t="s">
        <v>1255</v>
      </c>
    </row>
    <row r="334" spans="2:37">
      <c r="B334" s="68" t="s">
        <v>0</v>
      </c>
      <c r="C334" s="55" t="s">
        <v>0</v>
      </c>
      <c r="D334" s="55" t="s">
        <v>0</v>
      </c>
      <c r="E334" s="68" t="s">
        <v>0</v>
      </c>
      <c r="F334" s="59" t="s">
        <v>0</v>
      </c>
      <c r="G334" s="55" t="s">
        <v>1257</v>
      </c>
      <c r="H334" s="55" t="s">
        <v>1284</v>
      </c>
      <c r="I334" s="55" t="s">
        <v>1283</v>
      </c>
      <c r="J334" s="60" t="s">
        <v>461</v>
      </c>
      <c r="K334" s="78" t="s">
        <v>1145</v>
      </c>
      <c r="L334" s="60" t="e">
        <v>#N/A</v>
      </c>
      <c r="M334" s="55" t="s">
        <v>0</v>
      </c>
      <c r="N334" s="2"/>
      <c r="O334" s="58"/>
      <c r="P334" s="60" t="e">
        <v>#N/A</v>
      </c>
      <c r="Q334" s="60" t="e">
        <v>#N/A</v>
      </c>
      <c r="R334" s="85" t="s">
        <v>0</v>
      </c>
      <c r="S334" s="85" t="s">
        <v>0</v>
      </c>
      <c r="T334" s="61" t="s">
        <v>0</v>
      </c>
      <c r="U334" s="60" t="s">
        <v>0</v>
      </c>
      <c r="V334" s="58" t="s">
        <v>0</v>
      </c>
      <c r="W334" s="58" t="s">
        <v>0</v>
      </c>
      <c r="X334" s="58" t="s">
        <v>0</v>
      </c>
      <c r="Y334" s="58" t="s">
        <v>0</v>
      </c>
      <c r="Z334" s="58" t="s">
        <v>0</v>
      </c>
      <c r="AA334" s="58" t="s">
        <v>0</v>
      </c>
      <c r="AB334" s="58" t="s">
        <v>0</v>
      </c>
      <c r="AC334" s="58" t="s">
        <v>0</v>
      </c>
      <c r="AD334" s="58" t="s">
        <v>0</v>
      </c>
      <c r="AE334" s="58" t="s">
        <v>0</v>
      </c>
      <c r="AF334" s="58"/>
      <c r="AG334" s="58"/>
      <c r="AH334" s="58"/>
      <c r="AI334" s="58" t="s">
        <v>0</v>
      </c>
      <c r="AJ334" s="58" t="s">
        <v>0</v>
      </c>
      <c r="AK334" s="1" t="s">
        <v>1255</v>
      </c>
    </row>
    <row r="335" spans="2:37">
      <c r="B335" s="68" t="s">
        <v>0</v>
      </c>
      <c r="C335" s="55" t="s">
        <v>0</v>
      </c>
      <c r="D335" s="55" t="s">
        <v>0</v>
      </c>
      <c r="E335" s="68" t="s">
        <v>0</v>
      </c>
      <c r="F335" s="59" t="s">
        <v>0</v>
      </c>
      <c r="G335" s="55" t="s">
        <v>1257</v>
      </c>
      <c r="H335" s="55" t="s">
        <v>1284</v>
      </c>
      <c r="I335" s="55" t="s">
        <v>1285</v>
      </c>
      <c r="J335" s="60" t="s">
        <v>461</v>
      </c>
      <c r="K335" s="78" t="s">
        <v>1146</v>
      </c>
      <c r="L335" s="60" t="e">
        <v>#N/A</v>
      </c>
      <c r="M335" s="55" t="s">
        <v>0</v>
      </c>
      <c r="N335" s="2"/>
      <c r="O335" s="58"/>
      <c r="P335" s="60" t="e">
        <v>#N/A</v>
      </c>
      <c r="Q335" s="60" t="e">
        <v>#N/A</v>
      </c>
      <c r="R335" s="85" t="s">
        <v>0</v>
      </c>
      <c r="S335" s="85" t="s">
        <v>0</v>
      </c>
      <c r="T335" s="61" t="s">
        <v>0</v>
      </c>
      <c r="U335" s="60" t="s">
        <v>0</v>
      </c>
      <c r="V335" s="58" t="s">
        <v>0</v>
      </c>
      <c r="W335" s="58" t="s">
        <v>0</v>
      </c>
      <c r="X335" s="58" t="s">
        <v>0</v>
      </c>
      <c r="Y335" s="58" t="s">
        <v>0</v>
      </c>
      <c r="Z335" s="58" t="s">
        <v>0</v>
      </c>
      <c r="AA335" s="58" t="s">
        <v>0</v>
      </c>
      <c r="AB335" s="58" t="s">
        <v>0</v>
      </c>
      <c r="AC335" s="58" t="s">
        <v>0</v>
      </c>
      <c r="AD335" s="58" t="s">
        <v>0</v>
      </c>
      <c r="AE335" s="58" t="s">
        <v>0</v>
      </c>
      <c r="AF335" s="58"/>
      <c r="AG335" s="58"/>
      <c r="AH335" s="58"/>
      <c r="AI335" s="58" t="s">
        <v>0</v>
      </c>
      <c r="AJ335" s="58" t="s">
        <v>0</v>
      </c>
      <c r="AK335" s="1" t="s">
        <v>1255</v>
      </c>
    </row>
    <row r="336" spans="2:37">
      <c r="B336" s="68" t="s">
        <v>0</v>
      </c>
      <c r="C336" s="55" t="s">
        <v>0</v>
      </c>
      <c r="D336" s="55" t="s">
        <v>0</v>
      </c>
      <c r="E336" s="68" t="s">
        <v>0</v>
      </c>
      <c r="F336" s="59" t="s">
        <v>0</v>
      </c>
      <c r="G336" s="55" t="s">
        <v>1257</v>
      </c>
      <c r="H336" s="55" t="s">
        <v>1284</v>
      </c>
      <c r="I336" s="55" t="s">
        <v>1285</v>
      </c>
      <c r="J336" s="60" t="s">
        <v>461</v>
      </c>
      <c r="K336" s="78" t="s">
        <v>1147</v>
      </c>
      <c r="L336" s="60" t="e">
        <v>#N/A</v>
      </c>
      <c r="M336" s="55" t="s">
        <v>0</v>
      </c>
      <c r="N336" s="2"/>
      <c r="O336" s="58"/>
      <c r="P336" s="60" t="e">
        <v>#N/A</v>
      </c>
      <c r="Q336" s="60" t="e">
        <v>#N/A</v>
      </c>
      <c r="R336" s="85" t="s">
        <v>0</v>
      </c>
      <c r="S336" s="85" t="s">
        <v>0</v>
      </c>
      <c r="T336" s="61" t="s">
        <v>0</v>
      </c>
      <c r="U336" s="60" t="s">
        <v>0</v>
      </c>
      <c r="V336" s="58" t="s">
        <v>0</v>
      </c>
      <c r="W336" s="58" t="s">
        <v>0</v>
      </c>
      <c r="X336" s="58" t="s">
        <v>0</v>
      </c>
      <c r="Y336" s="58" t="s">
        <v>0</v>
      </c>
      <c r="Z336" s="58" t="s">
        <v>0</v>
      </c>
      <c r="AA336" s="58" t="s">
        <v>0</v>
      </c>
      <c r="AB336" s="58" t="s">
        <v>0</v>
      </c>
      <c r="AC336" s="58" t="s">
        <v>0</v>
      </c>
      <c r="AD336" s="58" t="s">
        <v>0</v>
      </c>
      <c r="AE336" s="58" t="s">
        <v>0</v>
      </c>
      <c r="AF336" s="58"/>
      <c r="AG336" s="58"/>
      <c r="AH336" s="58"/>
      <c r="AI336" s="58" t="s">
        <v>0</v>
      </c>
      <c r="AJ336" s="58" t="s">
        <v>0</v>
      </c>
      <c r="AK336" s="1" t="s">
        <v>1255</v>
      </c>
    </row>
    <row r="337" spans="2:37">
      <c r="B337" s="68" t="s">
        <v>0</v>
      </c>
      <c r="C337" s="55" t="s">
        <v>0</v>
      </c>
      <c r="D337" s="55" t="s">
        <v>0</v>
      </c>
      <c r="E337" s="68" t="s">
        <v>0</v>
      </c>
      <c r="F337" s="59" t="s">
        <v>0</v>
      </c>
      <c r="G337" s="55" t="s">
        <v>1262</v>
      </c>
      <c r="H337" s="55" t="s">
        <v>1284</v>
      </c>
      <c r="I337" s="55" t="s">
        <v>1285</v>
      </c>
      <c r="J337" s="60" t="s">
        <v>461</v>
      </c>
      <c r="K337" s="78" t="s">
        <v>1148</v>
      </c>
      <c r="L337" s="60" t="e">
        <v>#N/A</v>
      </c>
      <c r="M337" s="55" t="s">
        <v>0</v>
      </c>
      <c r="N337" s="2"/>
      <c r="O337" s="58"/>
      <c r="P337" s="60" t="e">
        <v>#N/A</v>
      </c>
      <c r="Q337" s="60" t="e">
        <v>#N/A</v>
      </c>
      <c r="R337" s="85" t="s">
        <v>0</v>
      </c>
      <c r="S337" s="85" t="s">
        <v>0</v>
      </c>
      <c r="T337" s="61" t="s">
        <v>0</v>
      </c>
      <c r="U337" s="60" t="s">
        <v>0</v>
      </c>
      <c r="V337" s="58" t="s">
        <v>0</v>
      </c>
      <c r="W337" s="58" t="s">
        <v>0</v>
      </c>
      <c r="X337" s="58" t="s">
        <v>0</v>
      </c>
      <c r="Y337" s="58" t="s">
        <v>0</v>
      </c>
      <c r="Z337" s="58" t="s">
        <v>0</v>
      </c>
      <c r="AA337" s="58" t="s">
        <v>0</v>
      </c>
      <c r="AB337" s="58" t="s">
        <v>0</v>
      </c>
      <c r="AC337" s="58" t="s">
        <v>0</v>
      </c>
      <c r="AD337" s="58" t="s">
        <v>0</v>
      </c>
      <c r="AE337" s="58" t="s">
        <v>0</v>
      </c>
      <c r="AF337" s="58"/>
      <c r="AG337" s="58"/>
      <c r="AH337" s="58"/>
      <c r="AI337" s="58" t="s">
        <v>0</v>
      </c>
      <c r="AJ337" s="58" t="s">
        <v>0</v>
      </c>
      <c r="AK337" s="1" t="s">
        <v>1255</v>
      </c>
    </row>
    <row r="338" spans="2:37">
      <c r="B338" s="68" t="s">
        <v>0</v>
      </c>
      <c r="C338" s="55" t="s">
        <v>0</v>
      </c>
      <c r="D338" s="55" t="s">
        <v>0</v>
      </c>
      <c r="E338" s="68" t="s">
        <v>0</v>
      </c>
      <c r="F338" s="59" t="s">
        <v>0</v>
      </c>
      <c r="G338" s="55" t="s">
        <v>1262</v>
      </c>
      <c r="H338" s="55" t="s">
        <v>1284</v>
      </c>
      <c r="I338" s="55" t="s">
        <v>1285</v>
      </c>
      <c r="J338" s="60" t="s">
        <v>461</v>
      </c>
      <c r="K338" s="78" t="s">
        <v>1149</v>
      </c>
      <c r="L338" s="60" t="e">
        <v>#N/A</v>
      </c>
      <c r="M338" s="55" t="s">
        <v>0</v>
      </c>
      <c r="N338" s="2"/>
      <c r="O338" s="58"/>
      <c r="P338" s="60" t="e">
        <v>#N/A</v>
      </c>
      <c r="Q338" s="60" t="e">
        <v>#N/A</v>
      </c>
      <c r="R338" s="85" t="s">
        <v>0</v>
      </c>
      <c r="S338" s="85" t="s">
        <v>0</v>
      </c>
      <c r="T338" s="61" t="s">
        <v>0</v>
      </c>
      <c r="U338" s="60" t="s">
        <v>0</v>
      </c>
      <c r="V338" s="58" t="s">
        <v>0</v>
      </c>
      <c r="W338" s="58" t="s">
        <v>0</v>
      </c>
      <c r="X338" s="58" t="s">
        <v>0</v>
      </c>
      <c r="Y338" s="58" t="s">
        <v>0</v>
      </c>
      <c r="Z338" s="58" t="s">
        <v>0</v>
      </c>
      <c r="AA338" s="58" t="s">
        <v>0</v>
      </c>
      <c r="AB338" s="58" t="s">
        <v>0</v>
      </c>
      <c r="AC338" s="58" t="s">
        <v>0</v>
      </c>
      <c r="AD338" s="58" t="s">
        <v>0</v>
      </c>
      <c r="AE338" s="58" t="s">
        <v>0</v>
      </c>
      <c r="AF338" s="58"/>
      <c r="AG338" s="58"/>
      <c r="AH338" s="58"/>
      <c r="AI338" s="58" t="s">
        <v>0</v>
      </c>
      <c r="AJ338" s="58" t="s">
        <v>0</v>
      </c>
      <c r="AK338" s="1" t="s">
        <v>1255</v>
      </c>
    </row>
    <row r="339" spans="2:37">
      <c r="B339" s="68" t="s">
        <v>0</v>
      </c>
      <c r="C339" s="55" t="s">
        <v>0</v>
      </c>
      <c r="D339" s="55" t="s">
        <v>0</v>
      </c>
      <c r="E339" s="68" t="s">
        <v>0</v>
      </c>
      <c r="F339" s="59" t="s">
        <v>0</v>
      </c>
      <c r="G339" s="55" t="s">
        <v>1257</v>
      </c>
      <c r="H339" s="55" t="s">
        <v>1284</v>
      </c>
      <c r="I339" s="55" t="s">
        <v>1285</v>
      </c>
      <c r="J339" s="60" t="s">
        <v>461</v>
      </c>
      <c r="K339" s="78" t="s">
        <v>1150</v>
      </c>
      <c r="L339" s="60" t="e">
        <v>#N/A</v>
      </c>
      <c r="M339" s="55" t="s">
        <v>0</v>
      </c>
      <c r="N339" s="2"/>
      <c r="O339" s="58"/>
      <c r="P339" s="60" t="e">
        <v>#N/A</v>
      </c>
      <c r="Q339" s="60" t="e">
        <v>#N/A</v>
      </c>
      <c r="R339" s="85" t="s">
        <v>0</v>
      </c>
      <c r="S339" s="85" t="s">
        <v>0</v>
      </c>
      <c r="T339" s="61" t="s">
        <v>0</v>
      </c>
      <c r="U339" s="60" t="s">
        <v>0</v>
      </c>
      <c r="V339" s="58" t="s">
        <v>0</v>
      </c>
      <c r="W339" s="58" t="s">
        <v>0</v>
      </c>
      <c r="X339" s="58" t="s">
        <v>0</v>
      </c>
      <c r="Y339" s="58" t="s">
        <v>0</v>
      </c>
      <c r="Z339" s="58" t="s">
        <v>0</v>
      </c>
      <c r="AA339" s="58" t="s">
        <v>0</v>
      </c>
      <c r="AB339" s="58" t="s">
        <v>0</v>
      </c>
      <c r="AC339" s="58" t="s">
        <v>0</v>
      </c>
      <c r="AD339" s="58" t="s">
        <v>0</v>
      </c>
      <c r="AE339" s="58" t="s">
        <v>0</v>
      </c>
      <c r="AF339" s="58"/>
      <c r="AG339" s="58"/>
      <c r="AH339" s="58"/>
      <c r="AI339" s="58" t="s">
        <v>0</v>
      </c>
      <c r="AJ339" s="58" t="s">
        <v>0</v>
      </c>
      <c r="AK339" s="1" t="s">
        <v>1255</v>
      </c>
    </row>
    <row r="340" spans="2:37">
      <c r="B340" s="68" t="s">
        <v>0</v>
      </c>
      <c r="C340" s="55" t="s">
        <v>0</v>
      </c>
      <c r="D340" s="55" t="s">
        <v>0</v>
      </c>
      <c r="E340" s="68" t="s">
        <v>0</v>
      </c>
      <c r="F340" s="59" t="s">
        <v>0</v>
      </c>
      <c r="G340" s="55" t="s">
        <v>1257</v>
      </c>
      <c r="H340" s="55" t="s">
        <v>1284</v>
      </c>
      <c r="I340" s="55" t="s">
        <v>1285</v>
      </c>
      <c r="J340" s="60" t="s">
        <v>461</v>
      </c>
      <c r="K340" s="78" t="s">
        <v>1151</v>
      </c>
      <c r="L340" s="60" t="e">
        <v>#N/A</v>
      </c>
      <c r="M340" s="55" t="s">
        <v>0</v>
      </c>
      <c r="N340" s="2"/>
      <c r="O340" s="58"/>
      <c r="P340" s="60" t="e">
        <v>#N/A</v>
      </c>
      <c r="Q340" s="60" t="e">
        <v>#N/A</v>
      </c>
      <c r="R340" s="85" t="s">
        <v>0</v>
      </c>
      <c r="S340" s="85" t="s">
        <v>0</v>
      </c>
      <c r="T340" s="61" t="s">
        <v>0</v>
      </c>
      <c r="U340" s="60" t="s">
        <v>0</v>
      </c>
      <c r="V340" s="58" t="s">
        <v>0</v>
      </c>
      <c r="W340" s="58" t="s">
        <v>0</v>
      </c>
      <c r="X340" s="58" t="s">
        <v>0</v>
      </c>
      <c r="Y340" s="58" t="s">
        <v>0</v>
      </c>
      <c r="Z340" s="58" t="s">
        <v>0</v>
      </c>
      <c r="AA340" s="58" t="s">
        <v>0</v>
      </c>
      <c r="AB340" s="58" t="s">
        <v>0</v>
      </c>
      <c r="AC340" s="58" t="s">
        <v>0</v>
      </c>
      <c r="AD340" s="58" t="s">
        <v>0</v>
      </c>
      <c r="AE340" s="58" t="s">
        <v>0</v>
      </c>
      <c r="AF340" s="58"/>
      <c r="AG340" s="58"/>
      <c r="AH340" s="58"/>
      <c r="AI340" s="58" t="s">
        <v>0</v>
      </c>
      <c r="AJ340" s="58" t="s">
        <v>0</v>
      </c>
      <c r="AK340" s="1" t="s">
        <v>1255</v>
      </c>
    </row>
    <row r="341" spans="2:37">
      <c r="B341" s="68" t="s">
        <v>0</v>
      </c>
      <c r="C341" s="55" t="s">
        <v>0</v>
      </c>
      <c r="D341" s="55" t="s">
        <v>0</v>
      </c>
      <c r="E341" s="68" t="s">
        <v>0</v>
      </c>
      <c r="F341" s="59" t="s">
        <v>0</v>
      </c>
      <c r="G341" s="55" t="s">
        <v>1257</v>
      </c>
      <c r="H341" s="55" t="s">
        <v>1284</v>
      </c>
      <c r="I341" s="55" t="s">
        <v>1285</v>
      </c>
      <c r="J341" s="60" t="s">
        <v>461</v>
      </c>
      <c r="K341" s="78" t="s">
        <v>1152</v>
      </c>
      <c r="L341" s="60" t="e">
        <v>#N/A</v>
      </c>
      <c r="M341" s="55" t="s">
        <v>0</v>
      </c>
      <c r="N341" s="2"/>
      <c r="O341" s="58"/>
      <c r="P341" s="60" t="e">
        <v>#N/A</v>
      </c>
      <c r="Q341" s="60" t="e">
        <v>#N/A</v>
      </c>
      <c r="R341" s="85" t="s">
        <v>0</v>
      </c>
      <c r="S341" s="85" t="s">
        <v>0</v>
      </c>
      <c r="T341" s="61" t="s">
        <v>0</v>
      </c>
      <c r="U341" s="60" t="s">
        <v>0</v>
      </c>
      <c r="V341" s="58" t="s">
        <v>0</v>
      </c>
      <c r="W341" s="58" t="s">
        <v>0</v>
      </c>
      <c r="X341" s="58" t="s">
        <v>0</v>
      </c>
      <c r="Y341" s="58" t="s">
        <v>0</v>
      </c>
      <c r="Z341" s="58" t="s">
        <v>0</v>
      </c>
      <c r="AA341" s="58" t="s">
        <v>0</v>
      </c>
      <c r="AB341" s="58" t="s">
        <v>0</v>
      </c>
      <c r="AC341" s="58" t="s">
        <v>0</v>
      </c>
      <c r="AD341" s="58" t="s">
        <v>0</v>
      </c>
      <c r="AE341" s="58" t="s">
        <v>0</v>
      </c>
      <c r="AF341" s="58"/>
      <c r="AG341" s="58"/>
      <c r="AH341" s="58"/>
      <c r="AI341" s="58" t="s">
        <v>0</v>
      </c>
      <c r="AJ341" s="58" t="s">
        <v>0</v>
      </c>
      <c r="AK341" s="1" t="s">
        <v>1255</v>
      </c>
    </row>
    <row r="342" spans="2:37">
      <c r="B342" s="68" t="s">
        <v>0</v>
      </c>
      <c r="C342" s="55" t="s">
        <v>0</v>
      </c>
      <c r="D342" s="55" t="s">
        <v>0</v>
      </c>
      <c r="E342" s="68" t="s">
        <v>0</v>
      </c>
      <c r="F342" s="59" t="s">
        <v>0</v>
      </c>
      <c r="G342" s="55" t="s">
        <v>1257</v>
      </c>
      <c r="H342" s="55" t="s">
        <v>1284</v>
      </c>
      <c r="I342" s="55" t="s">
        <v>1285</v>
      </c>
      <c r="J342" s="60" t="s">
        <v>461</v>
      </c>
      <c r="K342" s="78" t="s">
        <v>1153</v>
      </c>
      <c r="L342" s="60" t="e">
        <v>#N/A</v>
      </c>
      <c r="M342" s="55" t="s">
        <v>0</v>
      </c>
      <c r="N342" s="2"/>
      <c r="O342" s="58"/>
      <c r="P342" s="60" t="e">
        <v>#N/A</v>
      </c>
      <c r="Q342" s="60" t="e">
        <v>#N/A</v>
      </c>
      <c r="R342" s="85" t="s">
        <v>0</v>
      </c>
      <c r="S342" s="85" t="s">
        <v>0</v>
      </c>
      <c r="T342" s="61" t="s">
        <v>0</v>
      </c>
      <c r="U342" s="60" t="s">
        <v>0</v>
      </c>
      <c r="V342" s="58" t="s">
        <v>0</v>
      </c>
      <c r="W342" s="58" t="s">
        <v>0</v>
      </c>
      <c r="X342" s="58" t="s">
        <v>0</v>
      </c>
      <c r="Y342" s="58" t="s">
        <v>0</v>
      </c>
      <c r="Z342" s="58" t="s">
        <v>0</v>
      </c>
      <c r="AA342" s="58" t="s">
        <v>0</v>
      </c>
      <c r="AB342" s="58" t="s">
        <v>0</v>
      </c>
      <c r="AC342" s="58" t="s">
        <v>0</v>
      </c>
      <c r="AD342" s="58" t="s">
        <v>0</v>
      </c>
      <c r="AE342" s="58" t="s">
        <v>0</v>
      </c>
      <c r="AF342" s="58"/>
      <c r="AG342" s="58"/>
      <c r="AH342" s="58"/>
      <c r="AI342" s="58" t="s">
        <v>0</v>
      </c>
      <c r="AJ342" s="58" t="s">
        <v>0</v>
      </c>
      <c r="AK342" s="1" t="s">
        <v>1255</v>
      </c>
    </row>
    <row r="343" spans="2:37">
      <c r="B343" s="68" t="s">
        <v>0</v>
      </c>
      <c r="C343" s="55" t="s">
        <v>0</v>
      </c>
      <c r="D343" s="55" t="s">
        <v>0</v>
      </c>
      <c r="E343" s="68" t="s">
        <v>0</v>
      </c>
      <c r="F343" s="59" t="s">
        <v>0</v>
      </c>
      <c r="G343" s="55" t="s">
        <v>1257</v>
      </c>
      <c r="H343" s="55" t="s">
        <v>1284</v>
      </c>
      <c r="I343" s="55" t="s">
        <v>1285</v>
      </c>
      <c r="J343" s="60" t="s">
        <v>461</v>
      </c>
      <c r="K343" s="78" t="s">
        <v>1154</v>
      </c>
      <c r="L343" s="60" t="e">
        <v>#N/A</v>
      </c>
      <c r="M343" s="55" t="s">
        <v>0</v>
      </c>
      <c r="N343" s="2"/>
      <c r="O343" s="58"/>
      <c r="P343" s="60" t="e">
        <v>#N/A</v>
      </c>
      <c r="Q343" s="60" t="e">
        <v>#N/A</v>
      </c>
      <c r="R343" s="85" t="s">
        <v>0</v>
      </c>
      <c r="S343" s="85" t="s">
        <v>0</v>
      </c>
      <c r="T343" s="61" t="s">
        <v>0</v>
      </c>
      <c r="U343" s="60" t="s">
        <v>0</v>
      </c>
      <c r="V343" s="58" t="s">
        <v>0</v>
      </c>
      <c r="W343" s="58" t="s">
        <v>0</v>
      </c>
      <c r="X343" s="58" t="s">
        <v>0</v>
      </c>
      <c r="Y343" s="58" t="s">
        <v>0</v>
      </c>
      <c r="Z343" s="58" t="s">
        <v>0</v>
      </c>
      <c r="AA343" s="58" t="s">
        <v>0</v>
      </c>
      <c r="AB343" s="58" t="s">
        <v>0</v>
      </c>
      <c r="AC343" s="58" t="s">
        <v>0</v>
      </c>
      <c r="AD343" s="58" t="s">
        <v>0</v>
      </c>
      <c r="AE343" s="58" t="s">
        <v>0</v>
      </c>
      <c r="AF343" s="58"/>
      <c r="AG343" s="58"/>
      <c r="AH343" s="58"/>
      <c r="AI343" s="58" t="s">
        <v>0</v>
      </c>
      <c r="AJ343" s="58" t="s">
        <v>0</v>
      </c>
      <c r="AK343" s="1" t="s">
        <v>1255</v>
      </c>
    </row>
    <row r="344" spans="2:37">
      <c r="B344" s="68" t="s">
        <v>0</v>
      </c>
      <c r="C344" s="55" t="s">
        <v>0</v>
      </c>
      <c r="D344" s="55" t="s">
        <v>0</v>
      </c>
      <c r="E344" s="68" t="s">
        <v>0</v>
      </c>
      <c r="F344" s="59" t="s">
        <v>0</v>
      </c>
      <c r="G344" s="55" t="s">
        <v>1257</v>
      </c>
      <c r="H344" s="55" t="s">
        <v>1284</v>
      </c>
      <c r="I344" s="55" t="s">
        <v>1285</v>
      </c>
      <c r="J344" s="60" t="s">
        <v>461</v>
      </c>
      <c r="K344" s="78" t="s">
        <v>1155</v>
      </c>
      <c r="L344" s="60" t="e">
        <v>#N/A</v>
      </c>
      <c r="M344" s="55" t="s">
        <v>0</v>
      </c>
      <c r="N344" s="2"/>
      <c r="O344" s="58"/>
      <c r="P344" s="60" t="e">
        <v>#N/A</v>
      </c>
      <c r="Q344" s="60" t="e">
        <v>#N/A</v>
      </c>
      <c r="R344" s="85" t="s">
        <v>0</v>
      </c>
      <c r="S344" s="85" t="s">
        <v>0</v>
      </c>
      <c r="T344" s="61" t="s">
        <v>0</v>
      </c>
      <c r="U344" s="60" t="s">
        <v>0</v>
      </c>
      <c r="V344" s="58" t="s">
        <v>0</v>
      </c>
      <c r="W344" s="58" t="s">
        <v>0</v>
      </c>
      <c r="X344" s="58" t="s">
        <v>0</v>
      </c>
      <c r="Y344" s="58" t="s">
        <v>0</v>
      </c>
      <c r="Z344" s="58" t="s">
        <v>0</v>
      </c>
      <c r="AA344" s="58" t="s">
        <v>0</v>
      </c>
      <c r="AB344" s="58" t="s">
        <v>0</v>
      </c>
      <c r="AC344" s="58" t="s">
        <v>0</v>
      </c>
      <c r="AD344" s="58" t="s">
        <v>0</v>
      </c>
      <c r="AE344" s="58" t="s">
        <v>0</v>
      </c>
      <c r="AF344" s="58"/>
      <c r="AG344" s="58"/>
      <c r="AH344" s="58"/>
      <c r="AI344" s="58" t="s">
        <v>0</v>
      </c>
      <c r="AJ344" s="58" t="s">
        <v>0</v>
      </c>
      <c r="AK344" s="1" t="s">
        <v>1255</v>
      </c>
    </row>
    <row r="345" spans="2:37">
      <c r="B345" s="68" t="s">
        <v>0</v>
      </c>
      <c r="C345" s="55" t="s">
        <v>0</v>
      </c>
      <c r="D345" s="55" t="s">
        <v>0</v>
      </c>
      <c r="E345" s="68" t="s">
        <v>0</v>
      </c>
      <c r="F345" s="59" t="s">
        <v>0</v>
      </c>
      <c r="G345" s="55" t="s">
        <v>1262</v>
      </c>
      <c r="H345" s="55" t="s">
        <v>1284</v>
      </c>
      <c r="I345" s="55" t="s">
        <v>1285</v>
      </c>
      <c r="J345" s="60" t="s">
        <v>461</v>
      </c>
      <c r="K345" s="78" t="s">
        <v>1156</v>
      </c>
      <c r="L345" s="60" t="e">
        <v>#N/A</v>
      </c>
      <c r="M345" s="55" t="s">
        <v>0</v>
      </c>
      <c r="N345" s="2"/>
      <c r="O345" s="58"/>
      <c r="P345" s="60" t="e">
        <v>#N/A</v>
      </c>
      <c r="Q345" s="60" t="e">
        <v>#N/A</v>
      </c>
      <c r="R345" s="85" t="s">
        <v>0</v>
      </c>
      <c r="S345" s="85" t="s">
        <v>0</v>
      </c>
      <c r="T345" s="61" t="s">
        <v>0</v>
      </c>
      <c r="U345" s="60" t="s">
        <v>0</v>
      </c>
      <c r="V345" s="58" t="s">
        <v>0</v>
      </c>
      <c r="W345" s="58" t="s">
        <v>0</v>
      </c>
      <c r="X345" s="58" t="s">
        <v>0</v>
      </c>
      <c r="Y345" s="58" t="s">
        <v>0</v>
      </c>
      <c r="Z345" s="58" t="s">
        <v>0</v>
      </c>
      <c r="AA345" s="58" t="s">
        <v>0</v>
      </c>
      <c r="AB345" s="58" t="s">
        <v>0</v>
      </c>
      <c r="AC345" s="58" t="s">
        <v>0</v>
      </c>
      <c r="AD345" s="58" t="s">
        <v>0</v>
      </c>
      <c r="AE345" s="58" t="s">
        <v>0</v>
      </c>
      <c r="AF345" s="58"/>
      <c r="AG345" s="58"/>
      <c r="AH345" s="58"/>
      <c r="AI345" s="58" t="s">
        <v>0</v>
      </c>
      <c r="AJ345" s="58" t="s">
        <v>0</v>
      </c>
      <c r="AK345" s="1" t="s">
        <v>1255</v>
      </c>
    </row>
    <row r="346" spans="2:37">
      <c r="B346" s="68" t="s">
        <v>0</v>
      </c>
      <c r="C346" s="55" t="s">
        <v>0</v>
      </c>
      <c r="D346" s="55" t="s">
        <v>0</v>
      </c>
      <c r="E346" s="68" t="s">
        <v>0</v>
      </c>
      <c r="F346" s="59" t="s">
        <v>0</v>
      </c>
      <c r="G346" s="55" t="s">
        <v>1257</v>
      </c>
      <c r="H346" s="55" t="s">
        <v>1284</v>
      </c>
      <c r="I346" s="55" t="s">
        <v>1286</v>
      </c>
      <c r="J346" s="60" t="s">
        <v>461</v>
      </c>
      <c r="K346" s="78" t="s">
        <v>1157</v>
      </c>
      <c r="L346" s="60" t="e">
        <v>#N/A</v>
      </c>
      <c r="M346" s="55" t="s">
        <v>0</v>
      </c>
      <c r="N346" s="2"/>
      <c r="O346" s="58"/>
      <c r="P346" s="60" t="e">
        <v>#N/A</v>
      </c>
      <c r="Q346" s="60" t="e">
        <v>#N/A</v>
      </c>
      <c r="R346" s="85" t="s">
        <v>0</v>
      </c>
      <c r="S346" s="85" t="s">
        <v>0</v>
      </c>
      <c r="T346" s="61" t="s">
        <v>0</v>
      </c>
      <c r="U346" s="60" t="s">
        <v>0</v>
      </c>
      <c r="V346" s="58" t="s">
        <v>0</v>
      </c>
      <c r="W346" s="58" t="s">
        <v>0</v>
      </c>
      <c r="X346" s="58" t="s">
        <v>0</v>
      </c>
      <c r="Y346" s="58" t="s">
        <v>0</v>
      </c>
      <c r="Z346" s="58" t="s">
        <v>0</v>
      </c>
      <c r="AA346" s="58" t="s">
        <v>0</v>
      </c>
      <c r="AB346" s="58" t="s">
        <v>0</v>
      </c>
      <c r="AC346" s="58" t="s">
        <v>0</v>
      </c>
      <c r="AD346" s="58" t="s">
        <v>0</v>
      </c>
      <c r="AE346" s="58" t="s">
        <v>0</v>
      </c>
      <c r="AF346" s="58"/>
      <c r="AG346" s="58"/>
      <c r="AH346" s="58"/>
      <c r="AI346" s="58" t="s">
        <v>0</v>
      </c>
      <c r="AJ346" s="58" t="s">
        <v>0</v>
      </c>
      <c r="AK346" s="1" t="s">
        <v>1255</v>
      </c>
    </row>
    <row r="347" spans="2:37">
      <c r="B347" s="68" t="s">
        <v>0</v>
      </c>
      <c r="C347" s="55" t="s">
        <v>0</v>
      </c>
      <c r="D347" s="55" t="s">
        <v>0</v>
      </c>
      <c r="E347" s="68" t="s">
        <v>0</v>
      </c>
      <c r="F347" s="59" t="s">
        <v>0</v>
      </c>
      <c r="G347" s="55" t="s">
        <v>1257</v>
      </c>
      <c r="H347" s="55" t="s">
        <v>1284</v>
      </c>
      <c r="I347" s="55" t="s">
        <v>1283</v>
      </c>
      <c r="J347" s="60" t="s">
        <v>461</v>
      </c>
      <c r="K347" s="78" t="s">
        <v>1158</v>
      </c>
      <c r="L347" s="60" t="e">
        <v>#N/A</v>
      </c>
      <c r="M347" s="55" t="s">
        <v>0</v>
      </c>
      <c r="N347" s="2"/>
      <c r="O347" s="58"/>
      <c r="P347" s="60" t="e">
        <v>#N/A</v>
      </c>
      <c r="Q347" s="60" t="e">
        <v>#N/A</v>
      </c>
      <c r="R347" s="85" t="s">
        <v>0</v>
      </c>
      <c r="S347" s="85" t="s">
        <v>0</v>
      </c>
      <c r="T347" s="61" t="s">
        <v>0</v>
      </c>
      <c r="U347" s="60" t="s">
        <v>0</v>
      </c>
      <c r="V347" s="58" t="s">
        <v>0</v>
      </c>
      <c r="W347" s="58" t="s">
        <v>0</v>
      </c>
      <c r="X347" s="58" t="s">
        <v>0</v>
      </c>
      <c r="Y347" s="58" t="s">
        <v>0</v>
      </c>
      <c r="Z347" s="58" t="s">
        <v>0</v>
      </c>
      <c r="AA347" s="58" t="s">
        <v>0</v>
      </c>
      <c r="AB347" s="58" t="s">
        <v>0</v>
      </c>
      <c r="AC347" s="58" t="s">
        <v>0</v>
      </c>
      <c r="AD347" s="58" t="s">
        <v>0</v>
      </c>
      <c r="AE347" s="58" t="s">
        <v>0</v>
      </c>
      <c r="AF347" s="58"/>
      <c r="AG347" s="58"/>
      <c r="AH347" s="58"/>
      <c r="AI347" s="58" t="s">
        <v>0</v>
      </c>
      <c r="AJ347" s="58" t="s">
        <v>0</v>
      </c>
      <c r="AK347" s="1" t="s">
        <v>1255</v>
      </c>
    </row>
    <row r="348" spans="2:37">
      <c r="B348" s="68" t="s">
        <v>0</v>
      </c>
      <c r="C348" s="55" t="s">
        <v>0</v>
      </c>
      <c r="D348" s="55" t="s">
        <v>0</v>
      </c>
      <c r="E348" s="68" t="s">
        <v>0</v>
      </c>
      <c r="F348" s="59" t="s">
        <v>0</v>
      </c>
      <c r="G348" s="55" t="s">
        <v>1257</v>
      </c>
      <c r="H348" s="55" t="s">
        <v>1284</v>
      </c>
      <c r="I348" s="55" t="s">
        <v>1285</v>
      </c>
      <c r="J348" s="60" t="s">
        <v>461</v>
      </c>
      <c r="K348" s="78" t="s">
        <v>1159</v>
      </c>
      <c r="L348" s="60" t="e">
        <v>#N/A</v>
      </c>
      <c r="M348" s="55" t="s">
        <v>0</v>
      </c>
      <c r="N348" s="2"/>
      <c r="O348" s="58"/>
      <c r="P348" s="60" t="e">
        <v>#N/A</v>
      </c>
      <c r="Q348" s="60" t="e">
        <v>#N/A</v>
      </c>
      <c r="R348" s="85" t="s">
        <v>0</v>
      </c>
      <c r="S348" s="85" t="s">
        <v>0</v>
      </c>
      <c r="T348" s="61" t="s">
        <v>0</v>
      </c>
      <c r="U348" s="60" t="s">
        <v>0</v>
      </c>
      <c r="V348" s="58" t="s">
        <v>0</v>
      </c>
      <c r="W348" s="58" t="s">
        <v>0</v>
      </c>
      <c r="X348" s="58" t="s">
        <v>0</v>
      </c>
      <c r="Y348" s="58" t="s">
        <v>0</v>
      </c>
      <c r="Z348" s="58" t="s">
        <v>0</v>
      </c>
      <c r="AA348" s="58" t="s">
        <v>0</v>
      </c>
      <c r="AB348" s="58" t="s">
        <v>0</v>
      </c>
      <c r="AC348" s="58" t="s">
        <v>0</v>
      </c>
      <c r="AD348" s="58" t="s">
        <v>0</v>
      </c>
      <c r="AE348" s="58" t="s">
        <v>0</v>
      </c>
      <c r="AF348" s="58"/>
      <c r="AG348" s="58"/>
      <c r="AH348" s="58"/>
      <c r="AI348" s="58" t="s">
        <v>0</v>
      </c>
      <c r="AJ348" s="58" t="s">
        <v>0</v>
      </c>
      <c r="AK348" s="1" t="s">
        <v>1255</v>
      </c>
    </row>
    <row r="349" spans="2:37">
      <c r="B349" s="68" t="s">
        <v>0</v>
      </c>
      <c r="C349" s="55" t="s">
        <v>0</v>
      </c>
      <c r="D349" s="55" t="s">
        <v>0</v>
      </c>
      <c r="E349" s="68" t="s">
        <v>0</v>
      </c>
      <c r="F349" s="59" t="s">
        <v>0</v>
      </c>
      <c r="G349" s="55" t="s">
        <v>1257</v>
      </c>
      <c r="H349" s="55" t="s">
        <v>1284</v>
      </c>
      <c r="I349" s="55" t="s">
        <v>1286</v>
      </c>
      <c r="J349" s="60" t="s">
        <v>461</v>
      </c>
      <c r="K349" s="78" t="s">
        <v>1160</v>
      </c>
      <c r="L349" s="60" t="e">
        <v>#N/A</v>
      </c>
      <c r="M349" s="55" t="s">
        <v>0</v>
      </c>
      <c r="N349" s="2"/>
      <c r="O349" s="58"/>
      <c r="P349" s="60" t="e">
        <v>#N/A</v>
      </c>
      <c r="Q349" s="60" t="e">
        <v>#N/A</v>
      </c>
      <c r="R349" s="85" t="s">
        <v>0</v>
      </c>
      <c r="S349" s="85" t="s">
        <v>0</v>
      </c>
      <c r="T349" s="61" t="s">
        <v>0</v>
      </c>
      <c r="U349" s="60" t="s">
        <v>0</v>
      </c>
      <c r="V349" s="58" t="s">
        <v>0</v>
      </c>
      <c r="W349" s="58" t="s">
        <v>0</v>
      </c>
      <c r="X349" s="58" t="s">
        <v>0</v>
      </c>
      <c r="Y349" s="58" t="s">
        <v>0</v>
      </c>
      <c r="Z349" s="58" t="s">
        <v>0</v>
      </c>
      <c r="AA349" s="58" t="s">
        <v>0</v>
      </c>
      <c r="AB349" s="58" t="s">
        <v>0</v>
      </c>
      <c r="AC349" s="58" t="s">
        <v>0</v>
      </c>
      <c r="AD349" s="58" t="s">
        <v>0</v>
      </c>
      <c r="AE349" s="58" t="s">
        <v>0</v>
      </c>
      <c r="AF349" s="58"/>
      <c r="AG349" s="58"/>
      <c r="AH349" s="58"/>
      <c r="AI349" s="58" t="s">
        <v>0</v>
      </c>
      <c r="AJ349" s="58" t="s">
        <v>0</v>
      </c>
      <c r="AK349" s="1" t="s">
        <v>1255</v>
      </c>
    </row>
    <row r="350" spans="2:37">
      <c r="B350" s="68" t="s">
        <v>0</v>
      </c>
      <c r="C350" s="55" t="s">
        <v>0</v>
      </c>
      <c r="D350" s="55" t="s">
        <v>0</v>
      </c>
      <c r="E350" s="68" t="s">
        <v>0</v>
      </c>
      <c r="F350" s="59" t="s">
        <v>0</v>
      </c>
      <c r="G350" s="55" t="s">
        <v>1257</v>
      </c>
      <c r="H350" s="55" t="s">
        <v>1284</v>
      </c>
      <c r="I350" s="55" t="s">
        <v>1286</v>
      </c>
      <c r="J350" s="60" t="s">
        <v>461</v>
      </c>
      <c r="K350" s="78" t="s">
        <v>1161</v>
      </c>
      <c r="L350" s="60" t="e">
        <v>#N/A</v>
      </c>
      <c r="M350" s="55" t="s">
        <v>0</v>
      </c>
      <c r="N350" s="2"/>
      <c r="O350" s="58"/>
      <c r="P350" s="60" t="e">
        <v>#N/A</v>
      </c>
      <c r="Q350" s="60" t="e">
        <v>#N/A</v>
      </c>
      <c r="R350" s="85" t="s">
        <v>0</v>
      </c>
      <c r="S350" s="85" t="s">
        <v>0</v>
      </c>
      <c r="T350" s="61" t="s">
        <v>0</v>
      </c>
      <c r="U350" s="60" t="s">
        <v>0</v>
      </c>
      <c r="V350" s="58" t="s">
        <v>0</v>
      </c>
      <c r="W350" s="58" t="s">
        <v>0</v>
      </c>
      <c r="X350" s="58" t="s">
        <v>0</v>
      </c>
      <c r="Y350" s="58" t="s">
        <v>0</v>
      </c>
      <c r="Z350" s="58" t="s">
        <v>0</v>
      </c>
      <c r="AA350" s="58" t="s">
        <v>0</v>
      </c>
      <c r="AB350" s="58" t="s">
        <v>0</v>
      </c>
      <c r="AC350" s="58" t="s">
        <v>0</v>
      </c>
      <c r="AD350" s="58" t="s">
        <v>0</v>
      </c>
      <c r="AE350" s="58" t="s">
        <v>0</v>
      </c>
      <c r="AF350" s="58"/>
      <c r="AG350" s="58"/>
      <c r="AH350" s="58"/>
      <c r="AI350" s="58" t="s">
        <v>0</v>
      </c>
      <c r="AJ350" s="58" t="s">
        <v>0</v>
      </c>
      <c r="AK350" s="1" t="s">
        <v>1255</v>
      </c>
    </row>
    <row r="351" spans="2:37">
      <c r="B351" s="68" t="s">
        <v>0</v>
      </c>
      <c r="C351" s="55" t="s">
        <v>0</v>
      </c>
      <c r="D351" s="55" t="s">
        <v>0</v>
      </c>
      <c r="E351" s="68" t="s">
        <v>0</v>
      </c>
      <c r="F351" s="59" t="s">
        <v>0</v>
      </c>
      <c r="G351" s="55" t="s">
        <v>1257</v>
      </c>
      <c r="H351" s="55" t="s">
        <v>1284</v>
      </c>
      <c r="I351" s="55" t="s">
        <v>1286</v>
      </c>
      <c r="J351" s="60" t="s">
        <v>461</v>
      </c>
      <c r="K351" s="78" t="s">
        <v>1162</v>
      </c>
      <c r="L351" s="60" t="e">
        <v>#N/A</v>
      </c>
      <c r="M351" s="55" t="s">
        <v>0</v>
      </c>
      <c r="N351" s="2"/>
      <c r="O351" s="58"/>
      <c r="P351" s="60" t="e">
        <v>#N/A</v>
      </c>
      <c r="Q351" s="60" t="e">
        <v>#N/A</v>
      </c>
      <c r="R351" s="85" t="s">
        <v>0</v>
      </c>
      <c r="S351" s="85" t="s">
        <v>0</v>
      </c>
      <c r="T351" s="61" t="s">
        <v>0</v>
      </c>
      <c r="U351" s="60" t="s">
        <v>0</v>
      </c>
      <c r="V351" s="58" t="s">
        <v>0</v>
      </c>
      <c r="W351" s="58" t="s">
        <v>0</v>
      </c>
      <c r="X351" s="58" t="s">
        <v>0</v>
      </c>
      <c r="Y351" s="58" t="s">
        <v>0</v>
      </c>
      <c r="Z351" s="58" t="s">
        <v>0</v>
      </c>
      <c r="AA351" s="58" t="s">
        <v>0</v>
      </c>
      <c r="AB351" s="58" t="s">
        <v>0</v>
      </c>
      <c r="AC351" s="58" t="s">
        <v>0</v>
      </c>
      <c r="AD351" s="58" t="s">
        <v>0</v>
      </c>
      <c r="AE351" s="58" t="s">
        <v>0</v>
      </c>
      <c r="AF351" s="58"/>
      <c r="AG351" s="58"/>
      <c r="AH351" s="58"/>
      <c r="AI351" s="58" t="s">
        <v>0</v>
      </c>
      <c r="AJ351" s="58" t="s">
        <v>0</v>
      </c>
      <c r="AK351" s="1" t="s">
        <v>1255</v>
      </c>
    </row>
    <row r="352" spans="2:37">
      <c r="B352" s="68" t="s">
        <v>0</v>
      </c>
      <c r="C352" s="55" t="s">
        <v>0</v>
      </c>
      <c r="D352" s="55" t="s">
        <v>0</v>
      </c>
      <c r="E352" s="68" t="s">
        <v>0</v>
      </c>
      <c r="F352" s="59" t="s">
        <v>0</v>
      </c>
      <c r="G352" s="55" t="s">
        <v>1257</v>
      </c>
      <c r="H352" s="55" t="s">
        <v>1284</v>
      </c>
      <c r="I352" s="55" t="s">
        <v>1285</v>
      </c>
      <c r="J352" s="60" t="s">
        <v>461</v>
      </c>
      <c r="K352" s="78" t="s">
        <v>1163</v>
      </c>
      <c r="L352" s="60" t="e">
        <v>#N/A</v>
      </c>
      <c r="M352" s="55" t="s">
        <v>0</v>
      </c>
      <c r="N352" s="2"/>
      <c r="O352" s="58"/>
      <c r="P352" s="60" t="e">
        <v>#N/A</v>
      </c>
      <c r="Q352" s="60" t="e">
        <v>#N/A</v>
      </c>
      <c r="R352" s="85" t="s">
        <v>0</v>
      </c>
      <c r="S352" s="85" t="s">
        <v>0</v>
      </c>
      <c r="T352" s="61" t="s">
        <v>0</v>
      </c>
      <c r="U352" s="60" t="s">
        <v>0</v>
      </c>
      <c r="V352" s="58" t="s">
        <v>0</v>
      </c>
      <c r="W352" s="58" t="s">
        <v>0</v>
      </c>
      <c r="X352" s="58" t="s">
        <v>0</v>
      </c>
      <c r="Y352" s="58" t="s">
        <v>0</v>
      </c>
      <c r="Z352" s="58" t="s">
        <v>0</v>
      </c>
      <c r="AA352" s="58" t="s">
        <v>0</v>
      </c>
      <c r="AB352" s="58" t="s">
        <v>0</v>
      </c>
      <c r="AC352" s="58" t="s">
        <v>0</v>
      </c>
      <c r="AD352" s="58" t="s">
        <v>0</v>
      </c>
      <c r="AE352" s="58" t="s">
        <v>0</v>
      </c>
      <c r="AF352" s="58"/>
      <c r="AG352" s="58"/>
      <c r="AH352" s="58"/>
      <c r="AI352" s="58" t="s">
        <v>0</v>
      </c>
      <c r="AJ352" s="58" t="s">
        <v>0</v>
      </c>
      <c r="AK352" s="1" t="s">
        <v>1255</v>
      </c>
    </row>
    <row r="353" spans="2:37">
      <c r="B353" s="68" t="s">
        <v>0</v>
      </c>
      <c r="C353" s="55" t="s">
        <v>0</v>
      </c>
      <c r="D353" s="55" t="s">
        <v>0</v>
      </c>
      <c r="E353" s="68" t="s">
        <v>0</v>
      </c>
      <c r="F353" s="59" t="s">
        <v>0</v>
      </c>
      <c r="G353" s="55" t="s">
        <v>466</v>
      </c>
      <c r="H353" s="55" t="s">
        <v>1284</v>
      </c>
      <c r="I353" s="55" t="s">
        <v>1285</v>
      </c>
      <c r="J353" s="60" t="s">
        <v>461</v>
      </c>
      <c r="K353" s="78" t="s">
        <v>1164</v>
      </c>
      <c r="L353" s="60" t="e">
        <v>#N/A</v>
      </c>
      <c r="M353" s="55" t="s">
        <v>0</v>
      </c>
      <c r="N353" s="2"/>
      <c r="O353" s="58"/>
      <c r="P353" s="60" t="e">
        <v>#N/A</v>
      </c>
      <c r="Q353" s="60" t="e">
        <v>#N/A</v>
      </c>
      <c r="R353" s="85" t="s">
        <v>0</v>
      </c>
      <c r="S353" s="85" t="s">
        <v>0</v>
      </c>
      <c r="T353" s="61" t="s">
        <v>0</v>
      </c>
      <c r="U353" s="60" t="s">
        <v>0</v>
      </c>
      <c r="V353" s="58" t="s">
        <v>0</v>
      </c>
      <c r="W353" s="58" t="s">
        <v>0</v>
      </c>
      <c r="X353" s="58" t="s">
        <v>0</v>
      </c>
      <c r="Y353" s="58" t="s">
        <v>0</v>
      </c>
      <c r="Z353" s="58" t="s">
        <v>0</v>
      </c>
      <c r="AA353" s="58" t="s">
        <v>0</v>
      </c>
      <c r="AB353" s="58" t="s">
        <v>0</v>
      </c>
      <c r="AC353" s="58" t="s">
        <v>0</v>
      </c>
      <c r="AD353" s="58" t="s">
        <v>0</v>
      </c>
      <c r="AE353" s="58" t="s">
        <v>0</v>
      </c>
      <c r="AF353" s="58"/>
      <c r="AG353" s="58"/>
      <c r="AH353" s="58"/>
      <c r="AI353" s="58" t="s">
        <v>0</v>
      </c>
      <c r="AJ353" s="58" t="s">
        <v>0</v>
      </c>
      <c r="AK353" s="1" t="s">
        <v>1255</v>
      </c>
    </row>
    <row r="354" spans="2:37">
      <c r="B354" s="68" t="s">
        <v>0</v>
      </c>
      <c r="C354" s="55" t="s">
        <v>0</v>
      </c>
      <c r="D354" s="55" t="s">
        <v>0</v>
      </c>
      <c r="E354" s="68" t="s">
        <v>0</v>
      </c>
      <c r="F354" s="59" t="s">
        <v>0</v>
      </c>
      <c r="G354" s="55" t="s">
        <v>1257</v>
      </c>
      <c r="H354" s="55" t="s">
        <v>1284</v>
      </c>
      <c r="I354" s="55" t="s">
        <v>1285</v>
      </c>
      <c r="J354" s="60" t="s">
        <v>461</v>
      </c>
      <c r="K354" s="78" t="s">
        <v>1165</v>
      </c>
      <c r="L354" s="60" t="e">
        <v>#N/A</v>
      </c>
      <c r="M354" s="55" t="s">
        <v>0</v>
      </c>
      <c r="N354" s="2"/>
      <c r="O354" s="58"/>
      <c r="P354" s="60" t="e">
        <v>#N/A</v>
      </c>
      <c r="Q354" s="60" t="e">
        <v>#N/A</v>
      </c>
      <c r="R354" s="85" t="s">
        <v>0</v>
      </c>
      <c r="S354" s="85" t="s">
        <v>0</v>
      </c>
      <c r="T354" s="61" t="s">
        <v>0</v>
      </c>
      <c r="U354" s="60" t="s">
        <v>0</v>
      </c>
      <c r="V354" s="58" t="s">
        <v>0</v>
      </c>
      <c r="W354" s="58" t="s">
        <v>0</v>
      </c>
      <c r="X354" s="58" t="s">
        <v>0</v>
      </c>
      <c r="Y354" s="58" t="s">
        <v>0</v>
      </c>
      <c r="Z354" s="58" t="s">
        <v>0</v>
      </c>
      <c r="AA354" s="58" t="s">
        <v>0</v>
      </c>
      <c r="AB354" s="58" t="s">
        <v>0</v>
      </c>
      <c r="AC354" s="58" t="s">
        <v>0</v>
      </c>
      <c r="AD354" s="58" t="s">
        <v>0</v>
      </c>
      <c r="AE354" s="58" t="s">
        <v>0</v>
      </c>
      <c r="AF354" s="58"/>
      <c r="AG354" s="58"/>
      <c r="AH354" s="58"/>
      <c r="AI354" s="58" t="s">
        <v>0</v>
      </c>
      <c r="AJ354" s="58" t="s">
        <v>0</v>
      </c>
      <c r="AK354" s="1" t="s">
        <v>1255</v>
      </c>
    </row>
    <row r="355" spans="2:37">
      <c r="B355" s="68" t="s">
        <v>0</v>
      </c>
      <c r="C355" s="55" t="s">
        <v>0</v>
      </c>
      <c r="D355" s="55" t="s">
        <v>0</v>
      </c>
      <c r="E355" s="68" t="s">
        <v>0</v>
      </c>
      <c r="F355" s="59" t="s">
        <v>0</v>
      </c>
      <c r="G355" s="55" t="s">
        <v>466</v>
      </c>
      <c r="H355" s="55" t="s">
        <v>1284</v>
      </c>
      <c r="I355" s="55" t="s">
        <v>1285</v>
      </c>
      <c r="J355" s="60" t="s">
        <v>461</v>
      </c>
      <c r="K355" s="78" t="s">
        <v>1166</v>
      </c>
      <c r="L355" s="60" t="e">
        <v>#N/A</v>
      </c>
      <c r="M355" s="55" t="s">
        <v>0</v>
      </c>
      <c r="N355" s="2"/>
      <c r="O355" s="58"/>
      <c r="P355" s="60" t="e">
        <v>#N/A</v>
      </c>
      <c r="Q355" s="60" t="e">
        <v>#N/A</v>
      </c>
      <c r="R355" s="85" t="s">
        <v>0</v>
      </c>
      <c r="S355" s="85" t="s">
        <v>0</v>
      </c>
      <c r="T355" s="61" t="s">
        <v>0</v>
      </c>
      <c r="U355" s="60" t="s">
        <v>0</v>
      </c>
      <c r="V355" s="58" t="s">
        <v>0</v>
      </c>
      <c r="W355" s="58" t="s">
        <v>0</v>
      </c>
      <c r="X355" s="58" t="s">
        <v>0</v>
      </c>
      <c r="Y355" s="58" t="s">
        <v>0</v>
      </c>
      <c r="Z355" s="58" t="s">
        <v>0</v>
      </c>
      <c r="AA355" s="58" t="s">
        <v>0</v>
      </c>
      <c r="AB355" s="58" t="s">
        <v>0</v>
      </c>
      <c r="AC355" s="58" t="s">
        <v>0</v>
      </c>
      <c r="AD355" s="58" t="s">
        <v>0</v>
      </c>
      <c r="AE355" s="58" t="s">
        <v>0</v>
      </c>
      <c r="AF355" s="58"/>
      <c r="AG355" s="58"/>
      <c r="AH355" s="58"/>
      <c r="AI355" s="58" t="s">
        <v>0</v>
      </c>
      <c r="AJ355" s="58" t="s">
        <v>0</v>
      </c>
      <c r="AK355" s="1" t="s">
        <v>1255</v>
      </c>
    </row>
    <row r="356" spans="2:37">
      <c r="B356" s="68" t="s">
        <v>0</v>
      </c>
      <c r="C356" s="55" t="s">
        <v>0</v>
      </c>
      <c r="D356" s="55" t="s">
        <v>0</v>
      </c>
      <c r="E356" s="68" t="s">
        <v>0</v>
      </c>
      <c r="F356" s="59" t="s">
        <v>0</v>
      </c>
      <c r="G356" s="55" t="s">
        <v>1257</v>
      </c>
      <c r="H356" s="55" t="s">
        <v>1284</v>
      </c>
      <c r="I356" s="55" t="s">
        <v>1285</v>
      </c>
      <c r="J356" s="60" t="s">
        <v>461</v>
      </c>
      <c r="K356" s="78" t="s">
        <v>1167</v>
      </c>
      <c r="L356" s="60" t="e">
        <v>#N/A</v>
      </c>
      <c r="M356" s="55" t="s">
        <v>0</v>
      </c>
      <c r="N356" s="2"/>
      <c r="O356" s="58"/>
      <c r="P356" s="60" t="e">
        <v>#N/A</v>
      </c>
      <c r="Q356" s="60" t="e">
        <v>#N/A</v>
      </c>
      <c r="R356" s="85" t="s">
        <v>0</v>
      </c>
      <c r="S356" s="85" t="s">
        <v>0</v>
      </c>
      <c r="T356" s="61" t="s">
        <v>0</v>
      </c>
      <c r="U356" s="60" t="s">
        <v>0</v>
      </c>
      <c r="V356" s="58" t="s">
        <v>0</v>
      </c>
      <c r="W356" s="58" t="s">
        <v>0</v>
      </c>
      <c r="X356" s="58" t="s">
        <v>0</v>
      </c>
      <c r="Y356" s="58" t="s">
        <v>0</v>
      </c>
      <c r="Z356" s="58" t="s">
        <v>0</v>
      </c>
      <c r="AA356" s="58" t="s">
        <v>0</v>
      </c>
      <c r="AB356" s="58" t="s">
        <v>0</v>
      </c>
      <c r="AC356" s="58" t="s">
        <v>0</v>
      </c>
      <c r="AD356" s="58" t="s">
        <v>0</v>
      </c>
      <c r="AE356" s="58" t="s">
        <v>0</v>
      </c>
      <c r="AF356" s="58"/>
      <c r="AG356" s="58"/>
      <c r="AH356" s="58"/>
      <c r="AI356" s="58" t="s">
        <v>0</v>
      </c>
      <c r="AJ356" s="58" t="s">
        <v>0</v>
      </c>
      <c r="AK356" s="1" t="s">
        <v>1255</v>
      </c>
    </row>
    <row r="357" spans="2:37">
      <c r="B357" s="68" t="s">
        <v>0</v>
      </c>
      <c r="C357" s="55" t="s">
        <v>0</v>
      </c>
      <c r="D357" s="55" t="s">
        <v>0</v>
      </c>
      <c r="E357" s="68" t="s">
        <v>0</v>
      </c>
      <c r="F357" s="59" t="s">
        <v>0</v>
      </c>
      <c r="G357" s="55" t="s">
        <v>1262</v>
      </c>
      <c r="H357" s="55" t="s">
        <v>1284</v>
      </c>
      <c r="I357" s="55" t="s">
        <v>1285</v>
      </c>
      <c r="J357" s="60" t="s">
        <v>461</v>
      </c>
      <c r="K357" s="78" t="s">
        <v>1168</v>
      </c>
      <c r="L357" s="60" t="e">
        <v>#N/A</v>
      </c>
      <c r="M357" s="55" t="s">
        <v>0</v>
      </c>
      <c r="N357" s="2"/>
      <c r="O357" s="58"/>
      <c r="P357" s="60" t="e">
        <v>#N/A</v>
      </c>
      <c r="Q357" s="60" t="e">
        <v>#N/A</v>
      </c>
      <c r="R357" s="85" t="s">
        <v>0</v>
      </c>
      <c r="S357" s="85" t="s">
        <v>0</v>
      </c>
      <c r="T357" s="61" t="s">
        <v>0</v>
      </c>
      <c r="U357" s="60" t="s">
        <v>0</v>
      </c>
      <c r="V357" s="58" t="s">
        <v>0</v>
      </c>
      <c r="W357" s="58" t="s">
        <v>0</v>
      </c>
      <c r="X357" s="58" t="s">
        <v>0</v>
      </c>
      <c r="Y357" s="58" t="s">
        <v>0</v>
      </c>
      <c r="Z357" s="58" t="s">
        <v>0</v>
      </c>
      <c r="AA357" s="58" t="s">
        <v>0</v>
      </c>
      <c r="AB357" s="58" t="s">
        <v>0</v>
      </c>
      <c r="AC357" s="58" t="s">
        <v>0</v>
      </c>
      <c r="AD357" s="58" t="s">
        <v>0</v>
      </c>
      <c r="AE357" s="58" t="s">
        <v>0</v>
      </c>
      <c r="AF357" s="58"/>
      <c r="AG357" s="58"/>
      <c r="AH357" s="58"/>
      <c r="AI357" s="58" t="s">
        <v>0</v>
      </c>
      <c r="AJ357" s="58" t="s">
        <v>0</v>
      </c>
      <c r="AK357" s="1" t="s">
        <v>1255</v>
      </c>
    </row>
    <row r="358" spans="2:37">
      <c r="B358" s="68" t="s">
        <v>0</v>
      </c>
      <c r="C358" s="55" t="s">
        <v>0</v>
      </c>
      <c r="D358" s="55" t="s">
        <v>0</v>
      </c>
      <c r="E358" s="68" t="s">
        <v>0</v>
      </c>
      <c r="F358" s="59" t="s">
        <v>0</v>
      </c>
      <c r="G358" s="55" t="s">
        <v>1257</v>
      </c>
      <c r="H358" s="55" t="s">
        <v>1284</v>
      </c>
      <c r="I358" s="55" t="s">
        <v>1285</v>
      </c>
      <c r="J358" s="60" t="s">
        <v>461</v>
      </c>
      <c r="K358" s="78" t="s">
        <v>1169</v>
      </c>
      <c r="L358" s="60" t="e">
        <v>#N/A</v>
      </c>
      <c r="M358" s="55" t="s">
        <v>0</v>
      </c>
      <c r="N358" s="2"/>
      <c r="O358" s="58"/>
      <c r="P358" s="60" t="e">
        <v>#N/A</v>
      </c>
      <c r="Q358" s="60" t="e">
        <v>#N/A</v>
      </c>
      <c r="R358" s="85" t="s">
        <v>0</v>
      </c>
      <c r="S358" s="85" t="s">
        <v>0</v>
      </c>
      <c r="T358" s="61" t="s">
        <v>0</v>
      </c>
      <c r="U358" s="60" t="s">
        <v>0</v>
      </c>
      <c r="V358" s="58" t="s">
        <v>0</v>
      </c>
      <c r="W358" s="58" t="s">
        <v>0</v>
      </c>
      <c r="X358" s="58" t="s">
        <v>0</v>
      </c>
      <c r="Y358" s="58" t="s">
        <v>0</v>
      </c>
      <c r="Z358" s="58" t="s">
        <v>0</v>
      </c>
      <c r="AA358" s="58" t="s">
        <v>0</v>
      </c>
      <c r="AB358" s="58" t="s">
        <v>0</v>
      </c>
      <c r="AC358" s="58" t="s">
        <v>0</v>
      </c>
      <c r="AD358" s="58" t="s">
        <v>0</v>
      </c>
      <c r="AE358" s="58" t="s">
        <v>0</v>
      </c>
      <c r="AF358" s="58"/>
      <c r="AG358" s="58"/>
      <c r="AH358" s="58"/>
      <c r="AI358" s="58" t="s">
        <v>0</v>
      </c>
      <c r="AJ358" s="58" t="s">
        <v>0</v>
      </c>
      <c r="AK358" s="1" t="s">
        <v>1255</v>
      </c>
    </row>
    <row r="359" spans="2:37">
      <c r="B359" s="68" t="s">
        <v>0</v>
      </c>
      <c r="C359" s="55" t="s">
        <v>0</v>
      </c>
      <c r="D359" s="55" t="s">
        <v>0</v>
      </c>
      <c r="E359" s="68" t="s">
        <v>0</v>
      </c>
      <c r="F359" s="59" t="s">
        <v>0</v>
      </c>
      <c r="G359" s="55" t="s">
        <v>1257</v>
      </c>
      <c r="H359" s="55" t="s">
        <v>1284</v>
      </c>
      <c r="I359" s="55" t="s">
        <v>1285</v>
      </c>
      <c r="J359" s="60" t="s">
        <v>461</v>
      </c>
      <c r="K359" s="78" t="s">
        <v>1170</v>
      </c>
      <c r="L359" s="60" t="e">
        <v>#N/A</v>
      </c>
      <c r="M359" s="55" t="s">
        <v>0</v>
      </c>
      <c r="N359" s="2"/>
      <c r="O359" s="58"/>
      <c r="P359" s="60" t="e">
        <v>#N/A</v>
      </c>
      <c r="Q359" s="60" t="e">
        <v>#N/A</v>
      </c>
      <c r="R359" s="85" t="s">
        <v>0</v>
      </c>
      <c r="S359" s="85" t="s">
        <v>0</v>
      </c>
      <c r="T359" s="61" t="s">
        <v>0</v>
      </c>
      <c r="U359" s="60" t="s">
        <v>0</v>
      </c>
      <c r="V359" s="58" t="s">
        <v>0</v>
      </c>
      <c r="W359" s="58" t="s">
        <v>0</v>
      </c>
      <c r="X359" s="58" t="s">
        <v>0</v>
      </c>
      <c r="Y359" s="58" t="s">
        <v>0</v>
      </c>
      <c r="Z359" s="58" t="s">
        <v>0</v>
      </c>
      <c r="AA359" s="58" t="s">
        <v>0</v>
      </c>
      <c r="AB359" s="58" t="s">
        <v>0</v>
      </c>
      <c r="AC359" s="58" t="s">
        <v>0</v>
      </c>
      <c r="AD359" s="58" t="s">
        <v>0</v>
      </c>
      <c r="AE359" s="58" t="s">
        <v>0</v>
      </c>
      <c r="AF359" s="58"/>
      <c r="AG359" s="58"/>
      <c r="AH359" s="58"/>
      <c r="AI359" s="58" t="s">
        <v>0</v>
      </c>
      <c r="AJ359" s="58" t="s">
        <v>0</v>
      </c>
      <c r="AK359" s="1" t="s">
        <v>1255</v>
      </c>
    </row>
    <row r="360" spans="2:37">
      <c r="B360" s="68" t="s">
        <v>0</v>
      </c>
      <c r="C360" s="55" t="s">
        <v>0</v>
      </c>
      <c r="D360" s="55" t="s">
        <v>0</v>
      </c>
      <c r="E360" s="68" t="s">
        <v>0</v>
      </c>
      <c r="F360" s="59" t="s">
        <v>0</v>
      </c>
      <c r="G360" s="55" t="s">
        <v>1257</v>
      </c>
      <c r="H360" s="55" t="s">
        <v>1284</v>
      </c>
      <c r="I360" s="55" t="s">
        <v>1285</v>
      </c>
      <c r="J360" s="60" t="s">
        <v>461</v>
      </c>
      <c r="K360" s="78" t="s">
        <v>1171</v>
      </c>
      <c r="L360" s="60" t="e">
        <v>#N/A</v>
      </c>
      <c r="M360" s="55" t="s">
        <v>0</v>
      </c>
      <c r="N360" s="2"/>
      <c r="O360" s="58"/>
      <c r="P360" s="60" t="e">
        <v>#N/A</v>
      </c>
      <c r="Q360" s="60" t="e">
        <v>#N/A</v>
      </c>
      <c r="R360" s="85" t="s">
        <v>0</v>
      </c>
      <c r="S360" s="85" t="s">
        <v>0</v>
      </c>
      <c r="T360" s="61" t="s">
        <v>0</v>
      </c>
      <c r="U360" s="60" t="s">
        <v>0</v>
      </c>
      <c r="V360" s="58" t="s">
        <v>0</v>
      </c>
      <c r="W360" s="58" t="s">
        <v>0</v>
      </c>
      <c r="X360" s="58" t="s">
        <v>0</v>
      </c>
      <c r="Y360" s="58" t="s">
        <v>0</v>
      </c>
      <c r="Z360" s="58" t="s">
        <v>0</v>
      </c>
      <c r="AA360" s="58" t="s">
        <v>0</v>
      </c>
      <c r="AB360" s="58" t="s">
        <v>0</v>
      </c>
      <c r="AC360" s="58" t="s">
        <v>0</v>
      </c>
      <c r="AD360" s="58" t="s">
        <v>0</v>
      </c>
      <c r="AE360" s="58" t="s">
        <v>0</v>
      </c>
      <c r="AF360" s="58"/>
      <c r="AG360" s="58"/>
      <c r="AH360" s="58"/>
      <c r="AI360" s="58" t="s">
        <v>0</v>
      </c>
      <c r="AJ360" s="58" t="s">
        <v>0</v>
      </c>
      <c r="AK360" s="1" t="s">
        <v>1255</v>
      </c>
    </row>
    <row r="361" spans="2:37">
      <c r="B361" s="68" t="s">
        <v>0</v>
      </c>
      <c r="C361" s="55" t="s">
        <v>0</v>
      </c>
      <c r="D361" s="55" t="s">
        <v>0</v>
      </c>
      <c r="E361" s="68" t="s">
        <v>0</v>
      </c>
      <c r="F361" s="59" t="s">
        <v>0</v>
      </c>
      <c r="G361" s="55" t="s">
        <v>1262</v>
      </c>
      <c r="H361" s="55" t="s">
        <v>1284</v>
      </c>
      <c r="I361" s="55" t="s">
        <v>1286</v>
      </c>
      <c r="J361" s="60" t="s">
        <v>461</v>
      </c>
      <c r="K361" s="78" t="s">
        <v>1172</v>
      </c>
      <c r="L361" s="60" t="e">
        <v>#N/A</v>
      </c>
      <c r="M361" s="55" t="s">
        <v>0</v>
      </c>
      <c r="N361" s="2"/>
      <c r="O361" s="58"/>
      <c r="P361" s="60" t="e">
        <v>#N/A</v>
      </c>
      <c r="Q361" s="60" t="e">
        <v>#N/A</v>
      </c>
      <c r="R361" s="85" t="s">
        <v>0</v>
      </c>
      <c r="S361" s="85" t="s">
        <v>0</v>
      </c>
      <c r="T361" s="61" t="s">
        <v>0</v>
      </c>
      <c r="U361" s="60" t="s">
        <v>0</v>
      </c>
      <c r="V361" s="58" t="s">
        <v>0</v>
      </c>
      <c r="W361" s="58" t="s">
        <v>0</v>
      </c>
      <c r="X361" s="58" t="s">
        <v>0</v>
      </c>
      <c r="Y361" s="58" t="s">
        <v>0</v>
      </c>
      <c r="Z361" s="58" t="s">
        <v>0</v>
      </c>
      <c r="AA361" s="58" t="s">
        <v>0</v>
      </c>
      <c r="AB361" s="58" t="s">
        <v>0</v>
      </c>
      <c r="AC361" s="58" t="s">
        <v>0</v>
      </c>
      <c r="AD361" s="58" t="s">
        <v>0</v>
      </c>
      <c r="AE361" s="58" t="s">
        <v>0</v>
      </c>
      <c r="AF361" s="58"/>
      <c r="AG361" s="58"/>
      <c r="AH361" s="58"/>
      <c r="AI361" s="58" t="s">
        <v>0</v>
      </c>
      <c r="AJ361" s="58" t="s">
        <v>0</v>
      </c>
      <c r="AK361" s="1" t="s">
        <v>1255</v>
      </c>
    </row>
    <row r="362" spans="2:37">
      <c r="B362" s="68" t="s">
        <v>0</v>
      </c>
      <c r="C362" s="55" t="s">
        <v>0</v>
      </c>
      <c r="D362" s="55" t="s">
        <v>0</v>
      </c>
      <c r="E362" s="68" t="s">
        <v>0</v>
      </c>
      <c r="F362" s="59" t="s">
        <v>0</v>
      </c>
      <c r="G362" s="55" t="s">
        <v>1262</v>
      </c>
      <c r="H362" s="55" t="s">
        <v>1284</v>
      </c>
      <c r="I362" s="55" t="s">
        <v>1285</v>
      </c>
      <c r="J362" s="60" t="s">
        <v>461</v>
      </c>
      <c r="K362" s="78" t="s">
        <v>1173</v>
      </c>
      <c r="L362" s="60" t="e">
        <v>#N/A</v>
      </c>
      <c r="M362" s="55" t="s">
        <v>0</v>
      </c>
      <c r="N362" s="2"/>
      <c r="O362" s="58"/>
      <c r="P362" s="60" t="e">
        <v>#N/A</v>
      </c>
      <c r="Q362" s="60" t="e">
        <v>#N/A</v>
      </c>
      <c r="R362" s="85" t="s">
        <v>0</v>
      </c>
      <c r="S362" s="85" t="s">
        <v>0</v>
      </c>
      <c r="T362" s="61" t="s">
        <v>0</v>
      </c>
      <c r="U362" s="60" t="s">
        <v>0</v>
      </c>
      <c r="V362" s="58" t="s">
        <v>0</v>
      </c>
      <c r="W362" s="58" t="s">
        <v>0</v>
      </c>
      <c r="X362" s="58" t="s">
        <v>0</v>
      </c>
      <c r="Y362" s="58" t="s">
        <v>0</v>
      </c>
      <c r="Z362" s="58" t="s">
        <v>0</v>
      </c>
      <c r="AA362" s="58" t="s">
        <v>0</v>
      </c>
      <c r="AB362" s="58" t="s">
        <v>0</v>
      </c>
      <c r="AC362" s="58" t="s">
        <v>0</v>
      </c>
      <c r="AD362" s="58" t="s">
        <v>0</v>
      </c>
      <c r="AE362" s="58" t="s">
        <v>0</v>
      </c>
      <c r="AF362" s="58"/>
      <c r="AG362" s="58"/>
      <c r="AH362" s="58"/>
      <c r="AI362" s="58" t="s">
        <v>0</v>
      </c>
      <c r="AJ362" s="58" t="s">
        <v>0</v>
      </c>
      <c r="AK362" s="1" t="s">
        <v>1255</v>
      </c>
    </row>
    <row r="363" spans="2:37">
      <c r="B363" s="68" t="s">
        <v>0</v>
      </c>
      <c r="C363" s="55" t="s">
        <v>0</v>
      </c>
      <c r="D363" s="55" t="s">
        <v>0</v>
      </c>
      <c r="E363" s="68" t="s">
        <v>0</v>
      </c>
      <c r="F363" s="59" t="s">
        <v>0</v>
      </c>
      <c r="G363" s="55" t="s">
        <v>1262</v>
      </c>
      <c r="H363" s="55" t="s">
        <v>1284</v>
      </c>
      <c r="I363" s="55" t="s">
        <v>1285</v>
      </c>
      <c r="J363" s="60" t="s">
        <v>461</v>
      </c>
      <c r="K363" s="78" t="s">
        <v>1174</v>
      </c>
      <c r="L363" s="60" t="e">
        <v>#N/A</v>
      </c>
      <c r="M363" s="55" t="s">
        <v>0</v>
      </c>
      <c r="N363" s="2"/>
      <c r="O363" s="58"/>
      <c r="P363" s="60" t="e">
        <v>#N/A</v>
      </c>
      <c r="Q363" s="60" t="e">
        <v>#N/A</v>
      </c>
      <c r="R363" s="85" t="s">
        <v>0</v>
      </c>
      <c r="S363" s="85" t="s">
        <v>0</v>
      </c>
      <c r="T363" s="61" t="s">
        <v>0</v>
      </c>
      <c r="U363" s="60" t="s">
        <v>0</v>
      </c>
      <c r="V363" s="58" t="s">
        <v>0</v>
      </c>
      <c r="W363" s="58" t="s">
        <v>0</v>
      </c>
      <c r="X363" s="58" t="s">
        <v>0</v>
      </c>
      <c r="Y363" s="58" t="s">
        <v>0</v>
      </c>
      <c r="Z363" s="58" t="s">
        <v>0</v>
      </c>
      <c r="AA363" s="58" t="s">
        <v>0</v>
      </c>
      <c r="AB363" s="58" t="s">
        <v>0</v>
      </c>
      <c r="AC363" s="58" t="s">
        <v>0</v>
      </c>
      <c r="AD363" s="58" t="s">
        <v>0</v>
      </c>
      <c r="AE363" s="58" t="s">
        <v>0</v>
      </c>
      <c r="AF363" s="58"/>
      <c r="AG363" s="58"/>
      <c r="AH363" s="58"/>
      <c r="AI363" s="58" t="s">
        <v>0</v>
      </c>
      <c r="AJ363" s="58" t="s">
        <v>0</v>
      </c>
      <c r="AK363" s="1" t="s">
        <v>1255</v>
      </c>
    </row>
    <row r="364" spans="2:37">
      <c r="B364" s="68" t="s">
        <v>0</v>
      </c>
      <c r="C364" s="55" t="s">
        <v>0</v>
      </c>
      <c r="D364" s="55" t="s">
        <v>0</v>
      </c>
      <c r="E364" s="68" t="s">
        <v>0</v>
      </c>
      <c r="F364" s="59" t="s">
        <v>0</v>
      </c>
      <c r="G364" s="55" t="s">
        <v>1257</v>
      </c>
      <c r="H364" s="55" t="s">
        <v>1284</v>
      </c>
      <c r="I364" s="55" t="s">
        <v>1286</v>
      </c>
      <c r="J364" s="60" t="s">
        <v>461</v>
      </c>
      <c r="K364" s="78" t="s">
        <v>1175</v>
      </c>
      <c r="L364" s="60" t="e">
        <v>#N/A</v>
      </c>
      <c r="M364" s="55" t="s">
        <v>0</v>
      </c>
      <c r="N364" s="2"/>
      <c r="O364" s="58"/>
      <c r="P364" s="60" t="e">
        <v>#N/A</v>
      </c>
      <c r="Q364" s="60" t="e">
        <v>#N/A</v>
      </c>
      <c r="R364" s="85" t="s">
        <v>0</v>
      </c>
      <c r="S364" s="85" t="s">
        <v>0</v>
      </c>
      <c r="T364" s="61" t="s">
        <v>0</v>
      </c>
      <c r="U364" s="60" t="s">
        <v>0</v>
      </c>
      <c r="V364" s="58" t="s">
        <v>0</v>
      </c>
      <c r="W364" s="58" t="s">
        <v>0</v>
      </c>
      <c r="X364" s="58" t="s">
        <v>0</v>
      </c>
      <c r="Y364" s="58" t="s">
        <v>0</v>
      </c>
      <c r="Z364" s="58" t="s">
        <v>0</v>
      </c>
      <c r="AA364" s="58" t="s">
        <v>0</v>
      </c>
      <c r="AB364" s="58" t="s">
        <v>0</v>
      </c>
      <c r="AC364" s="58" t="s">
        <v>0</v>
      </c>
      <c r="AD364" s="58" t="s">
        <v>0</v>
      </c>
      <c r="AE364" s="58" t="s">
        <v>0</v>
      </c>
      <c r="AF364" s="58"/>
      <c r="AG364" s="58"/>
      <c r="AH364" s="58"/>
      <c r="AI364" s="58" t="s">
        <v>0</v>
      </c>
      <c r="AJ364" s="58" t="s">
        <v>0</v>
      </c>
      <c r="AK364" s="1" t="s">
        <v>1255</v>
      </c>
    </row>
    <row r="365" spans="2:37">
      <c r="B365" s="68" t="s">
        <v>0</v>
      </c>
      <c r="C365" s="55" t="s">
        <v>0</v>
      </c>
      <c r="D365" s="55" t="s">
        <v>0</v>
      </c>
      <c r="E365" s="68" t="s">
        <v>0</v>
      </c>
      <c r="F365" s="59" t="s">
        <v>0</v>
      </c>
      <c r="G365" s="55" t="s">
        <v>1257</v>
      </c>
      <c r="H365" s="55" t="s">
        <v>1284</v>
      </c>
      <c r="I365" s="55" t="s">
        <v>1285</v>
      </c>
      <c r="J365" s="60" t="s">
        <v>461</v>
      </c>
      <c r="K365" s="78" t="s">
        <v>1176</v>
      </c>
      <c r="L365" s="60" t="e">
        <v>#N/A</v>
      </c>
      <c r="M365" s="55" t="s">
        <v>0</v>
      </c>
      <c r="N365" s="2"/>
      <c r="O365" s="58"/>
      <c r="P365" s="60" t="e">
        <v>#N/A</v>
      </c>
      <c r="Q365" s="60" t="e">
        <v>#N/A</v>
      </c>
      <c r="R365" s="85" t="s">
        <v>0</v>
      </c>
      <c r="S365" s="85" t="s">
        <v>0</v>
      </c>
      <c r="T365" s="61" t="s">
        <v>0</v>
      </c>
      <c r="U365" s="60" t="s">
        <v>0</v>
      </c>
      <c r="V365" s="58" t="s">
        <v>0</v>
      </c>
      <c r="W365" s="58" t="s">
        <v>0</v>
      </c>
      <c r="X365" s="58" t="s">
        <v>0</v>
      </c>
      <c r="Y365" s="58" t="s">
        <v>0</v>
      </c>
      <c r="Z365" s="58" t="s">
        <v>0</v>
      </c>
      <c r="AA365" s="58" t="s">
        <v>0</v>
      </c>
      <c r="AB365" s="58" t="s">
        <v>0</v>
      </c>
      <c r="AC365" s="58" t="s">
        <v>0</v>
      </c>
      <c r="AD365" s="58" t="s">
        <v>0</v>
      </c>
      <c r="AE365" s="58" t="s">
        <v>0</v>
      </c>
      <c r="AF365" s="58"/>
      <c r="AG365" s="58"/>
      <c r="AH365" s="58"/>
      <c r="AI365" s="58" t="s">
        <v>0</v>
      </c>
      <c r="AJ365" s="58" t="s">
        <v>0</v>
      </c>
      <c r="AK365" s="1" t="s">
        <v>1255</v>
      </c>
    </row>
    <row r="366" spans="2:37">
      <c r="B366" s="68" t="s">
        <v>0</v>
      </c>
      <c r="C366" s="55" t="s">
        <v>0</v>
      </c>
      <c r="D366" s="55" t="s">
        <v>0</v>
      </c>
      <c r="E366" s="68" t="s">
        <v>0</v>
      </c>
      <c r="F366" s="59" t="s">
        <v>0</v>
      </c>
      <c r="G366" s="55" t="s">
        <v>1262</v>
      </c>
      <c r="H366" s="55" t="s">
        <v>1284</v>
      </c>
      <c r="I366" s="55" t="s">
        <v>1285</v>
      </c>
      <c r="J366" s="60" t="s">
        <v>461</v>
      </c>
      <c r="K366" s="78" t="s">
        <v>1177</v>
      </c>
      <c r="L366" s="60" t="e">
        <v>#N/A</v>
      </c>
      <c r="M366" s="55" t="s">
        <v>0</v>
      </c>
      <c r="N366" s="2"/>
      <c r="O366" s="58"/>
      <c r="P366" s="60" t="e">
        <v>#N/A</v>
      </c>
      <c r="Q366" s="60" t="e">
        <v>#N/A</v>
      </c>
      <c r="R366" s="85" t="s">
        <v>0</v>
      </c>
      <c r="S366" s="85" t="s">
        <v>0</v>
      </c>
      <c r="T366" s="61" t="s">
        <v>0</v>
      </c>
      <c r="U366" s="60" t="s">
        <v>0</v>
      </c>
      <c r="V366" s="58" t="s">
        <v>0</v>
      </c>
      <c r="W366" s="58" t="s">
        <v>0</v>
      </c>
      <c r="X366" s="58" t="s">
        <v>0</v>
      </c>
      <c r="Y366" s="58" t="s">
        <v>0</v>
      </c>
      <c r="Z366" s="58" t="s">
        <v>0</v>
      </c>
      <c r="AA366" s="58" t="s">
        <v>0</v>
      </c>
      <c r="AB366" s="58" t="s">
        <v>0</v>
      </c>
      <c r="AC366" s="58" t="s">
        <v>0</v>
      </c>
      <c r="AD366" s="58" t="s">
        <v>0</v>
      </c>
      <c r="AE366" s="58" t="s">
        <v>0</v>
      </c>
      <c r="AF366" s="58"/>
      <c r="AG366" s="58"/>
      <c r="AH366" s="58"/>
      <c r="AI366" s="58" t="s">
        <v>0</v>
      </c>
      <c r="AJ366" s="58" t="s">
        <v>0</v>
      </c>
      <c r="AK366" s="1" t="s">
        <v>1255</v>
      </c>
    </row>
    <row r="367" spans="2:37">
      <c r="B367" s="68" t="s">
        <v>0</v>
      </c>
      <c r="C367" s="55" t="s">
        <v>0</v>
      </c>
      <c r="D367" s="55" t="s">
        <v>0</v>
      </c>
      <c r="E367" s="68" t="s">
        <v>0</v>
      </c>
      <c r="F367" s="59" t="s">
        <v>0</v>
      </c>
      <c r="G367" s="55" t="s">
        <v>1257</v>
      </c>
      <c r="H367" s="55" t="s">
        <v>1284</v>
      </c>
      <c r="I367" s="55" t="s">
        <v>1285</v>
      </c>
      <c r="J367" s="60" t="s">
        <v>461</v>
      </c>
      <c r="K367" s="78" t="s">
        <v>1178</v>
      </c>
      <c r="L367" s="60" t="e">
        <v>#N/A</v>
      </c>
      <c r="M367" s="55" t="s">
        <v>0</v>
      </c>
      <c r="N367" s="2"/>
      <c r="O367" s="58"/>
      <c r="P367" s="60" t="e">
        <v>#N/A</v>
      </c>
      <c r="Q367" s="60" t="e">
        <v>#N/A</v>
      </c>
      <c r="R367" s="85" t="s">
        <v>0</v>
      </c>
      <c r="S367" s="85" t="s">
        <v>0</v>
      </c>
      <c r="T367" s="61" t="s">
        <v>0</v>
      </c>
      <c r="U367" s="60" t="s">
        <v>0</v>
      </c>
      <c r="V367" s="58" t="s">
        <v>0</v>
      </c>
      <c r="W367" s="58" t="s">
        <v>0</v>
      </c>
      <c r="X367" s="58" t="s">
        <v>0</v>
      </c>
      <c r="Y367" s="58" t="s">
        <v>0</v>
      </c>
      <c r="Z367" s="58" t="s">
        <v>0</v>
      </c>
      <c r="AA367" s="58" t="s">
        <v>0</v>
      </c>
      <c r="AB367" s="58" t="s">
        <v>0</v>
      </c>
      <c r="AC367" s="58" t="s">
        <v>0</v>
      </c>
      <c r="AD367" s="58" t="s">
        <v>0</v>
      </c>
      <c r="AE367" s="58" t="s">
        <v>0</v>
      </c>
      <c r="AF367" s="58"/>
      <c r="AG367" s="58"/>
      <c r="AH367" s="58"/>
      <c r="AI367" s="58" t="s">
        <v>0</v>
      </c>
      <c r="AJ367" s="58" t="s">
        <v>0</v>
      </c>
      <c r="AK367" s="1" t="s">
        <v>1255</v>
      </c>
    </row>
    <row r="368" spans="2:37">
      <c r="B368" s="68" t="s">
        <v>0</v>
      </c>
      <c r="C368" s="55" t="s">
        <v>0</v>
      </c>
      <c r="D368" s="55" t="s">
        <v>0</v>
      </c>
      <c r="E368" s="68" t="s">
        <v>0</v>
      </c>
      <c r="F368" s="59" t="s">
        <v>0</v>
      </c>
      <c r="G368" s="55" t="s">
        <v>1262</v>
      </c>
      <c r="H368" s="55" t="s">
        <v>1284</v>
      </c>
      <c r="I368" s="55" t="s">
        <v>1285</v>
      </c>
      <c r="J368" s="60" t="s">
        <v>461</v>
      </c>
      <c r="K368" s="78" t="s">
        <v>1179</v>
      </c>
      <c r="L368" s="60" t="e">
        <v>#N/A</v>
      </c>
      <c r="M368" s="55" t="s">
        <v>0</v>
      </c>
      <c r="N368" s="2"/>
      <c r="O368" s="58"/>
      <c r="P368" s="60" t="e">
        <v>#N/A</v>
      </c>
      <c r="Q368" s="60" t="e">
        <v>#N/A</v>
      </c>
      <c r="R368" s="85" t="s">
        <v>0</v>
      </c>
      <c r="S368" s="85" t="s">
        <v>0</v>
      </c>
      <c r="T368" s="61" t="s">
        <v>0</v>
      </c>
      <c r="U368" s="60" t="s">
        <v>0</v>
      </c>
      <c r="V368" s="58" t="s">
        <v>0</v>
      </c>
      <c r="W368" s="58" t="s">
        <v>0</v>
      </c>
      <c r="X368" s="58" t="s">
        <v>0</v>
      </c>
      <c r="Y368" s="58" t="s">
        <v>0</v>
      </c>
      <c r="Z368" s="58" t="s">
        <v>0</v>
      </c>
      <c r="AA368" s="58" t="s">
        <v>0</v>
      </c>
      <c r="AB368" s="58" t="s">
        <v>0</v>
      </c>
      <c r="AC368" s="58" t="s">
        <v>0</v>
      </c>
      <c r="AD368" s="58" t="s">
        <v>0</v>
      </c>
      <c r="AE368" s="58" t="s">
        <v>0</v>
      </c>
      <c r="AF368" s="58"/>
      <c r="AG368" s="58"/>
      <c r="AH368" s="58"/>
      <c r="AI368" s="58" t="s">
        <v>0</v>
      </c>
      <c r="AJ368" s="58" t="s">
        <v>0</v>
      </c>
      <c r="AK368" s="1" t="s">
        <v>1255</v>
      </c>
    </row>
    <row r="369" spans="2:37">
      <c r="B369" s="68" t="s">
        <v>0</v>
      </c>
      <c r="C369" s="55" t="s">
        <v>0</v>
      </c>
      <c r="D369" s="55" t="s">
        <v>0</v>
      </c>
      <c r="E369" s="68" t="s">
        <v>0</v>
      </c>
      <c r="F369" s="59" t="s">
        <v>0</v>
      </c>
      <c r="G369" s="55" t="s">
        <v>1257</v>
      </c>
      <c r="H369" s="55" t="s">
        <v>1253</v>
      </c>
      <c r="I369" s="55" t="s">
        <v>460</v>
      </c>
      <c r="J369" s="60" t="s">
        <v>461</v>
      </c>
      <c r="K369" s="78" t="s">
        <v>1180</v>
      </c>
      <c r="L369" s="60" t="s">
        <v>1181</v>
      </c>
      <c r="M369" s="55" t="s">
        <v>0</v>
      </c>
      <c r="N369" s="2"/>
      <c r="O369" s="58"/>
      <c r="P369" s="60" t="s">
        <v>7</v>
      </c>
      <c r="Q369" s="60" t="s">
        <v>522</v>
      </c>
      <c r="R369" s="85" t="s">
        <v>0</v>
      </c>
      <c r="S369" s="85" t="s">
        <v>0</v>
      </c>
      <c r="T369" s="61" t="s">
        <v>0</v>
      </c>
      <c r="U369" s="60" t="s">
        <v>0</v>
      </c>
      <c r="V369" s="58" t="s">
        <v>0</v>
      </c>
      <c r="W369" s="58" t="s">
        <v>0</v>
      </c>
      <c r="X369" s="58" t="s">
        <v>0</v>
      </c>
      <c r="Y369" s="58" t="s">
        <v>0</v>
      </c>
      <c r="Z369" s="58" t="s">
        <v>471</v>
      </c>
      <c r="AA369" s="58" t="s">
        <v>0</v>
      </c>
      <c r="AB369" s="58" t="s">
        <v>0</v>
      </c>
      <c r="AC369" s="58" t="s">
        <v>0</v>
      </c>
      <c r="AD369" s="58" t="s">
        <v>0</v>
      </c>
      <c r="AE369" s="58" t="s">
        <v>0</v>
      </c>
      <c r="AF369" s="58"/>
      <c r="AG369" s="58"/>
      <c r="AH369" s="58"/>
      <c r="AI369" s="58" t="s">
        <v>0</v>
      </c>
      <c r="AJ369" s="58" t="s">
        <v>0</v>
      </c>
      <c r="AK369" s="1" t="s">
        <v>1255</v>
      </c>
    </row>
    <row r="370" spans="2:37">
      <c r="B370" s="68" t="s">
        <v>0</v>
      </c>
      <c r="C370" s="55" t="s">
        <v>0</v>
      </c>
      <c r="D370" s="55" t="s">
        <v>0</v>
      </c>
      <c r="E370" s="68" t="s">
        <v>0</v>
      </c>
      <c r="F370" s="59" t="s">
        <v>0</v>
      </c>
      <c r="G370" s="55" t="s">
        <v>1257</v>
      </c>
      <c r="H370" s="55" t="s">
        <v>1253</v>
      </c>
      <c r="I370" s="55" t="s">
        <v>462</v>
      </c>
      <c r="J370" s="60" t="s">
        <v>461</v>
      </c>
      <c r="K370" s="78" t="s">
        <v>1183</v>
      </c>
      <c r="L370" s="60" t="s">
        <v>1184</v>
      </c>
      <c r="M370" s="55" t="s">
        <v>0</v>
      </c>
      <c r="N370" s="2"/>
      <c r="O370" s="58"/>
      <c r="P370" s="60" t="s">
        <v>622</v>
      </c>
      <c r="Q370" s="60" t="s">
        <v>522</v>
      </c>
      <c r="R370" s="85" t="s">
        <v>0</v>
      </c>
      <c r="S370" s="85" t="s">
        <v>0</v>
      </c>
      <c r="T370" s="61" t="s">
        <v>0</v>
      </c>
      <c r="U370" s="60" t="s">
        <v>0</v>
      </c>
      <c r="V370" s="58" t="s">
        <v>0</v>
      </c>
      <c r="W370" s="58" t="s">
        <v>0</v>
      </c>
      <c r="X370" s="58" t="s">
        <v>0</v>
      </c>
      <c r="Y370" s="58" t="s">
        <v>0</v>
      </c>
      <c r="Z370" s="58" t="s">
        <v>472</v>
      </c>
      <c r="AA370" s="58" t="s">
        <v>0</v>
      </c>
      <c r="AB370" s="58" t="s">
        <v>0</v>
      </c>
      <c r="AC370" s="58" t="s">
        <v>0</v>
      </c>
      <c r="AD370" s="58" t="s">
        <v>0</v>
      </c>
      <c r="AE370" s="58" t="s">
        <v>0</v>
      </c>
      <c r="AF370" s="58"/>
      <c r="AG370" s="58"/>
      <c r="AH370" s="58"/>
      <c r="AI370" s="58" t="s">
        <v>0</v>
      </c>
      <c r="AJ370" s="58" t="s">
        <v>0</v>
      </c>
      <c r="AK370" s="1" t="s">
        <v>1255</v>
      </c>
    </row>
    <row r="371" spans="2:37">
      <c r="B371" s="68" t="s">
        <v>0</v>
      </c>
      <c r="C371" s="55" t="s">
        <v>0</v>
      </c>
      <c r="D371" s="55" t="s">
        <v>0</v>
      </c>
      <c r="E371" s="68" t="s">
        <v>0</v>
      </c>
      <c r="F371" s="59" t="s">
        <v>0</v>
      </c>
      <c r="G371" s="55" t="s">
        <v>1257</v>
      </c>
      <c r="H371" s="55" t="s">
        <v>1253</v>
      </c>
      <c r="I371" s="55" t="s">
        <v>462</v>
      </c>
      <c r="J371" s="60" t="s">
        <v>461</v>
      </c>
      <c r="K371" s="78" t="s">
        <v>1185</v>
      </c>
      <c r="L371" s="60" t="s">
        <v>1186</v>
      </c>
      <c r="M371" s="55" t="s">
        <v>0</v>
      </c>
      <c r="N371" s="2"/>
      <c r="O371" s="58"/>
      <c r="P371" s="60" t="s">
        <v>622</v>
      </c>
      <c r="Q371" s="60" t="s">
        <v>1224</v>
      </c>
      <c r="R371" s="85">
        <v>46031</v>
      </c>
      <c r="S371" s="85" t="s">
        <v>0</v>
      </c>
      <c r="T371" s="61" t="s">
        <v>0</v>
      </c>
      <c r="U371" s="60" t="s">
        <v>0</v>
      </c>
      <c r="V371" s="58" t="s">
        <v>0</v>
      </c>
      <c r="W371" s="58" t="s">
        <v>0</v>
      </c>
      <c r="X371" s="58" t="s">
        <v>0</v>
      </c>
      <c r="Y371" s="58" t="s">
        <v>0</v>
      </c>
      <c r="Z371" s="58" t="s">
        <v>477</v>
      </c>
      <c r="AA371" s="58" t="s">
        <v>487</v>
      </c>
      <c r="AB371" s="58" t="s">
        <v>0</v>
      </c>
      <c r="AC371" s="58" t="s">
        <v>0</v>
      </c>
      <c r="AD371" s="58" t="s">
        <v>0</v>
      </c>
      <c r="AE371" s="58" t="s">
        <v>0</v>
      </c>
      <c r="AF371" s="58"/>
      <c r="AG371" s="58"/>
      <c r="AH371" s="58"/>
      <c r="AI371" s="58" t="s">
        <v>0</v>
      </c>
      <c r="AJ371" s="58"/>
      <c r="AK371" s="1" t="s">
        <v>1255</v>
      </c>
    </row>
    <row r="372" spans="2:37">
      <c r="B372" s="68" t="s">
        <v>0</v>
      </c>
      <c r="C372" s="55" t="s">
        <v>0</v>
      </c>
      <c r="D372" s="55" t="s">
        <v>0</v>
      </c>
      <c r="E372" s="68" t="s">
        <v>0</v>
      </c>
      <c r="F372" s="59" t="s">
        <v>0</v>
      </c>
      <c r="G372" s="55" t="s">
        <v>1257</v>
      </c>
      <c r="H372" s="55" t="s">
        <v>1253</v>
      </c>
      <c r="I372" s="55" t="s">
        <v>462</v>
      </c>
      <c r="J372" s="60" t="s">
        <v>461</v>
      </c>
      <c r="K372" s="78" t="s">
        <v>1187</v>
      </c>
      <c r="L372" s="60" t="s">
        <v>1188</v>
      </c>
      <c r="M372" s="55" t="s">
        <v>0</v>
      </c>
      <c r="N372" s="2"/>
      <c r="O372" s="58"/>
      <c r="P372" s="60" t="s">
        <v>622</v>
      </c>
      <c r="Q372" s="60" t="s">
        <v>1224</v>
      </c>
      <c r="R372" s="85">
        <v>46031</v>
      </c>
      <c r="S372" s="85" t="s">
        <v>0</v>
      </c>
      <c r="T372" s="61" t="s">
        <v>0</v>
      </c>
      <c r="U372" s="60" t="s">
        <v>0</v>
      </c>
      <c r="V372" s="58" t="s">
        <v>0</v>
      </c>
      <c r="W372" s="58" t="s">
        <v>0</v>
      </c>
      <c r="X372" s="58" t="s">
        <v>0</v>
      </c>
      <c r="Y372" s="58" t="s">
        <v>0</v>
      </c>
      <c r="Z372" s="58" t="s">
        <v>471</v>
      </c>
      <c r="AA372" s="58" t="s">
        <v>487</v>
      </c>
      <c r="AB372" s="58" t="s">
        <v>0</v>
      </c>
      <c r="AC372" s="58" t="s">
        <v>0</v>
      </c>
      <c r="AD372" s="58" t="s">
        <v>0</v>
      </c>
      <c r="AE372" s="58" t="s">
        <v>0</v>
      </c>
      <c r="AF372" s="58"/>
      <c r="AG372" s="58"/>
      <c r="AH372" s="58"/>
      <c r="AI372" s="58" t="s">
        <v>0</v>
      </c>
      <c r="AJ372" s="58"/>
      <c r="AK372" s="1" t="s">
        <v>1255</v>
      </c>
    </row>
    <row r="373" spans="2:37">
      <c r="B373" s="68" t="s">
        <v>1227</v>
      </c>
      <c r="C373" s="68">
        <v>46024</v>
      </c>
      <c r="D373" s="68">
        <v>46030</v>
      </c>
      <c r="E373" s="68">
        <v>46035</v>
      </c>
      <c r="F373" s="59">
        <v>11</v>
      </c>
      <c r="G373" s="55" t="s">
        <v>1257</v>
      </c>
      <c r="H373" s="55" t="s">
        <v>1253</v>
      </c>
      <c r="I373" s="55" t="s">
        <v>460</v>
      </c>
      <c r="J373" s="60" t="s">
        <v>461</v>
      </c>
      <c r="K373" s="78" t="s">
        <v>1189</v>
      </c>
      <c r="L373" s="60" t="s">
        <v>1190</v>
      </c>
      <c r="M373" s="55" t="s">
        <v>624</v>
      </c>
      <c r="N373" s="49" t="s">
        <v>488</v>
      </c>
      <c r="O373" s="49" t="s">
        <v>489</v>
      </c>
      <c r="P373" s="60" t="s">
        <v>4</v>
      </c>
      <c r="Q373" s="60" t="s">
        <v>1225</v>
      </c>
      <c r="R373" s="85">
        <v>46027</v>
      </c>
      <c r="S373" s="85" t="s">
        <v>0</v>
      </c>
      <c r="T373" s="61" t="s">
        <v>0</v>
      </c>
      <c r="U373" s="60" t="s">
        <v>0</v>
      </c>
      <c r="V373" s="58" t="s">
        <v>0</v>
      </c>
      <c r="W373" s="58" t="s">
        <v>0</v>
      </c>
      <c r="X373" s="58" t="s">
        <v>0</v>
      </c>
      <c r="Y373" s="58" t="s">
        <v>0</v>
      </c>
      <c r="Z373" s="54" t="s">
        <v>472</v>
      </c>
      <c r="AA373" s="54" t="s">
        <v>471</v>
      </c>
      <c r="AB373" s="54" t="s">
        <v>487</v>
      </c>
      <c r="AC373" s="58" t="s">
        <v>0</v>
      </c>
      <c r="AD373" s="58" t="s">
        <v>0</v>
      </c>
      <c r="AE373" s="58" t="s">
        <v>0</v>
      </c>
      <c r="AF373" s="58"/>
      <c r="AG373" s="58"/>
      <c r="AH373" s="58"/>
      <c r="AI373" s="58" t="s">
        <v>0</v>
      </c>
      <c r="AJ373" s="58"/>
      <c r="AK373" s="1" t="s">
        <v>1255</v>
      </c>
    </row>
    <row r="374" spans="2:37">
      <c r="B374" s="68" t="s">
        <v>1272</v>
      </c>
      <c r="C374" s="68">
        <v>46030</v>
      </c>
      <c r="D374" s="68">
        <v>46043</v>
      </c>
      <c r="E374" s="68">
        <v>46045</v>
      </c>
      <c r="F374" s="59">
        <v>15</v>
      </c>
      <c r="G374" s="55" t="s">
        <v>1257</v>
      </c>
      <c r="H374" s="55" t="s">
        <v>1253</v>
      </c>
      <c r="I374" s="55" t="s">
        <v>460</v>
      </c>
      <c r="J374" s="60" t="s">
        <v>461</v>
      </c>
      <c r="K374" s="78" t="s">
        <v>1191</v>
      </c>
      <c r="L374" s="60" t="s">
        <v>1192</v>
      </c>
      <c r="M374" s="55" t="s">
        <v>624</v>
      </c>
      <c r="N374" s="49" t="s">
        <v>488</v>
      </c>
      <c r="O374" s="49" t="s">
        <v>489</v>
      </c>
      <c r="P374" s="60" t="s">
        <v>6</v>
      </c>
      <c r="Q374" s="60" t="s">
        <v>1224</v>
      </c>
      <c r="R374" s="85">
        <v>46029</v>
      </c>
      <c r="S374" s="85" t="s">
        <v>0</v>
      </c>
      <c r="T374" s="61" t="s">
        <v>0</v>
      </c>
      <c r="U374" s="60" t="s">
        <v>0</v>
      </c>
      <c r="V374" s="58" t="s">
        <v>0</v>
      </c>
      <c r="W374" s="58" t="s">
        <v>0</v>
      </c>
      <c r="X374" s="58" t="s">
        <v>0</v>
      </c>
      <c r="Y374" s="58" t="s">
        <v>0</v>
      </c>
      <c r="Z374" s="54" t="s">
        <v>487</v>
      </c>
      <c r="AA374" s="58" t="s">
        <v>0</v>
      </c>
      <c r="AB374" s="58" t="s">
        <v>0</v>
      </c>
      <c r="AC374" s="58" t="s">
        <v>0</v>
      </c>
      <c r="AD374" s="58" t="s">
        <v>0</v>
      </c>
      <c r="AE374" s="58" t="s">
        <v>0</v>
      </c>
      <c r="AF374" s="58"/>
      <c r="AG374" s="58"/>
      <c r="AH374" s="58"/>
      <c r="AI374" s="58" t="s">
        <v>0</v>
      </c>
      <c r="AJ374" s="58"/>
      <c r="AK374" s="1" t="s">
        <v>1255</v>
      </c>
    </row>
    <row r="375" spans="2:37">
      <c r="B375" s="68" t="s">
        <v>1287</v>
      </c>
      <c r="C375" s="55">
        <v>46049</v>
      </c>
      <c r="D375" s="55">
        <v>0</v>
      </c>
      <c r="E375" s="68">
        <v>0</v>
      </c>
      <c r="F375" s="59">
        <v>-46049</v>
      </c>
      <c r="G375" s="55" t="s">
        <v>1262</v>
      </c>
      <c r="H375" s="55" t="s">
        <v>1253</v>
      </c>
      <c r="I375" s="55" t="s">
        <v>460</v>
      </c>
      <c r="J375" s="60" t="s">
        <v>461</v>
      </c>
      <c r="K375" s="78" t="s">
        <v>1193</v>
      </c>
      <c r="L375" s="60" t="s">
        <v>1194</v>
      </c>
      <c r="M375" s="55" t="s">
        <v>1288</v>
      </c>
      <c r="N375" s="49" t="s">
        <v>488</v>
      </c>
      <c r="O375" s="49" t="s">
        <v>489</v>
      </c>
      <c r="P375" s="60" t="s">
        <v>379</v>
      </c>
      <c r="Q375" s="60" t="s">
        <v>522</v>
      </c>
      <c r="R375" s="85" t="s">
        <v>0</v>
      </c>
      <c r="S375" s="85" t="s">
        <v>0</v>
      </c>
      <c r="T375" s="61" t="s">
        <v>0</v>
      </c>
      <c r="U375" s="60" t="s">
        <v>0</v>
      </c>
      <c r="V375" s="58" t="s">
        <v>0</v>
      </c>
      <c r="W375" s="58" t="s">
        <v>0</v>
      </c>
      <c r="X375" s="58" t="s">
        <v>0</v>
      </c>
      <c r="Y375" s="58" t="s">
        <v>0</v>
      </c>
      <c r="Z375" s="54" t="s">
        <v>507</v>
      </c>
      <c r="AA375" s="54" t="s">
        <v>508</v>
      </c>
      <c r="AB375" s="58" t="s">
        <v>0</v>
      </c>
      <c r="AC375" s="58" t="s">
        <v>0</v>
      </c>
      <c r="AD375" s="58" t="s">
        <v>0</v>
      </c>
      <c r="AE375" s="58" t="s">
        <v>0</v>
      </c>
      <c r="AF375" s="58"/>
      <c r="AG375" s="58"/>
      <c r="AH375" s="58"/>
      <c r="AI375" s="58" t="s">
        <v>0</v>
      </c>
      <c r="AJ375" s="58">
        <v>-46049</v>
      </c>
      <c r="AK375" s="1" t="s">
        <v>1255</v>
      </c>
    </row>
    <row r="376" spans="2:37">
      <c r="B376" s="68" t="s">
        <v>1272</v>
      </c>
      <c r="C376" s="68">
        <v>46030</v>
      </c>
      <c r="D376" s="68">
        <v>46043</v>
      </c>
      <c r="E376" s="68">
        <v>46045</v>
      </c>
      <c r="F376" s="59">
        <v>15</v>
      </c>
      <c r="G376" s="55" t="s">
        <v>1257</v>
      </c>
      <c r="H376" s="55" t="s">
        <v>1253</v>
      </c>
      <c r="I376" s="55" t="s">
        <v>460</v>
      </c>
      <c r="J376" s="60" t="s">
        <v>461</v>
      </c>
      <c r="K376" s="78" t="s">
        <v>1195</v>
      </c>
      <c r="L376" s="60" t="s">
        <v>1196</v>
      </c>
      <c r="M376" s="55" t="s">
        <v>624</v>
      </c>
      <c r="N376" s="49" t="s">
        <v>488</v>
      </c>
      <c r="O376" s="49" t="s">
        <v>489</v>
      </c>
      <c r="P376" s="60" t="s">
        <v>6</v>
      </c>
      <c r="Q376" s="60" t="s">
        <v>1224</v>
      </c>
      <c r="R376" s="85">
        <v>46029</v>
      </c>
      <c r="S376" s="85" t="s">
        <v>0</v>
      </c>
      <c r="T376" s="61" t="s">
        <v>0</v>
      </c>
      <c r="U376" s="60" t="s">
        <v>0</v>
      </c>
      <c r="V376" s="58" t="s">
        <v>0</v>
      </c>
      <c r="W376" s="58" t="s">
        <v>0</v>
      </c>
      <c r="X376" s="58" t="s">
        <v>0</v>
      </c>
      <c r="Y376" s="58" t="s">
        <v>0</v>
      </c>
      <c r="Z376" s="54" t="s">
        <v>464</v>
      </c>
      <c r="AA376" s="58" t="s">
        <v>0</v>
      </c>
      <c r="AB376" s="58" t="s">
        <v>0</v>
      </c>
      <c r="AC376" s="58" t="s">
        <v>0</v>
      </c>
      <c r="AD376" s="58" t="s">
        <v>0</v>
      </c>
      <c r="AE376" s="58" t="s">
        <v>0</v>
      </c>
      <c r="AF376" s="58"/>
      <c r="AG376" s="58"/>
      <c r="AH376" s="58"/>
      <c r="AI376" s="58" t="s">
        <v>0</v>
      </c>
      <c r="AJ376" s="58"/>
      <c r="AK376" s="1" t="s">
        <v>1255</v>
      </c>
    </row>
    <row r="377" spans="2:37">
      <c r="B377" s="68" t="s">
        <v>1272</v>
      </c>
      <c r="C377" s="68">
        <v>46030</v>
      </c>
      <c r="D377" s="68">
        <v>46043</v>
      </c>
      <c r="E377" s="68">
        <v>46045</v>
      </c>
      <c r="F377" s="59">
        <v>15</v>
      </c>
      <c r="G377" s="55" t="s">
        <v>1257</v>
      </c>
      <c r="H377" s="55" t="s">
        <v>1253</v>
      </c>
      <c r="I377" s="55" t="s">
        <v>460</v>
      </c>
      <c r="J377" s="60" t="s">
        <v>461</v>
      </c>
      <c r="K377" s="78" t="s">
        <v>1197</v>
      </c>
      <c r="L377" s="60" t="s">
        <v>1198</v>
      </c>
      <c r="M377" s="55" t="s">
        <v>624</v>
      </c>
      <c r="N377" s="49" t="s">
        <v>488</v>
      </c>
      <c r="O377" s="49" t="s">
        <v>489</v>
      </c>
      <c r="P377" s="60" t="s">
        <v>6</v>
      </c>
      <c r="Q377" s="60" t="s">
        <v>1224</v>
      </c>
      <c r="R377" s="85">
        <v>46029</v>
      </c>
      <c r="S377" s="85" t="s">
        <v>0</v>
      </c>
      <c r="T377" s="61" t="s">
        <v>0</v>
      </c>
      <c r="U377" s="60" t="s">
        <v>0</v>
      </c>
      <c r="V377" s="58" t="s">
        <v>0</v>
      </c>
      <c r="W377" s="58" t="s">
        <v>0</v>
      </c>
      <c r="X377" s="58" t="s">
        <v>0</v>
      </c>
      <c r="Y377" s="58" t="s">
        <v>0</v>
      </c>
      <c r="Z377" s="54" t="s">
        <v>483</v>
      </c>
      <c r="AA377" s="58" t="s">
        <v>0</v>
      </c>
      <c r="AB377" s="58" t="s">
        <v>0</v>
      </c>
      <c r="AC377" s="58" t="s">
        <v>0</v>
      </c>
      <c r="AD377" s="58" t="s">
        <v>0</v>
      </c>
      <c r="AE377" s="58" t="s">
        <v>0</v>
      </c>
      <c r="AF377" s="58"/>
      <c r="AG377" s="58"/>
      <c r="AH377" s="58"/>
      <c r="AI377" s="58" t="s">
        <v>0</v>
      </c>
      <c r="AJ377" s="58"/>
      <c r="AK377" s="1" t="s">
        <v>1255</v>
      </c>
    </row>
    <row r="378" spans="2:37">
      <c r="B378" s="68" t="s">
        <v>1272</v>
      </c>
      <c r="C378" s="68">
        <v>46030</v>
      </c>
      <c r="D378" s="68">
        <v>46043</v>
      </c>
      <c r="E378" s="68">
        <v>46045</v>
      </c>
      <c r="F378" s="59">
        <v>15</v>
      </c>
      <c r="G378" s="55" t="s">
        <v>1257</v>
      </c>
      <c r="H378" s="55" t="s">
        <v>1253</v>
      </c>
      <c r="I378" s="55" t="s">
        <v>460</v>
      </c>
      <c r="J378" s="60" t="s">
        <v>461</v>
      </c>
      <c r="K378" s="78" t="s">
        <v>1199</v>
      </c>
      <c r="L378" s="60" t="s">
        <v>1200</v>
      </c>
      <c r="M378" s="55" t="s">
        <v>624</v>
      </c>
      <c r="N378" s="49" t="s">
        <v>488</v>
      </c>
      <c r="O378" s="49" t="s">
        <v>489</v>
      </c>
      <c r="P378" s="60" t="s">
        <v>6</v>
      </c>
      <c r="Q378" s="60" t="s">
        <v>1224</v>
      </c>
      <c r="R378" s="85">
        <v>46029</v>
      </c>
      <c r="S378" s="85" t="s">
        <v>0</v>
      </c>
      <c r="T378" s="61" t="s">
        <v>0</v>
      </c>
      <c r="U378" s="60" t="s">
        <v>0</v>
      </c>
      <c r="V378" s="58" t="s">
        <v>0</v>
      </c>
      <c r="W378" s="58" t="s">
        <v>0</v>
      </c>
      <c r="X378" s="58" t="s">
        <v>0</v>
      </c>
      <c r="Y378" s="58" t="s">
        <v>0</v>
      </c>
      <c r="Z378" s="54" t="s">
        <v>483</v>
      </c>
      <c r="AA378" s="58" t="s">
        <v>0</v>
      </c>
      <c r="AB378" s="58" t="s">
        <v>0</v>
      </c>
      <c r="AC378" s="58" t="s">
        <v>0</v>
      </c>
      <c r="AD378" s="58" t="s">
        <v>0</v>
      </c>
      <c r="AE378" s="58" t="s">
        <v>0</v>
      </c>
      <c r="AF378" s="58"/>
      <c r="AG378" s="58"/>
      <c r="AH378" s="58"/>
      <c r="AI378" s="58" t="s">
        <v>0</v>
      </c>
      <c r="AJ378" s="58"/>
      <c r="AK378" s="1" t="s">
        <v>1255</v>
      </c>
    </row>
    <row r="379" spans="2:37">
      <c r="B379" s="68" t="s">
        <v>1272</v>
      </c>
      <c r="C379" s="68">
        <v>46030</v>
      </c>
      <c r="D379" s="68">
        <v>46043</v>
      </c>
      <c r="E379" s="68">
        <v>46045</v>
      </c>
      <c r="F379" s="59">
        <v>15</v>
      </c>
      <c r="G379" s="55" t="s">
        <v>1257</v>
      </c>
      <c r="H379" s="55" t="s">
        <v>1253</v>
      </c>
      <c r="I379" s="55" t="s">
        <v>460</v>
      </c>
      <c r="J379" s="60" t="s">
        <v>461</v>
      </c>
      <c r="K379" s="78" t="s">
        <v>1201</v>
      </c>
      <c r="L379" s="60" t="s">
        <v>1202</v>
      </c>
      <c r="M379" s="55" t="s">
        <v>624</v>
      </c>
      <c r="N379" s="49" t="s">
        <v>488</v>
      </c>
      <c r="O379" s="49" t="s">
        <v>489</v>
      </c>
      <c r="P379" s="60" t="s">
        <v>7</v>
      </c>
      <c r="Q379" s="60" t="s">
        <v>1224</v>
      </c>
      <c r="R379" s="85">
        <v>46029</v>
      </c>
      <c r="S379" s="85" t="s">
        <v>0</v>
      </c>
      <c r="T379" s="61" t="s">
        <v>0</v>
      </c>
      <c r="U379" s="60" t="s">
        <v>0</v>
      </c>
      <c r="V379" s="58" t="s">
        <v>0</v>
      </c>
      <c r="W379" s="58" t="s">
        <v>0</v>
      </c>
      <c r="X379" s="58" t="s">
        <v>0</v>
      </c>
      <c r="Y379" s="58" t="s">
        <v>0</v>
      </c>
      <c r="Z379" s="54" t="s">
        <v>465</v>
      </c>
      <c r="AA379" s="54" t="s">
        <v>485</v>
      </c>
      <c r="AB379" s="58" t="s">
        <v>0</v>
      </c>
      <c r="AC379" s="58" t="s">
        <v>0</v>
      </c>
      <c r="AD379" s="58" t="s">
        <v>0</v>
      </c>
      <c r="AE379" s="58" t="s">
        <v>0</v>
      </c>
      <c r="AF379" s="58"/>
      <c r="AG379" s="58"/>
      <c r="AH379" s="58"/>
      <c r="AI379" s="58" t="s">
        <v>0</v>
      </c>
      <c r="AJ379" s="58"/>
      <c r="AK379" s="1" t="s">
        <v>1255</v>
      </c>
    </row>
    <row r="380" spans="2:37">
      <c r="B380" s="68" t="s">
        <v>1272</v>
      </c>
      <c r="C380" s="68">
        <v>46030</v>
      </c>
      <c r="D380" s="68">
        <v>46043</v>
      </c>
      <c r="E380" s="68">
        <v>46044</v>
      </c>
      <c r="F380" s="59">
        <v>14</v>
      </c>
      <c r="G380" s="55" t="s">
        <v>1257</v>
      </c>
      <c r="H380" s="55" t="s">
        <v>1253</v>
      </c>
      <c r="I380" s="55" t="s">
        <v>460</v>
      </c>
      <c r="J380" s="60" t="s">
        <v>461</v>
      </c>
      <c r="K380" s="78" t="s">
        <v>1203</v>
      </c>
      <c r="L380" s="60" t="s">
        <v>1204</v>
      </c>
      <c r="M380" s="55" t="s">
        <v>624</v>
      </c>
      <c r="N380" s="49" t="s">
        <v>488</v>
      </c>
      <c r="O380" s="49" t="s">
        <v>489</v>
      </c>
      <c r="P380" s="60" t="s">
        <v>6</v>
      </c>
      <c r="Q380" s="60" t="s">
        <v>1224</v>
      </c>
      <c r="R380" s="85" t="s">
        <v>0</v>
      </c>
      <c r="S380" s="85" t="s">
        <v>0</v>
      </c>
      <c r="T380" s="61" t="s">
        <v>0</v>
      </c>
      <c r="U380" s="60" t="s">
        <v>0</v>
      </c>
      <c r="V380" s="58" t="s">
        <v>0</v>
      </c>
      <c r="W380" s="58" t="s">
        <v>0</v>
      </c>
      <c r="X380" s="58" t="s">
        <v>0</v>
      </c>
      <c r="Y380" s="58" t="s">
        <v>0</v>
      </c>
      <c r="Z380" s="54" t="s">
        <v>508</v>
      </c>
      <c r="AA380" s="54" t="s">
        <v>487</v>
      </c>
      <c r="AB380" s="58" t="s">
        <v>0</v>
      </c>
      <c r="AC380" s="58" t="s">
        <v>0</v>
      </c>
      <c r="AD380" s="58" t="s">
        <v>0</v>
      </c>
      <c r="AE380" s="58" t="s">
        <v>0</v>
      </c>
      <c r="AF380" s="58"/>
      <c r="AG380" s="58"/>
      <c r="AH380" s="58"/>
      <c r="AI380" s="58" t="s">
        <v>0</v>
      </c>
      <c r="AJ380" s="58"/>
      <c r="AK380" s="1" t="s">
        <v>1255</v>
      </c>
    </row>
    <row r="381" spans="2:37">
      <c r="B381" s="68" t="s">
        <v>1278</v>
      </c>
      <c r="C381" s="68">
        <v>46036</v>
      </c>
      <c r="D381" s="68">
        <v>0</v>
      </c>
      <c r="E381" s="68">
        <v>0</v>
      </c>
      <c r="F381" s="59">
        <v>-46036</v>
      </c>
      <c r="G381" s="55" t="s">
        <v>1257</v>
      </c>
      <c r="H381" s="55" t="s">
        <v>1253</v>
      </c>
      <c r="I381" s="55" t="s">
        <v>460</v>
      </c>
      <c r="J381" s="60" t="s">
        <v>461</v>
      </c>
      <c r="K381" s="78" t="s">
        <v>1205</v>
      </c>
      <c r="L381" s="60" t="s">
        <v>1206</v>
      </c>
      <c r="M381" s="55" t="s">
        <v>624</v>
      </c>
      <c r="N381" s="49" t="s">
        <v>488</v>
      </c>
      <c r="O381" s="49" t="s">
        <v>489</v>
      </c>
      <c r="P381" s="60" t="s">
        <v>6</v>
      </c>
      <c r="Q381" s="60" t="s">
        <v>1250</v>
      </c>
      <c r="R381" s="85" t="s">
        <v>0</v>
      </c>
      <c r="S381" s="85" t="s">
        <v>0</v>
      </c>
      <c r="T381" s="61" t="s">
        <v>0</v>
      </c>
      <c r="U381" s="60" t="s">
        <v>0</v>
      </c>
      <c r="V381" s="58" t="s">
        <v>0</v>
      </c>
      <c r="W381" s="58" t="s">
        <v>0</v>
      </c>
      <c r="X381" s="58" t="s">
        <v>0</v>
      </c>
      <c r="Y381" s="58" t="s">
        <v>0</v>
      </c>
      <c r="Z381" s="54" t="s">
        <v>464</v>
      </c>
      <c r="AA381" s="58" t="s">
        <v>0</v>
      </c>
      <c r="AB381" s="58" t="s">
        <v>0</v>
      </c>
      <c r="AC381" s="58" t="s">
        <v>0</v>
      </c>
      <c r="AD381" s="58" t="s">
        <v>0</v>
      </c>
      <c r="AE381" s="58" t="s">
        <v>0</v>
      </c>
      <c r="AF381" s="58"/>
      <c r="AG381" s="58"/>
      <c r="AH381" s="58"/>
      <c r="AI381" s="58" t="s">
        <v>0</v>
      </c>
      <c r="AJ381" s="58">
        <v>-46036</v>
      </c>
      <c r="AK381" s="1" t="s">
        <v>1255</v>
      </c>
    </row>
    <row r="382" spans="2:37">
      <c r="B382" s="68" t="s">
        <v>0</v>
      </c>
      <c r="C382" s="55" t="s">
        <v>0</v>
      </c>
      <c r="D382" s="55" t="s">
        <v>0</v>
      </c>
      <c r="E382" s="68" t="s">
        <v>0</v>
      </c>
      <c r="F382" s="59" t="s">
        <v>0</v>
      </c>
      <c r="G382" s="55" t="s">
        <v>1257</v>
      </c>
      <c r="H382" s="55" t="s">
        <v>1266</v>
      </c>
      <c r="I382" s="55" t="s">
        <v>1267</v>
      </c>
      <c r="J382" s="60" t="s">
        <v>461</v>
      </c>
      <c r="K382" s="78" t="s">
        <v>1207</v>
      </c>
      <c r="L382" s="60" t="s">
        <v>1208</v>
      </c>
      <c r="M382" s="55" t="s">
        <v>0</v>
      </c>
      <c r="N382" s="2"/>
      <c r="O382" s="58"/>
      <c r="P382" s="60" t="s">
        <v>379</v>
      </c>
      <c r="Q382" s="60" t="s">
        <v>522</v>
      </c>
      <c r="R382" s="85" t="s">
        <v>0</v>
      </c>
      <c r="S382" s="85" t="s">
        <v>0</v>
      </c>
      <c r="T382" s="61" t="s">
        <v>0</v>
      </c>
      <c r="U382" s="60" t="s">
        <v>0</v>
      </c>
      <c r="V382" s="58" t="s">
        <v>0</v>
      </c>
      <c r="W382" s="58" t="s">
        <v>0</v>
      </c>
      <c r="X382" s="58" t="s">
        <v>0</v>
      </c>
      <c r="Y382" s="58" t="s">
        <v>0</v>
      </c>
      <c r="Z382" s="58" t="s">
        <v>470</v>
      </c>
      <c r="AA382" s="58" t="s">
        <v>464</v>
      </c>
      <c r="AB382" s="58" t="s">
        <v>0</v>
      </c>
      <c r="AC382" s="58" t="s">
        <v>0</v>
      </c>
      <c r="AD382" s="58" t="s">
        <v>0</v>
      </c>
      <c r="AE382" s="58" t="s">
        <v>0</v>
      </c>
      <c r="AF382" s="58"/>
      <c r="AG382" s="58"/>
      <c r="AH382" s="58"/>
      <c r="AI382" s="58" t="s">
        <v>0</v>
      </c>
      <c r="AJ382" s="58" t="s">
        <v>0</v>
      </c>
      <c r="AK382" s="1" t="s">
        <v>1255</v>
      </c>
    </row>
    <row r="383" spans="2:37">
      <c r="B383" s="68" t="s">
        <v>0</v>
      </c>
      <c r="C383" s="55" t="s">
        <v>0</v>
      </c>
      <c r="D383" s="55" t="s">
        <v>0</v>
      </c>
      <c r="E383" s="68" t="s">
        <v>0</v>
      </c>
      <c r="F383" s="59" t="s">
        <v>0</v>
      </c>
      <c r="G383" s="55" t="s">
        <v>1257</v>
      </c>
      <c r="H383" s="55" t="s">
        <v>1266</v>
      </c>
      <c r="I383" s="55" t="s">
        <v>1271</v>
      </c>
      <c r="J383" s="60" t="s">
        <v>461</v>
      </c>
      <c r="K383" s="78" t="s">
        <v>1209</v>
      </c>
      <c r="L383" s="60" t="s">
        <v>1210</v>
      </c>
      <c r="M383" s="55" t="s">
        <v>0</v>
      </c>
      <c r="N383" s="2"/>
      <c r="O383" s="58"/>
      <c r="P383" s="60" t="s">
        <v>9</v>
      </c>
      <c r="Q383" s="60" t="s">
        <v>522</v>
      </c>
      <c r="R383" s="85" t="s">
        <v>0</v>
      </c>
      <c r="S383" s="85" t="s">
        <v>0</v>
      </c>
      <c r="T383" s="61" t="s">
        <v>0</v>
      </c>
      <c r="U383" s="60" t="s">
        <v>0</v>
      </c>
      <c r="V383" s="58" t="s">
        <v>0</v>
      </c>
      <c r="W383" s="58" t="s">
        <v>0</v>
      </c>
      <c r="X383" s="58" t="s">
        <v>0</v>
      </c>
      <c r="Y383" s="58" t="s">
        <v>0</v>
      </c>
      <c r="Z383" s="58" t="s">
        <v>472</v>
      </c>
      <c r="AA383" s="58" t="s">
        <v>0</v>
      </c>
      <c r="AB383" s="58" t="s">
        <v>0</v>
      </c>
      <c r="AC383" s="58" t="s">
        <v>0</v>
      </c>
      <c r="AD383" s="58" t="s">
        <v>0</v>
      </c>
      <c r="AE383" s="58" t="s">
        <v>0</v>
      </c>
      <c r="AF383" s="58"/>
      <c r="AG383" s="58"/>
      <c r="AH383" s="58"/>
      <c r="AI383" s="58" t="s">
        <v>0</v>
      </c>
      <c r="AJ383" s="58" t="s">
        <v>0</v>
      </c>
      <c r="AK383" s="1" t="s">
        <v>1255</v>
      </c>
    </row>
    <row r="384" spans="2:37">
      <c r="B384" s="68" t="s">
        <v>0</v>
      </c>
      <c r="C384" s="55" t="s">
        <v>0</v>
      </c>
      <c r="D384" s="55" t="s">
        <v>0</v>
      </c>
      <c r="E384" s="68" t="s">
        <v>0</v>
      </c>
      <c r="F384" s="59" t="s">
        <v>0</v>
      </c>
      <c r="G384" s="55" t="s">
        <v>1257</v>
      </c>
      <c r="H384" s="55" t="s">
        <v>1266</v>
      </c>
      <c r="I384" s="55" t="s">
        <v>462</v>
      </c>
      <c r="J384" s="60" t="s">
        <v>461</v>
      </c>
      <c r="K384" s="78" t="s">
        <v>1211</v>
      </c>
      <c r="L384" s="60" t="s">
        <v>1212</v>
      </c>
      <c r="M384" s="55" t="s">
        <v>0</v>
      </c>
      <c r="N384" s="2"/>
      <c r="O384" s="58"/>
      <c r="P384" s="60" t="s">
        <v>379</v>
      </c>
      <c r="Q384" s="60" t="s">
        <v>522</v>
      </c>
      <c r="R384" s="85" t="s">
        <v>0</v>
      </c>
      <c r="S384" s="85" t="s">
        <v>0</v>
      </c>
      <c r="T384" s="61" t="s">
        <v>0</v>
      </c>
      <c r="U384" s="60" t="s">
        <v>0</v>
      </c>
      <c r="V384" s="58" t="s">
        <v>0</v>
      </c>
      <c r="W384" s="58" t="s">
        <v>0</v>
      </c>
      <c r="X384" s="58" t="s">
        <v>0</v>
      </c>
      <c r="Y384" s="58" t="s">
        <v>0</v>
      </c>
      <c r="Z384" s="58" t="s">
        <v>468</v>
      </c>
      <c r="AA384" s="58" t="s">
        <v>464</v>
      </c>
      <c r="AB384" s="58" t="s">
        <v>0</v>
      </c>
      <c r="AC384" s="58" t="s">
        <v>0</v>
      </c>
      <c r="AD384" s="58" t="s">
        <v>0</v>
      </c>
      <c r="AE384" s="58" t="s">
        <v>0</v>
      </c>
      <c r="AF384" s="58"/>
      <c r="AG384" s="58"/>
      <c r="AH384" s="58"/>
      <c r="AI384" s="58" t="s">
        <v>0</v>
      </c>
      <c r="AJ384" s="58" t="s">
        <v>0</v>
      </c>
      <c r="AK384" s="1" t="s">
        <v>1255</v>
      </c>
    </row>
    <row r="385" spans="2:37">
      <c r="B385" s="68" t="s">
        <v>1263</v>
      </c>
      <c r="C385" s="68">
        <v>46031</v>
      </c>
      <c r="D385" s="68">
        <v>0</v>
      </c>
      <c r="E385" s="68">
        <v>0</v>
      </c>
      <c r="F385" s="59">
        <v>-46031</v>
      </c>
      <c r="G385" s="55" t="s">
        <v>1257</v>
      </c>
      <c r="H385" s="55" t="s">
        <v>1266</v>
      </c>
      <c r="I385" s="55" t="s">
        <v>462</v>
      </c>
      <c r="J385" s="60" t="s">
        <v>461</v>
      </c>
      <c r="K385" s="78" t="s">
        <v>1213</v>
      </c>
      <c r="L385" s="60" t="s">
        <v>1214</v>
      </c>
      <c r="M385" s="55" t="s">
        <v>624</v>
      </c>
      <c r="N385" s="49" t="s">
        <v>488</v>
      </c>
      <c r="O385" s="49" t="s">
        <v>489</v>
      </c>
      <c r="P385" s="60" t="s">
        <v>5</v>
      </c>
      <c r="Q385" s="60" t="s">
        <v>1249</v>
      </c>
      <c r="R385" s="85" t="s">
        <v>0</v>
      </c>
      <c r="S385" s="85" t="s">
        <v>0</v>
      </c>
      <c r="T385" s="61" t="s">
        <v>0</v>
      </c>
      <c r="U385" s="60" t="s">
        <v>0</v>
      </c>
      <c r="V385" s="58" t="s">
        <v>0</v>
      </c>
      <c r="W385" s="58" t="s">
        <v>0</v>
      </c>
      <c r="X385" s="58" t="s">
        <v>0</v>
      </c>
      <c r="Y385" s="58" t="s">
        <v>0</v>
      </c>
      <c r="Z385" s="54" t="s">
        <v>476</v>
      </c>
      <c r="AA385" s="54" t="s">
        <v>487</v>
      </c>
      <c r="AB385" s="58" t="s">
        <v>0</v>
      </c>
      <c r="AC385" s="58" t="s">
        <v>0</v>
      </c>
      <c r="AD385" s="58" t="s">
        <v>0</v>
      </c>
      <c r="AE385" s="58" t="s">
        <v>0</v>
      </c>
      <c r="AF385" s="58"/>
      <c r="AG385" s="58"/>
      <c r="AH385" s="58"/>
      <c r="AI385" s="58" t="s">
        <v>0</v>
      </c>
      <c r="AJ385" s="58"/>
      <c r="AK385" s="1" t="s">
        <v>1255</v>
      </c>
    </row>
    <row r="386" spans="2:37">
      <c r="B386" s="68" t="s">
        <v>1280</v>
      </c>
      <c r="C386" s="68">
        <v>46034</v>
      </c>
      <c r="D386" s="68">
        <v>46037</v>
      </c>
      <c r="E386" s="68">
        <v>46042</v>
      </c>
      <c r="F386" s="59">
        <v>8</v>
      </c>
      <c r="G386" s="55" t="s">
        <v>1262</v>
      </c>
      <c r="H386" s="55" t="s">
        <v>1266</v>
      </c>
      <c r="I386" s="55" t="s">
        <v>462</v>
      </c>
      <c r="J386" s="60" t="s">
        <v>461</v>
      </c>
      <c r="K386" s="78" t="s">
        <v>1215</v>
      </c>
      <c r="L386" s="60" t="s">
        <v>1216</v>
      </c>
      <c r="M386" s="55" t="s">
        <v>624</v>
      </c>
      <c r="N386" s="49" t="s">
        <v>488</v>
      </c>
      <c r="O386" s="49" t="s">
        <v>489</v>
      </c>
      <c r="P386" s="60" t="s">
        <v>6</v>
      </c>
      <c r="Q386" s="60" t="s">
        <v>1249</v>
      </c>
      <c r="R386" s="85" t="s">
        <v>0</v>
      </c>
      <c r="S386" s="85" t="s">
        <v>0</v>
      </c>
      <c r="T386" s="61" t="s">
        <v>0</v>
      </c>
      <c r="U386" s="60" t="s">
        <v>0</v>
      </c>
      <c r="V386" s="58" t="s">
        <v>0</v>
      </c>
      <c r="W386" s="58" t="s">
        <v>0</v>
      </c>
      <c r="X386" s="58" t="s">
        <v>0</v>
      </c>
      <c r="Y386" s="58" t="s">
        <v>0</v>
      </c>
      <c r="Z386" s="54" t="s">
        <v>471</v>
      </c>
      <c r="AA386" s="54" t="s">
        <v>464</v>
      </c>
      <c r="AB386" s="58" t="s">
        <v>520</v>
      </c>
      <c r="AC386" s="58" t="s">
        <v>0</v>
      </c>
      <c r="AD386" s="58" t="s">
        <v>0</v>
      </c>
      <c r="AE386" s="58" t="s">
        <v>0</v>
      </c>
      <c r="AF386" s="58"/>
      <c r="AG386" s="58"/>
      <c r="AH386" s="58"/>
      <c r="AI386" s="58" t="s">
        <v>0</v>
      </c>
      <c r="AJ386" s="58"/>
      <c r="AK386" s="1" t="s">
        <v>1255</v>
      </c>
    </row>
    <row r="387" spans="2:37">
      <c r="B387" s="68" t="s">
        <v>0</v>
      </c>
      <c r="C387" s="55" t="s">
        <v>0</v>
      </c>
      <c r="D387" s="55" t="s">
        <v>0</v>
      </c>
      <c r="E387" s="68" t="s">
        <v>0</v>
      </c>
      <c r="F387" s="59" t="s">
        <v>0</v>
      </c>
      <c r="G387" s="55" t="s">
        <v>1257</v>
      </c>
      <c r="H387" s="55" t="s">
        <v>1281</v>
      </c>
      <c r="I387" s="55" t="s">
        <v>1283</v>
      </c>
      <c r="J387" s="60" t="s">
        <v>461</v>
      </c>
      <c r="K387" s="76" t="s">
        <v>1229</v>
      </c>
      <c r="L387" s="60" t="e">
        <v>#N/A</v>
      </c>
      <c r="M387" s="55" t="s">
        <v>0</v>
      </c>
      <c r="N387" s="2"/>
      <c r="O387" s="58"/>
      <c r="P387" s="60" t="e">
        <v>#N/A</v>
      </c>
      <c r="Q387" s="60" t="e">
        <v>#N/A</v>
      </c>
      <c r="R387" s="85" t="s">
        <v>0</v>
      </c>
      <c r="S387" s="85" t="s">
        <v>0</v>
      </c>
      <c r="T387" s="61" t="s">
        <v>0</v>
      </c>
      <c r="U387" s="60" t="s">
        <v>0</v>
      </c>
      <c r="V387" s="58" t="s">
        <v>0</v>
      </c>
      <c r="W387" s="58" t="s">
        <v>0</v>
      </c>
      <c r="X387" s="58" t="s">
        <v>0</v>
      </c>
      <c r="Y387" s="58" t="s">
        <v>0</v>
      </c>
      <c r="Z387" s="58" t="s">
        <v>0</v>
      </c>
      <c r="AA387" s="58" t="s">
        <v>0</v>
      </c>
      <c r="AB387" s="58" t="s">
        <v>0</v>
      </c>
      <c r="AC387" s="58" t="s">
        <v>0</v>
      </c>
      <c r="AD387" s="58" t="s">
        <v>0</v>
      </c>
      <c r="AE387" s="58" t="s">
        <v>0</v>
      </c>
      <c r="AF387" s="58"/>
      <c r="AG387" s="58"/>
      <c r="AH387" s="58"/>
      <c r="AI387" s="58" t="s">
        <v>0</v>
      </c>
      <c r="AJ387" s="58" t="s">
        <v>0</v>
      </c>
      <c r="AK387" s="1" t="s">
        <v>1255</v>
      </c>
    </row>
    <row r="388" spans="2:37">
      <c r="B388" s="68" t="s">
        <v>0</v>
      </c>
      <c r="C388" s="55" t="s">
        <v>0</v>
      </c>
      <c r="D388" s="55" t="s">
        <v>0</v>
      </c>
      <c r="E388" s="68" t="s">
        <v>0</v>
      </c>
      <c r="F388" s="59" t="s">
        <v>0</v>
      </c>
      <c r="G388" s="55" t="s">
        <v>1257</v>
      </c>
      <c r="H388" s="55" t="s">
        <v>1281</v>
      </c>
      <c r="I388" s="55" t="s">
        <v>1282</v>
      </c>
      <c r="J388" s="60" t="s">
        <v>461</v>
      </c>
      <c r="K388" s="76" t="s">
        <v>1230</v>
      </c>
      <c r="L388" s="60" t="e">
        <v>#N/A</v>
      </c>
      <c r="M388" s="55" t="s">
        <v>0</v>
      </c>
      <c r="N388" s="2"/>
      <c r="O388" s="58"/>
      <c r="P388" s="60" t="e">
        <v>#N/A</v>
      </c>
      <c r="Q388" s="60" t="e">
        <v>#N/A</v>
      </c>
      <c r="R388" s="85" t="s">
        <v>0</v>
      </c>
      <c r="S388" s="85" t="s">
        <v>0</v>
      </c>
      <c r="T388" s="61" t="s">
        <v>0</v>
      </c>
      <c r="U388" s="60" t="s">
        <v>0</v>
      </c>
      <c r="V388" s="58" t="s">
        <v>0</v>
      </c>
      <c r="W388" s="58" t="s">
        <v>0</v>
      </c>
      <c r="X388" s="58" t="s">
        <v>0</v>
      </c>
      <c r="Y388" s="58" t="s">
        <v>0</v>
      </c>
      <c r="Z388" s="58" t="s">
        <v>0</v>
      </c>
      <c r="AA388" s="58" t="s">
        <v>0</v>
      </c>
      <c r="AB388" s="58" t="s">
        <v>0</v>
      </c>
      <c r="AC388" s="58" t="s">
        <v>0</v>
      </c>
      <c r="AD388" s="58" t="s">
        <v>0</v>
      </c>
      <c r="AE388" s="58" t="s">
        <v>0</v>
      </c>
      <c r="AF388" s="58"/>
      <c r="AG388" s="58"/>
      <c r="AH388" s="58"/>
      <c r="AI388" s="58" t="s">
        <v>0</v>
      </c>
      <c r="AJ388" s="58" t="s">
        <v>0</v>
      </c>
      <c r="AK388" s="1" t="s">
        <v>1255</v>
      </c>
    </row>
    <row r="389" spans="2:37">
      <c r="B389" s="68" t="s">
        <v>0</v>
      </c>
      <c r="C389" s="55" t="s">
        <v>0</v>
      </c>
      <c r="D389" s="55" t="s">
        <v>0</v>
      </c>
      <c r="E389" s="68" t="s">
        <v>0</v>
      </c>
      <c r="F389" s="59" t="s">
        <v>0</v>
      </c>
      <c r="G389" s="55" t="s">
        <v>1257</v>
      </c>
      <c r="H389" s="55" t="s">
        <v>1281</v>
      </c>
      <c r="I389" s="55" t="s">
        <v>1283</v>
      </c>
      <c r="J389" s="60" t="s">
        <v>461</v>
      </c>
      <c r="K389" s="76" t="s">
        <v>1231</v>
      </c>
      <c r="L389" s="60" t="e">
        <v>#N/A</v>
      </c>
      <c r="M389" s="55" t="s">
        <v>0</v>
      </c>
      <c r="N389" s="2"/>
      <c r="O389" s="58"/>
      <c r="P389" s="60" t="e">
        <v>#N/A</v>
      </c>
      <c r="Q389" s="60" t="e">
        <v>#N/A</v>
      </c>
      <c r="R389" s="85" t="s">
        <v>0</v>
      </c>
      <c r="S389" s="85" t="s">
        <v>0</v>
      </c>
      <c r="T389" s="61" t="s">
        <v>0</v>
      </c>
      <c r="U389" s="60" t="s">
        <v>0</v>
      </c>
      <c r="V389" s="58" t="s">
        <v>0</v>
      </c>
      <c r="W389" s="58" t="s">
        <v>0</v>
      </c>
      <c r="X389" s="58" t="s">
        <v>0</v>
      </c>
      <c r="Y389" s="58" t="s">
        <v>0</v>
      </c>
      <c r="Z389" s="58" t="s">
        <v>0</v>
      </c>
      <c r="AA389" s="58" t="s">
        <v>0</v>
      </c>
      <c r="AB389" s="58" t="s">
        <v>0</v>
      </c>
      <c r="AC389" s="58" t="s">
        <v>0</v>
      </c>
      <c r="AD389" s="58" t="s">
        <v>0</v>
      </c>
      <c r="AE389" s="58" t="s">
        <v>0</v>
      </c>
      <c r="AF389" s="58"/>
      <c r="AG389" s="58"/>
      <c r="AH389" s="58"/>
      <c r="AI389" s="58" t="s">
        <v>0</v>
      </c>
      <c r="AJ389" s="58" t="s">
        <v>0</v>
      </c>
      <c r="AK389" s="1" t="s">
        <v>1255</v>
      </c>
    </row>
    <row r="390" spans="2:37">
      <c r="B390" s="68" t="s">
        <v>0</v>
      </c>
      <c r="C390" s="55" t="s">
        <v>0</v>
      </c>
      <c r="D390" s="55" t="s">
        <v>0</v>
      </c>
      <c r="E390" s="68" t="s">
        <v>0</v>
      </c>
      <c r="F390" s="59" t="s">
        <v>0</v>
      </c>
      <c r="G390" s="55" t="s">
        <v>1262</v>
      </c>
      <c r="H390" s="55" t="s">
        <v>1284</v>
      </c>
      <c r="I390" s="55" t="s">
        <v>1285</v>
      </c>
      <c r="J390" s="60" t="s">
        <v>461</v>
      </c>
      <c r="K390" s="76" t="s">
        <v>1232</v>
      </c>
      <c r="L390" s="60" t="e">
        <v>#N/A</v>
      </c>
      <c r="M390" s="55" t="s">
        <v>0</v>
      </c>
      <c r="N390" s="2"/>
      <c r="O390" s="58"/>
      <c r="P390" s="60" t="e">
        <v>#N/A</v>
      </c>
      <c r="Q390" s="60" t="e">
        <v>#N/A</v>
      </c>
      <c r="R390" s="85" t="s">
        <v>0</v>
      </c>
      <c r="S390" s="85" t="s">
        <v>0</v>
      </c>
      <c r="T390" s="61" t="s">
        <v>0</v>
      </c>
      <c r="U390" s="60" t="s">
        <v>0</v>
      </c>
      <c r="V390" s="58" t="s">
        <v>0</v>
      </c>
      <c r="W390" s="58" t="s">
        <v>0</v>
      </c>
      <c r="X390" s="58" t="s">
        <v>0</v>
      </c>
      <c r="Y390" s="58" t="s">
        <v>0</v>
      </c>
      <c r="Z390" s="58" t="s">
        <v>0</v>
      </c>
      <c r="AA390" s="58" t="s">
        <v>0</v>
      </c>
      <c r="AB390" s="58" t="s">
        <v>0</v>
      </c>
      <c r="AC390" s="58" t="s">
        <v>0</v>
      </c>
      <c r="AD390" s="58" t="s">
        <v>0</v>
      </c>
      <c r="AE390" s="58" t="s">
        <v>0</v>
      </c>
      <c r="AF390" s="58"/>
      <c r="AG390" s="58"/>
      <c r="AH390" s="58"/>
      <c r="AI390" s="58" t="s">
        <v>0</v>
      </c>
      <c r="AJ390" s="58" t="s">
        <v>0</v>
      </c>
      <c r="AK390" s="1" t="s">
        <v>1255</v>
      </c>
    </row>
    <row r="391" spans="2:37">
      <c r="B391" s="68" t="s">
        <v>1275</v>
      </c>
      <c r="C391" s="68">
        <v>46035</v>
      </c>
      <c r="D391" s="68">
        <v>46037</v>
      </c>
      <c r="E391" s="68">
        <v>46038</v>
      </c>
      <c r="F391" s="59">
        <v>3</v>
      </c>
      <c r="G391" s="55" t="s">
        <v>1257</v>
      </c>
      <c r="H391" s="55" t="s">
        <v>1266</v>
      </c>
      <c r="I391" s="55" t="s">
        <v>462</v>
      </c>
      <c r="J391" s="60" t="s">
        <v>461</v>
      </c>
      <c r="K391" s="76" t="s">
        <v>1233</v>
      </c>
      <c r="L391" s="60" t="s">
        <v>1234</v>
      </c>
      <c r="M391" s="55" t="s">
        <v>624</v>
      </c>
      <c r="N391" s="49" t="s">
        <v>488</v>
      </c>
      <c r="O391" s="49" t="s">
        <v>489</v>
      </c>
      <c r="P391" s="60" t="s">
        <v>4</v>
      </c>
      <c r="Q391" s="60" t="s">
        <v>1245</v>
      </c>
      <c r="R391" s="85" t="s">
        <v>0</v>
      </c>
      <c r="S391" s="85" t="s">
        <v>0</v>
      </c>
      <c r="T391" s="61" t="s">
        <v>0</v>
      </c>
      <c r="U391" s="60" t="s">
        <v>0</v>
      </c>
      <c r="V391" s="58" t="s">
        <v>0</v>
      </c>
      <c r="W391" s="58" t="s">
        <v>0</v>
      </c>
      <c r="X391" s="58" t="s">
        <v>0</v>
      </c>
      <c r="Y391" s="58" t="s">
        <v>0</v>
      </c>
      <c r="Z391" s="54" t="s">
        <v>471</v>
      </c>
      <c r="AA391" s="54" t="s">
        <v>464</v>
      </c>
      <c r="AB391" s="58" t="s">
        <v>0</v>
      </c>
      <c r="AC391" s="58" t="s">
        <v>0</v>
      </c>
      <c r="AD391" s="58" t="s">
        <v>0</v>
      </c>
      <c r="AE391" s="58" t="s">
        <v>0</v>
      </c>
      <c r="AF391" s="58"/>
      <c r="AG391" s="58"/>
      <c r="AH391" s="58"/>
      <c r="AI391" s="58" t="s">
        <v>0</v>
      </c>
      <c r="AJ391" s="58">
        <v>3</v>
      </c>
      <c r="AK391" s="1" t="s">
        <v>1255</v>
      </c>
    </row>
    <row r="392" spans="2:37">
      <c r="B392" s="68" t="s">
        <v>0</v>
      </c>
      <c r="C392" s="55" t="s">
        <v>0</v>
      </c>
      <c r="D392" s="55" t="s">
        <v>0</v>
      </c>
      <c r="E392" s="68" t="s">
        <v>0</v>
      </c>
      <c r="F392" s="59" t="s">
        <v>0</v>
      </c>
      <c r="G392" s="55" t="s">
        <v>1257</v>
      </c>
      <c r="H392" s="55" t="s">
        <v>1266</v>
      </c>
      <c r="I392" s="55" t="s">
        <v>1267</v>
      </c>
      <c r="J392" s="60" t="s">
        <v>461</v>
      </c>
      <c r="K392" s="76" t="s">
        <v>1235</v>
      </c>
      <c r="L392" s="60" t="s">
        <v>1236</v>
      </c>
      <c r="M392" s="55" t="s">
        <v>0</v>
      </c>
      <c r="N392" s="2"/>
      <c r="O392" s="58"/>
      <c r="P392" s="60" t="s">
        <v>3</v>
      </c>
      <c r="Q392" s="60" t="s">
        <v>522</v>
      </c>
      <c r="R392" s="85" t="s">
        <v>0</v>
      </c>
      <c r="S392" s="85" t="s">
        <v>0</v>
      </c>
      <c r="T392" s="61" t="s">
        <v>0</v>
      </c>
      <c r="U392" s="60" t="s">
        <v>0</v>
      </c>
      <c r="V392" s="58" t="s">
        <v>0</v>
      </c>
      <c r="W392" s="58" t="s">
        <v>0</v>
      </c>
      <c r="X392" s="58" t="s">
        <v>0</v>
      </c>
      <c r="Y392" s="58" t="s">
        <v>0</v>
      </c>
      <c r="Z392" s="58" t="s">
        <v>474</v>
      </c>
      <c r="AA392" s="58" t="s">
        <v>485</v>
      </c>
      <c r="AB392" s="58" t="s">
        <v>0</v>
      </c>
      <c r="AC392" s="58" t="s">
        <v>0</v>
      </c>
      <c r="AD392" s="58" t="s">
        <v>0</v>
      </c>
      <c r="AE392" s="58" t="s">
        <v>0</v>
      </c>
      <c r="AF392" s="58"/>
      <c r="AG392" s="58"/>
      <c r="AH392" s="58"/>
      <c r="AI392" s="58" t="s">
        <v>0</v>
      </c>
      <c r="AJ392" s="58" t="s">
        <v>0</v>
      </c>
      <c r="AK392" s="1" t="s">
        <v>1255</v>
      </c>
    </row>
    <row r="393" spans="2:37">
      <c r="B393" s="68" t="s">
        <v>1275</v>
      </c>
      <c r="C393" s="68">
        <v>46035</v>
      </c>
      <c r="D393" s="68">
        <v>46037</v>
      </c>
      <c r="E393" s="68">
        <v>46038</v>
      </c>
      <c r="F393" s="59">
        <v>3</v>
      </c>
      <c r="G393" s="55" t="s">
        <v>1262</v>
      </c>
      <c r="H393" s="55" t="s">
        <v>1266</v>
      </c>
      <c r="I393" s="55" t="s">
        <v>462</v>
      </c>
      <c r="J393" s="60" t="s">
        <v>461</v>
      </c>
      <c r="K393" s="76" t="s">
        <v>1237</v>
      </c>
      <c r="L393" s="60" t="s">
        <v>1238</v>
      </c>
      <c r="M393" s="55" t="s">
        <v>624</v>
      </c>
      <c r="N393" s="49" t="s">
        <v>488</v>
      </c>
      <c r="O393" s="49" t="s">
        <v>489</v>
      </c>
      <c r="P393" s="60" t="s">
        <v>5</v>
      </c>
      <c r="Q393" s="60" t="s">
        <v>1245</v>
      </c>
      <c r="R393" s="85" t="s">
        <v>0</v>
      </c>
      <c r="S393" s="85" t="s">
        <v>0</v>
      </c>
      <c r="T393" s="61" t="s">
        <v>0</v>
      </c>
      <c r="U393" s="60" t="s">
        <v>0</v>
      </c>
      <c r="V393" s="58" t="s">
        <v>0</v>
      </c>
      <c r="W393" s="58" t="s">
        <v>0</v>
      </c>
      <c r="X393" s="58" t="s">
        <v>0</v>
      </c>
      <c r="Y393" s="58" t="s">
        <v>0</v>
      </c>
      <c r="Z393" s="54" t="s">
        <v>472</v>
      </c>
      <c r="AA393" s="54" t="s">
        <v>483</v>
      </c>
      <c r="AB393" s="58" t="s">
        <v>0</v>
      </c>
      <c r="AC393" s="58" t="s">
        <v>0</v>
      </c>
      <c r="AD393" s="58" t="s">
        <v>0</v>
      </c>
      <c r="AE393" s="58" t="s">
        <v>0</v>
      </c>
      <c r="AF393" s="58"/>
      <c r="AG393" s="58"/>
      <c r="AH393" s="58"/>
      <c r="AI393" s="58" t="s">
        <v>0</v>
      </c>
      <c r="AJ393" s="58">
        <v>3</v>
      </c>
      <c r="AK393" s="1" t="s">
        <v>1255</v>
      </c>
    </row>
    <row r="394" spans="2:37">
      <c r="B394" s="68" t="s">
        <v>1261</v>
      </c>
      <c r="C394" s="68">
        <v>46043</v>
      </c>
      <c r="D394" s="68">
        <v>0</v>
      </c>
      <c r="E394" s="68">
        <v>0</v>
      </c>
      <c r="F394" s="59">
        <v>-46043</v>
      </c>
      <c r="G394" s="55" t="s">
        <v>1262</v>
      </c>
      <c r="H394" s="55" t="s">
        <v>1266</v>
      </c>
      <c r="I394" s="55" t="s">
        <v>462</v>
      </c>
      <c r="J394" s="60" t="s">
        <v>461</v>
      </c>
      <c r="K394" s="76" t="s">
        <v>1239</v>
      </c>
      <c r="L394" s="60" t="s">
        <v>1240</v>
      </c>
      <c r="M394" s="55" t="s">
        <v>624</v>
      </c>
      <c r="N394" s="49" t="s">
        <v>488</v>
      </c>
      <c r="O394" s="49" t="s">
        <v>489</v>
      </c>
      <c r="P394" s="60" t="s">
        <v>7</v>
      </c>
      <c r="Q394" s="60" t="s">
        <v>522</v>
      </c>
      <c r="R394" s="85" t="s">
        <v>0</v>
      </c>
      <c r="S394" s="85" t="s">
        <v>0</v>
      </c>
      <c r="T394" s="61" t="s">
        <v>0</v>
      </c>
      <c r="U394" s="60" t="s">
        <v>0</v>
      </c>
      <c r="V394" s="58" t="s">
        <v>0</v>
      </c>
      <c r="W394" s="58" t="s">
        <v>0</v>
      </c>
      <c r="X394" s="58" t="s">
        <v>0</v>
      </c>
      <c r="Y394" s="58" t="s">
        <v>0</v>
      </c>
      <c r="Z394" s="54" t="s">
        <v>471</v>
      </c>
      <c r="AA394" s="54" t="s">
        <v>508</v>
      </c>
      <c r="AB394" s="54" t="s">
        <v>510</v>
      </c>
      <c r="AC394" s="54" t="s">
        <v>485</v>
      </c>
      <c r="AD394" s="58" t="s">
        <v>0</v>
      </c>
      <c r="AE394" s="58" t="s">
        <v>0</v>
      </c>
      <c r="AF394" s="58"/>
      <c r="AG394" s="58"/>
      <c r="AH394" s="58"/>
      <c r="AI394" s="58" t="s">
        <v>0</v>
      </c>
      <c r="AJ394" s="58">
        <v>-46043</v>
      </c>
      <c r="AK394" s="1" t="s">
        <v>1255</v>
      </c>
    </row>
    <row r="395" spans="2:37">
      <c r="B395" s="68" t="s">
        <v>1280</v>
      </c>
      <c r="C395" s="68">
        <v>46034</v>
      </c>
      <c r="D395" s="68">
        <v>46037</v>
      </c>
      <c r="E395" s="68">
        <v>46042</v>
      </c>
      <c r="F395" s="59">
        <v>8</v>
      </c>
      <c r="G395" s="55" t="s">
        <v>1262</v>
      </c>
      <c r="H395" s="55" t="s">
        <v>1266</v>
      </c>
      <c r="I395" s="55" t="s">
        <v>462</v>
      </c>
      <c r="J395" s="60" t="s">
        <v>461</v>
      </c>
      <c r="K395" s="76" t="s">
        <v>1220</v>
      </c>
      <c r="L395" s="60" t="s">
        <v>1241</v>
      </c>
      <c r="M395" s="55" t="s">
        <v>624</v>
      </c>
      <c r="N395" s="49" t="s">
        <v>488</v>
      </c>
      <c r="O395" s="49" t="s">
        <v>489</v>
      </c>
      <c r="P395" s="60" t="s">
        <v>5</v>
      </c>
      <c r="Q395" s="60" t="s">
        <v>1246</v>
      </c>
      <c r="R395" s="85">
        <v>46031</v>
      </c>
      <c r="S395" s="85" t="s">
        <v>0</v>
      </c>
      <c r="T395" s="61" t="s">
        <v>0</v>
      </c>
      <c r="U395" s="60" t="s">
        <v>0</v>
      </c>
      <c r="V395" s="58" t="s">
        <v>0</v>
      </c>
      <c r="W395" s="58" t="s">
        <v>0</v>
      </c>
      <c r="X395" s="58" t="s">
        <v>0</v>
      </c>
      <c r="Y395" s="58" t="s">
        <v>0</v>
      </c>
      <c r="Z395" s="54" t="s">
        <v>508</v>
      </c>
      <c r="AA395" s="54" t="s">
        <v>510</v>
      </c>
      <c r="AB395" s="54" t="s">
        <v>485</v>
      </c>
      <c r="AC395" s="58" t="s">
        <v>0</v>
      </c>
      <c r="AD395" s="58" t="s">
        <v>0</v>
      </c>
      <c r="AE395" s="58" t="s">
        <v>0</v>
      </c>
      <c r="AF395" s="58"/>
      <c r="AG395" s="58"/>
      <c r="AH395" s="58"/>
      <c r="AI395" s="58" t="s">
        <v>0</v>
      </c>
      <c r="AJ395" s="58"/>
      <c r="AK395" s="1" t="s">
        <v>1255</v>
      </c>
    </row>
    <row r="396" spans="2:37">
      <c r="B396" s="68" t="s">
        <v>0</v>
      </c>
      <c r="C396" s="68" t="s">
        <v>0</v>
      </c>
      <c r="D396" s="68" t="s">
        <v>0</v>
      </c>
      <c r="E396" s="68" t="s">
        <v>0</v>
      </c>
      <c r="F396" s="59" t="s">
        <v>0</v>
      </c>
      <c r="G396" s="55" t="s">
        <v>1257</v>
      </c>
      <c r="H396" s="55" t="s">
        <v>1266</v>
      </c>
      <c r="I396" s="55" t="s">
        <v>1269</v>
      </c>
      <c r="J396" s="60" t="s">
        <v>461</v>
      </c>
      <c r="K396" s="76" t="s">
        <v>1243</v>
      </c>
      <c r="L396" s="60" t="s">
        <v>1244</v>
      </c>
      <c r="M396" s="55" t="s">
        <v>0</v>
      </c>
      <c r="N396" s="2"/>
      <c r="O396" s="58"/>
      <c r="P396" s="60" t="s">
        <v>379</v>
      </c>
      <c r="Q396" s="60" t="s">
        <v>522</v>
      </c>
      <c r="R396" s="85" t="s">
        <v>0</v>
      </c>
      <c r="S396" s="85" t="s">
        <v>0</v>
      </c>
      <c r="T396" s="61" t="s">
        <v>0</v>
      </c>
      <c r="U396" s="60" t="s">
        <v>0</v>
      </c>
      <c r="V396" s="58" t="s">
        <v>0</v>
      </c>
      <c r="W396" s="58" t="s">
        <v>0</v>
      </c>
      <c r="X396" s="58" t="s">
        <v>0</v>
      </c>
      <c r="Y396" s="58" t="s">
        <v>0</v>
      </c>
      <c r="Z396" s="58" t="s">
        <v>484</v>
      </c>
      <c r="AA396" s="58" t="s">
        <v>482</v>
      </c>
      <c r="AB396" s="58" t="s">
        <v>0</v>
      </c>
      <c r="AC396" s="58" t="s">
        <v>0</v>
      </c>
      <c r="AD396" s="58" t="s">
        <v>0</v>
      </c>
      <c r="AE396" s="58" t="s">
        <v>0</v>
      </c>
      <c r="AF396" s="58"/>
      <c r="AG396" s="58"/>
      <c r="AH396" s="58"/>
      <c r="AI396" s="58" t="s">
        <v>0</v>
      </c>
      <c r="AJ396" s="58" t="s">
        <v>0</v>
      </c>
      <c r="AK396" s="1" t="s">
        <v>1255</v>
      </c>
    </row>
  </sheetData>
  <phoneticPr fontId="21" type="noConversion"/>
  <conditionalFormatting sqref="K1">
    <cfRule type="duplicateValues" dxfId="2" priority="9"/>
  </conditionalFormatting>
  <conditionalFormatting sqref="N1">
    <cfRule type="duplicateValues" dxfId="1" priority="8"/>
  </conditionalFormatting>
  <conditionalFormatting sqref="K2:K396">
    <cfRule type="duplicateValues" dxfId="0" priority="1395"/>
  </conditionalFormatting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모델촬영리스트</vt:lpstr>
      <vt:lpstr>배너촬영리스트</vt:lpstr>
      <vt:lpstr>RM시즌체크판</vt:lpstr>
      <vt:lpstr>WH등록판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kim_younghyun</dc:creator>
  <cp:lastModifiedBy>김민경(이노플 AI사업부(AX혁신))</cp:lastModifiedBy>
  <cp:lastPrinted>2022-12-19T23:29:16Z</cp:lastPrinted>
  <dcterms:created xsi:type="dcterms:W3CDTF">2017-09-15T07:09:59Z</dcterms:created>
  <dcterms:modified xsi:type="dcterms:W3CDTF">2026-02-06T02:00:16Z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